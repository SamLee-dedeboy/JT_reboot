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PhD Works\2026 Salinity MRPI Scenarios\RMA &amp; Tiered Outflows V2\R worked RMA Data\Activity Blind Data Recreation\"/>
    </mc:Choice>
  </mc:AlternateContent>
  <xr:revisionPtr revIDLastSave="0" documentId="13_ncr:1_{1E5B1A79-5FEC-48CD-A4B2-B1E6B1DAA566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Overall" sheetId="4" r:id="rId1"/>
    <sheet name="Run 15 Temp" sheetId="1" r:id="rId2"/>
    <sheet name="Run 16 Temp" sheetId="2" r:id="rId3"/>
    <sheet name="Run 17 Tem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0" i="4" l="1"/>
  <c r="G271" i="4"/>
  <c r="K271" i="4"/>
  <c r="S271" i="4"/>
  <c r="S273" i="4"/>
  <c r="S278" i="4"/>
  <c r="G30" i="4"/>
  <c r="G32" i="4"/>
  <c r="B585" i="3"/>
  <c r="C585" i="3"/>
  <c r="D585" i="3"/>
  <c r="E585" i="3"/>
  <c r="F585" i="3"/>
  <c r="G585" i="3"/>
  <c r="H585" i="3"/>
  <c r="I585" i="3"/>
  <c r="J585" i="3"/>
  <c r="K585" i="3"/>
  <c r="L585" i="3"/>
  <c r="M585" i="3"/>
  <c r="N585" i="3"/>
  <c r="O585" i="3"/>
  <c r="P585" i="3"/>
  <c r="Q585" i="3"/>
  <c r="R585" i="3"/>
  <c r="S585" i="3"/>
  <c r="T585" i="3"/>
  <c r="U585" i="3"/>
  <c r="V585" i="3"/>
  <c r="W585" i="3"/>
  <c r="X585" i="3"/>
  <c r="Y585" i="3"/>
  <c r="Z585" i="3"/>
  <c r="AA585" i="3"/>
  <c r="AB585" i="3"/>
  <c r="AC585" i="3"/>
  <c r="AD585" i="3"/>
  <c r="AE585" i="3"/>
  <c r="AF585" i="3"/>
  <c r="AG585" i="3"/>
  <c r="B586" i="3"/>
  <c r="C586" i="3"/>
  <c r="D586" i="3"/>
  <c r="E586" i="3"/>
  <c r="F586" i="3"/>
  <c r="G586" i="3"/>
  <c r="H586" i="3"/>
  <c r="I586" i="3"/>
  <c r="J586" i="3"/>
  <c r="K586" i="3"/>
  <c r="L586" i="3"/>
  <c r="M586" i="3"/>
  <c r="N586" i="3"/>
  <c r="O586" i="3"/>
  <c r="P586" i="3"/>
  <c r="Q586" i="3"/>
  <c r="R586" i="3"/>
  <c r="S586" i="3"/>
  <c r="T586" i="3"/>
  <c r="U586" i="3"/>
  <c r="V586" i="3"/>
  <c r="W586" i="3"/>
  <c r="X586" i="3"/>
  <c r="Y586" i="3"/>
  <c r="Z586" i="3"/>
  <c r="AA586" i="3"/>
  <c r="AB586" i="3"/>
  <c r="AC586" i="3"/>
  <c r="AD586" i="3"/>
  <c r="AE586" i="3"/>
  <c r="AF586" i="3"/>
  <c r="AG586" i="3"/>
  <c r="B585" i="2"/>
  <c r="C585" i="2"/>
  <c r="D585" i="2"/>
  <c r="E585" i="2"/>
  <c r="F585" i="2"/>
  <c r="G585" i="2"/>
  <c r="H585" i="2"/>
  <c r="I585" i="2"/>
  <c r="J585" i="2"/>
  <c r="K585" i="2"/>
  <c r="L585" i="2"/>
  <c r="M585" i="2"/>
  <c r="N585" i="2"/>
  <c r="O585" i="2"/>
  <c r="P585" i="2"/>
  <c r="Q585" i="2"/>
  <c r="R585" i="2"/>
  <c r="S585" i="2"/>
  <c r="T585" i="2"/>
  <c r="U585" i="2"/>
  <c r="V585" i="2"/>
  <c r="W585" i="2"/>
  <c r="X585" i="2"/>
  <c r="Y585" i="2"/>
  <c r="Z585" i="2"/>
  <c r="AA585" i="2"/>
  <c r="AB585" i="2"/>
  <c r="AC585" i="2"/>
  <c r="AD585" i="2"/>
  <c r="AE585" i="2"/>
  <c r="AF585" i="2"/>
  <c r="AG585" i="2"/>
  <c r="B586" i="2"/>
  <c r="C586" i="2"/>
  <c r="D586" i="2"/>
  <c r="E586" i="2"/>
  <c r="F586" i="2"/>
  <c r="G586" i="2"/>
  <c r="H586" i="2"/>
  <c r="I586" i="2"/>
  <c r="J586" i="2"/>
  <c r="K586" i="2"/>
  <c r="L586" i="2"/>
  <c r="M586" i="2"/>
  <c r="N586" i="2"/>
  <c r="O586" i="2"/>
  <c r="P586" i="2"/>
  <c r="Q586" i="2"/>
  <c r="R586" i="2"/>
  <c r="S586" i="2"/>
  <c r="T586" i="2"/>
  <c r="U586" i="2"/>
  <c r="V586" i="2"/>
  <c r="W586" i="2"/>
  <c r="X586" i="2"/>
  <c r="Y586" i="2"/>
  <c r="Z586" i="2"/>
  <c r="AA586" i="2"/>
  <c r="AB586" i="2"/>
  <c r="AC586" i="2"/>
  <c r="AD586" i="2"/>
  <c r="AE586" i="2"/>
  <c r="AF586" i="2"/>
  <c r="AG586" i="2"/>
  <c r="B585" i="1"/>
  <c r="C585" i="1"/>
  <c r="D585" i="1"/>
  <c r="E585" i="1"/>
  <c r="F585" i="1"/>
  <c r="G585" i="1"/>
  <c r="H585" i="1"/>
  <c r="I585" i="1"/>
  <c r="J585" i="1"/>
  <c r="K585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G585" i="1"/>
  <c r="B586" i="1"/>
  <c r="C586" i="1"/>
  <c r="D586" i="1"/>
  <c r="E586" i="1"/>
  <c r="F586" i="1"/>
  <c r="G586" i="1"/>
  <c r="H586" i="1"/>
  <c r="I586" i="1"/>
  <c r="J586" i="1"/>
  <c r="K586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G586" i="1"/>
  <c r="Q26" i="4"/>
  <c r="R26" i="4"/>
  <c r="Q25" i="4"/>
  <c r="R25" i="4"/>
  <c r="S25" i="4"/>
  <c r="Q22" i="4"/>
  <c r="Q19" i="4"/>
  <c r="Q18" i="4"/>
  <c r="R18" i="4"/>
  <c r="S18" i="4"/>
  <c r="R17" i="4"/>
  <c r="Q12" i="4"/>
  <c r="Q10" i="4"/>
  <c r="R10" i="4"/>
  <c r="R8" i="4"/>
  <c r="S8" i="4"/>
  <c r="Q7" i="4"/>
  <c r="R7" i="4"/>
  <c r="Q6" i="4"/>
  <c r="R6" i="4"/>
  <c r="S6" i="4"/>
  <c r="K24" i="4"/>
  <c r="K23" i="4"/>
  <c r="L23" i="4"/>
  <c r="K22" i="4"/>
  <c r="L22" i="4"/>
  <c r="M13" i="4"/>
  <c r="K12" i="4"/>
  <c r="K11" i="4"/>
  <c r="K7" i="4"/>
  <c r="L7" i="4"/>
  <c r="K6" i="4"/>
  <c r="L6" i="4"/>
  <c r="M6" i="4"/>
  <c r="K5" i="4"/>
  <c r="L5" i="4"/>
  <c r="M4" i="4"/>
  <c r="E26" i="4"/>
  <c r="F26" i="4"/>
  <c r="E25" i="4"/>
  <c r="G25" i="4"/>
  <c r="E22" i="4"/>
  <c r="E20" i="4"/>
  <c r="F20" i="4"/>
  <c r="E19" i="4"/>
  <c r="F19" i="4"/>
  <c r="E18" i="4"/>
  <c r="F18" i="4"/>
  <c r="G18" i="4"/>
  <c r="E17" i="4"/>
  <c r="F17" i="4"/>
  <c r="E12" i="4"/>
  <c r="G11" i="4"/>
  <c r="F8" i="4"/>
  <c r="G8" i="4"/>
  <c r="E7" i="4"/>
  <c r="F7" i="4"/>
  <c r="D61" i="4"/>
  <c r="G28" i="4" s="1"/>
  <c r="E61" i="4"/>
  <c r="G29" i="4" s="1"/>
  <c r="F61" i="4"/>
  <c r="G61" i="4"/>
  <c r="G31" i="4" s="1"/>
  <c r="H61" i="4"/>
  <c r="N60" i="4"/>
  <c r="S22" i="4" s="1"/>
  <c r="O60" i="4"/>
  <c r="S23" i="4" s="1"/>
  <c r="P60" i="4"/>
  <c r="S24" i="4" s="1"/>
  <c r="Q60" i="4"/>
  <c r="R60" i="4"/>
  <c r="S26" i="4" s="1"/>
  <c r="I60" i="4"/>
  <c r="M22" i="4" s="1"/>
  <c r="J60" i="4"/>
  <c r="M23" i="4" s="1"/>
  <c r="K60" i="4"/>
  <c r="M24" i="4" s="1"/>
  <c r="L60" i="4"/>
  <c r="M25" i="4" s="1"/>
  <c r="M60" i="4"/>
  <c r="M26" i="4" s="1"/>
  <c r="D60" i="4"/>
  <c r="G22" i="4" s="1"/>
  <c r="E60" i="4"/>
  <c r="G23" i="4" s="1"/>
  <c r="F60" i="4"/>
  <c r="G24" i="4" s="1"/>
  <c r="G60" i="4"/>
  <c r="H60" i="4"/>
  <c r="N59" i="4"/>
  <c r="O59" i="4"/>
  <c r="P59" i="4"/>
  <c r="Q59" i="4"/>
  <c r="S19" i="4" s="1"/>
  <c r="R59" i="4"/>
  <c r="S20" i="4" s="1"/>
  <c r="I59" i="4"/>
  <c r="J59" i="4"/>
  <c r="M17" i="4" s="1"/>
  <c r="K59" i="4"/>
  <c r="L59" i="4"/>
  <c r="M19" i="4" s="1"/>
  <c r="M59" i="4"/>
  <c r="M20" i="4" s="1"/>
  <c r="D59" i="4"/>
  <c r="G16" i="4" s="1"/>
  <c r="E59" i="4"/>
  <c r="G17" i="4" s="1"/>
  <c r="F59" i="4"/>
  <c r="G59" i="4"/>
  <c r="G19" i="4" s="1"/>
  <c r="H59" i="4"/>
  <c r="G20" i="4" s="1"/>
  <c r="N58" i="4"/>
  <c r="S10" i="4" s="1"/>
  <c r="O58" i="4"/>
  <c r="S11" i="4" s="1"/>
  <c r="P58" i="4"/>
  <c r="S12" i="4" s="1"/>
  <c r="Q58" i="4"/>
  <c r="R58" i="4"/>
  <c r="S14" i="4" s="1"/>
  <c r="I58" i="4"/>
  <c r="M10" i="4" s="1"/>
  <c r="J58" i="4"/>
  <c r="M11" i="4" s="1"/>
  <c r="K58" i="4"/>
  <c r="L58" i="4"/>
  <c r="M58" i="4"/>
  <c r="D58" i="4"/>
  <c r="E58" i="4"/>
  <c r="F58" i="4"/>
  <c r="G12" i="4" s="1"/>
  <c r="G58" i="4"/>
  <c r="G13" i="4" s="1"/>
  <c r="H58" i="4"/>
  <c r="G14" i="4" s="1"/>
  <c r="N57" i="4"/>
  <c r="O57" i="4"/>
  <c r="S5" i="4" s="1"/>
  <c r="P57" i="4"/>
  <c r="Q57" i="4"/>
  <c r="S7" i="4" s="1"/>
  <c r="R57" i="4"/>
  <c r="I57" i="4"/>
  <c r="J57" i="4"/>
  <c r="M5" i="4" s="1"/>
  <c r="K57" i="4"/>
  <c r="L57" i="4"/>
  <c r="M7" i="4" s="1"/>
  <c r="M57" i="4"/>
  <c r="M8" i="4" s="1"/>
  <c r="D57" i="4"/>
  <c r="G4" i="4" s="1"/>
  <c r="E57" i="4"/>
  <c r="G5" i="4" s="1"/>
  <c r="F57" i="4"/>
  <c r="G57" i="4"/>
  <c r="G7" i="4" s="1"/>
  <c r="H57" i="4"/>
  <c r="D52" i="4"/>
  <c r="C268" i="4" s="1"/>
  <c r="E52" i="4"/>
  <c r="G268" i="4" s="1"/>
  <c r="F52" i="4"/>
  <c r="K268" i="4" s="1"/>
  <c r="G52" i="4"/>
  <c r="O277" i="4" s="1"/>
  <c r="H52" i="4"/>
  <c r="S272" i="4" s="1"/>
  <c r="N51" i="4"/>
  <c r="O51" i="4"/>
  <c r="R23" i="4" s="1"/>
  <c r="P51" i="4"/>
  <c r="R24" i="4" s="1"/>
  <c r="Q51" i="4"/>
  <c r="R51" i="4"/>
  <c r="I51" i="4"/>
  <c r="J51" i="4"/>
  <c r="K51" i="4"/>
  <c r="L24" i="4" s="1"/>
  <c r="L51" i="4"/>
  <c r="L25" i="4" s="1"/>
  <c r="M51" i="4"/>
  <c r="D51" i="4"/>
  <c r="E51" i="4"/>
  <c r="F23" i="4" s="1"/>
  <c r="F51" i="4"/>
  <c r="F24" i="4" s="1"/>
  <c r="G51" i="4"/>
  <c r="F25" i="4" s="1"/>
  <c r="H51" i="4"/>
  <c r="N50" i="4"/>
  <c r="R16" i="4" s="1"/>
  <c r="O50" i="4"/>
  <c r="P50" i="4"/>
  <c r="Q50" i="4"/>
  <c r="R19" i="4" s="1"/>
  <c r="R50" i="4"/>
  <c r="R20" i="4" s="1"/>
  <c r="I50" i="4"/>
  <c r="J50" i="4"/>
  <c r="K50" i="4"/>
  <c r="L18" i="4" s="1"/>
  <c r="L50" i="4"/>
  <c r="L19" i="4" s="1"/>
  <c r="M50" i="4"/>
  <c r="D50" i="4"/>
  <c r="E50" i="4"/>
  <c r="F50" i="4"/>
  <c r="G50" i="4"/>
  <c r="H50" i="4"/>
  <c r="N49" i="4"/>
  <c r="O49" i="4"/>
  <c r="R11" i="4" s="1"/>
  <c r="P49" i="4"/>
  <c r="R12" i="4" s="1"/>
  <c r="Q49" i="4"/>
  <c r="R13" i="4" s="1"/>
  <c r="R49" i="4"/>
  <c r="I49" i="4"/>
  <c r="L10" i="4" s="1"/>
  <c r="J49" i="4"/>
  <c r="L11" i="4" s="1"/>
  <c r="K49" i="4"/>
  <c r="L12" i="4" s="1"/>
  <c r="L49" i="4"/>
  <c r="L13" i="4" s="1"/>
  <c r="M49" i="4"/>
  <c r="L14" i="4" s="1"/>
  <c r="D49" i="4"/>
  <c r="E49" i="4"/>
  <c r="F11" i="4" s="1"/>
  <c r="F49" i="4"/>
  <c r="F12" i="4" s="1"/>
  <c r="G49" i="4"/>
  <c r="F13" i="4" s="1"/>
  <c r="H49" i="4"/>
  <c r="F14" i="4" s="1"/>
  <c r="N48" i="4"/>
  <c r="R4" i="4" s="1"/>
  <c r="O48" i="4"/>
  <c r="R5" i="4" s="1"/>
  <c r="P48" i="4"/>
  <c r="Q48" i="4"/>
  <c r="R48" i="4"/>
  <c r="I48" i="4"/>
  <c r="L4" i="4" s="1"/>
  <c r="J48" i="4"/>
  <c r="K48" i="4"/>
  <c r="L48" i="4"/>
  <c r="M48" i="4"/>
  <c r="L8" i="4" s="1"/>
  <c r="D48" i="4"/>
  <c r="F4" i="4" s="1"/>
  <c r="E48" i="4"/>
  <c r="F5" i="4" s="1"/>
  <c r="F48" i="4"/>
  <c r="F6" i="4" s="1"/>
  <c r="G48" i="4"/>
  <c r="H48" i="4"/>
  <c r="D43" i="4"/>
  <c r="C274" i="4" s="1"/>
  <c r="E43" i="4"/>
  <c r="G269" i="4" s="1"/>
  <c r="F43" i="4"/>
  <c r="K269" i="4" s="1"/>
  <c r="G43" i="4"/>
  <c r="E31" i="4" s="1"/>
  <c r="H43" i="4"/>
  <c r="E32" i="4" s="1"/>
  <c r="N42" i="4"/>
  <c r="R22" i="4" s="1"/>
  <c r="O42" i="4"/>
  <c r="Q23" i="4" s="1"/>
  <c r="P42" i="4"/>
  <c r="Q24" i="4" s="1"/>
  <c r="Q42" i="4"/>
  <c r="R42" i="4"/>
  <c r="I42" i="4"/>
  <c r="J42" i="4"/>
  <c r="K42" i="4"/>
  <c r="L42" i="4"/>
  <c r="K25" i="4" s="1"/>
  <c r="M42" i="4"/>
  <c r="S239" i="4" s="1"/>
  <c r="D42" i="4"/>
  <c r="F22" i="4" s="1"/>
  <c r="E42" i="4"/>
  <c r="F42" i="4"/>
  <c r="G42" i="4"/>
  <c r="H42" i="4"/>
  <c r="G26" i="4" s="1"/>
  <c r="N41" i="4"/>
  <c r="C205" i="4" s="1"/>
  <c r="O41" i="4"/>
  <c r="G205" i="4" s="1"/>
  <c r="P41" i="4"/>
  <c r="Q41" i="4"/>
  <c r="R41" i="4"/>
  <c r="S205" i="4" s="1"/>
  <c r="I41" i="4"/>
  <c r="C189" i="4" s="1"/>
  <c r="J41" i="4"/>
  <c r="G188" i="4" s="1"/>
  <c r="K41" i="4"/>
  <c r="M18" i="4" s="1"/>
  <c r="L41" i="4"/>
  <c r="K19" i="4" s="1"/>
  <c r="M41" i="4"/>
  <c r="K20" i="4" s="1"/>
  <c r="D41" i="4"/>
  <c r="E16" i="4" s="1"/>
  <c r="E41" i="4"/>
  <c r="F41" i="4"/>
  <c r="G41" i="4"/>
  <c r="H41" i="4"/>
  <c r="N40" i="4"/>
  <c r="O40" i="4"/>
  <c r="Q11" i="4" s="1"/>
  <c r="P40" i="4"/>
  <c r="Q40" i="4"/>
  <c r="O150" i="4" s="1"/>
  <c r="R40" i="4"/>
  <c r="Q14" i="4" s="1"/>
  <c r="I40" i="4"/>
  <c r="J40" i="4"/>
  <c r="K40" i="4"/>
  <c r="M12" i="4" s="1"/>
  <c r="L40" i="4"/>
  <c r="K13" i="4" s="1"/>
  <c r="M40" i="4"/>
  <c r="M14" i="4" s="1"/>
  <c r="D40" i="4"/>
  <c r="E10" i="4" s="1"/>
  <c r="E40" i="4"/>
  <c r="F40" i="4"/>
  <c r="G40" i="4"/>
  <c r="O123" i="4" s="1"/>
  <c r="H40" i="4"/>
  <c r="S119" i="4" s="1"/>
  <c r="N39" i="4"/>
  <c r="C104" i="4" s="1"/>
  <c r="O39" i="4"/>
  <c r="Q5" i="4" s="1"/>
  <c r="P39" i="4"/>
  <c r="Q39" i="4"/>
  <c r="R39" i="4"/>
  <c r="Q8" i="4" s="1"/>
  <c r="I39" i="4"/>
  <c r="K4" i="4" s="1"/>
  <c r="J39" i="4"/>
  <c r="K39" i="4"/>
  <c r="L39" i="4"/>
  <c r="M39" i="4"/>
  <c r="K8" i="4" s="1"/>
  <c r="D39" i="4"/>
  <c r="E4" i="4" s="1"/>
  <c r="E39" i="4"/>
  <c r="E5" i="4" s="1"/>
  <c r="F39" i="4"/>
  <c r="E6" i="4" s="1"/>
  <c r="G39" i="4"/>
  <c r="H39" i="4"/>
  <c r="E8" i="4" s="1"/>
  <c r="AW543" i="1"/>
  <c r="AO543" i="1"/>
  <c r="AC543" i="1"/>
  <c r="Q594" i="1"/>
  <c r="J594" i="1"/>
  <c r="Q593" i="1"/>
  <c r="J593" i="1"/>
  <c r="AO592" i="1"/>
  <c r="AO593" i="1" s="1"/>
  <c r="AN592" i="1"/>
  <c r="AN593" i="1" s="1"/>
  <c r="AM592" i="1"/>
  <c r="AM593" i="1" s="1"/>
  <c r="AL592" i="1"/>
  <c r="AL593" i="1" s="1"/>
  <c r="AK592" i="1"/>
  <c r="AK593" i="1" s="1"/>
  <c r="U592" i="1"/>
  <c r="U593" i="1" s="1"/>
  <c r="J592" i="1"/>
  <c r="BE591" i="1"/>
  <c r="BD591" i="1"/>
  <c r="BC591" i="1"/>
  <c r="BB591" i="1"/>
  <c r="BA591" i="1"/>
  <c r="AW591" i="1"/>
  <c r="AV591" i="1"/>
  <c r="AU591" i="1"/>
  <c r="AT591" i="1"/>
  <c r="AS591" i="1"/>
  <c r="AO591" i="1"/>
  <c r="AN591" i="1"/>
  <c r="AM591" i="1"/>
  <c r="AL591" i="1"/>
  <c r="AK591" i="1"/>
  <c r="AG591" i="1"/>
  <c r="AC591" i="1"/>
  <c r="U591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G580" i="1"/>
  <c r="AF580" i="1"/>
  <c r="AE580" i="1"/>
  <c r="AD580" i="1"/>
  <c r="AC580" i="1"/>
  <c r="AB580" i="1"/>
  <c r="AA580" i="1"/>
  <c r="Z580" i="1"/>
  <c r="Y580" i="1"/>
  <c r="AO594" i="1" s="1"/>
  <c r="X580" i="1"/>
  <c r="W580" i="1"/>
  <c r="V580" i="1"/>
  <c r="U580" i="1"/>
  <c r="T580" i="1"/>
  <c r="S580" i="1"/>
  <c r="AN594" i="1" s="1"/>
  <c r="AN595" i="1" s="1"/>
  <c r="R580" i="1"/>
  <c r="Q580" i="1"/>
  <c r="P580" i="1"/>
  <c r="O580" i="1"/>
  <c r="N580" i="1"/>
  <c r="M580" i="1"/>
  <c r="L580" i="1"/>
  <c r="K580" i="1"/>
  <c r="J580" i="1"/>
  <c r="AM594" i="1" s="1"/>
  <c r="AM595" i="1" s="1"/>
  <c r="I580" i="1"/>
  <c r="H580" i="1"/>
  <c r="G580" i="1"/>
  <c r="F580" i="1"/>
  <c r="E580" i="1"/>
  <c r="D580" i="1"/>
  <c r="C580" i="1"/>
  <c r="B580" i="1"/>
  <c r="AL594" i="1" s="1"/>
  <c r="AL595" i="1" s="1"/>
  <c r="Q577" i="1"/>
  <c r="J577" i="1"/>
  <c r="Q576" i="1"/>
  <c r="J576" i="1"/>
  <c r="AV575" i="1"/>
  <c r="AV576" i="1" s="1"/>
  <c r="AO575" i="1"/>
  <c r="AN575" i="1"/>
  <c r="AM575" i="1"/>
  <c r="AM576" i="1" s="1"/>
  <c r="AL575" i="1"/>
  <c r="AL576" i="1" s="1"/>
  <c r="AK575" i="1"/>
  <c r="AK576" i="1" s="1"/>
  <c r="U575" i="1"/>
  <c r="J575" i="1"/>
  <c r="BE574" i="1"/>
  <c r="BD574" i="1"/>
  <c r="BC574" i="1"/>
  <c r="BB574" i="1"/>
  <c r="BA574" i="1"/>
  <c r="AW574" i="1"/>
  <c r="AV574" i="1"/>
  <c r="AU574" i="1"/>
  <c r="AT574" i="1"/>
  <c r="AS574" i="1"/>
  <c r="AO574" i="1"/>
  <c r="AO576" i="1" s="1"/>
  <c r="AN574" i="1"/>
  <c r="AN576" i="1" s="1"/>
  <c r="AM574" i="1"/>
  <c r="AL574" i="1"/>
  <c r="AK574" i="1"/>
  <c r="AG574" i="1"/>
  <c r="AC574" i="1"/>
  <c r="U574" i="1"/>
  <c r="U576" i="1" s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G566" i="1"/>
  <c r="AG569" i="1" s="1"/>
  <c r="AF566" i="1"/>
  <c r="AF569" i="1" s="1"/>
  <c r="AE566" i="1"/>
  <c r="AE569" i="1" s="1"/>
  <c r="AD566" i="1"/>
  <c r="AD569" i="1" s="1"/>
  <c r="AC566" i="1"/>
  <c r="AC569" i="1" s="1"/>
  <c r="AB566" i="1"/>
  <c r="AB569" i="1" s="1"/>
  <c r="AA566" i="1"/>
  <c r="AA569" i="1" s="1"/>
  <c r="Z566" i="1"/>
  <c r="Z569" i="1" s="1"/>
  <c r="Y566" i="1"/>
  <c r="Y569" i="1" s="1"/>
  <c r="BE577" i="1" s="1"/>
  <c r="X566" i="1"/>
  <c r="X569" i="1" s="1"/>
  <c r="W566" i="1"/>
  <c r="W569" i="1" s="1"/>
  <c r="V566" i="1"/>
  <c r="V569" i="1" s="1"/>
  <c r="U566" i="1"/>
  <c r="U569" i="1" s="1"/>
  <c r="T566" i="1"/>
  <c r="T569" i="1" s="1"/>
  <c r="S566" i="1"/>
  <c r="S569" i="1" s="1"/>
  <c r="R566" i="1"/>
  <c r="R569" i="1" s="1"/>
  <c r="Q566" i="1"/>
  <c r="Q569" i="1" s="1"/>
  <c r="P566" i="1"/>
  <c r="P569" i="1" s="1"/>
  <c r="O566" i="1"/>
  <c r="O569" i="1" s="1"/>
  <c r="N566" i="1"/>
  <c r="N569" i="1" s="1"/>
  <c r="M566" i="1"/>
  <c r="M569" i="1" s="1"/>
  <c r="L566" i="1"/>
  <c r="L569" i="1" s="1"/>
  <c r="K566" i="1"/>
  <c r="K569" i="1" s="1"/>
  <c r="J566" i="1"/>
  <c r="J569" i="1" s="1"/>
  <c r="I566" i="1"/>
  <c r="I569" i="1" s="1"/>
  <c r="H566" i="1"/>
  <c r="H569" i="1" s="1"/>
  <c r="G566" i="1"/>
  <c r="G569" i="1" s="1"/>
  <c r="F566" i="1"/>
  <c r="F569" i="1" s="1"/>
  <c r="E566" i="1"/>
  <c r="E569" i="1" s="1"/>
  <c r="D566" i="1"/>
  <c r="D569" i="1" s="1"/>
  <c r="C566" i="1"/>
  <c r="C569" i="1" s="1"/>
  <c r="B566" i="1"/>
  <c r="B569" i="1" s="1"/>
  <c r="AG565" i="1"/>
  <c r="AF565" i="1"/>
  <c r="AE565" i="1"/>
  <c r="AD565" i="1"/>
  <c r="AC565" i="1"/>
  <c r="AC568" i="1" s="1"/>
  <c r="AB565" i="1"/>
  <c r="AB568" i="1" s="1"/>
  <c r="AA565" i="1"/>
  <c r="AA568" i="1" s="1"/>
  <c r="Z565" i="1"/>
  <c r="Y565" i="1"/>
  <c r="X565" i="1"/>
  <c r="X568" i="1" s="1"/>
  <c r="W565" i="1"/>
  <c r="V565" i="1"/>
  <c r="U565" i="1"/>
  <c r="T565" i="1"/>
  <c r="S565" i="1"/>
  <c r="R565" i="1"/>
  <c r="R568" i="1" s="1"/>
  <c r="Q565" i="1"/>
  <c r="Q568" i="1" s="1"/>
  <c r="P565" i="1"/>
  <c r="O565" i="1"/>
  <c r="N565" i="1"/>
  <c r="M565" i="1"/>
  <c r="L565" i="1"/>
  <c r="K565" i="1"/>
  <c r="J565" i="1"/>
  <c r="I565" i="1"/>
  <c r="H565" i="1"/>
  <c r="G565" i="1"/>
  <c r="F565" i="1"/>
  <c r="E565" i="1"/>
  <c r="E568" i="1" s="1"/>
  <c r="D565" i="1"/>
  <c r="D568" i="1" s="1"/>
  <c r="C565" i="1"/>
  <c r="C568" i="1" s="1"/>
  <c r="B565" i="1"/>
  <c r="AG564" i="1"/>
  <c r="AG568" i="1" s="1"/>
  <c r="AF564" i="1"/>
  <c r="AF568" i="1" s="1"/>
  <c r="AE564" i="1"/>
  <c r="AE568" i="1" s="1"/>
  <c r="AD564" i="1"/>
  <c r="AD568" i="1" s="1"/>
  <c r="AC564" i="1"/>
  <c r="AB564" i="1"/>
  <c r="AA564" i="1"/>
  <c r="Z564" i="1"/>
  <c r="Z568" i="1" s="1"/>
  <c r="Y564" i="1"/>
  <c r="Y568" i="1" s="1"/>
  <c r="AW577" i="1" s="1"/>
  <c r="X564" i="1"/>
  <c r="W564" i="1"/>
  <c r="W568" i="1" s="1"/>
  <c r="V564" i="1"/>
  <c r="V568" i="1" s="1"/>
  <c r="U564" i="1"/>
  <c r="U568" i="1" s="1"/>
  <c r="T564" i="1"/>
  <c r="T568" i="1" s="1"/>
  <c r="S564" i="1"/>
  <c r="S568" i="1" s="1"/>
  <c r="AV577" i="1" s="1"/>
  <c r="AV578" i="1" s="1"/>
  <c r="R564" i="1"/>
  <c r="Q564" i="1"/>
  <c r="P564" i="1"/>
  <c r="P568" i="1" s="1"/>
  <c r="O564" i="1"/>
  <c r="O568" i="1" s="1"/>
  <c r="N564" i="1"/>
  <c r="N568" i="1" s="1"/>
  <c r="M564" i="1"/>
  <c r="M568" i="1" s="1"/>
  <c r="L564" i="1"/>
  <c r="L568" i="1" s="1"/>
  <c r="K564" i="1"/>
  <c r="K568" i="1" s="1"/>
  <c r="J564" i="1"/>
  <c r="J568" i="1" s="1"/>
  <c r="I564" i="1"/>
  <c r="I568" i="1" s="1"/>
  <c r="H564" i="1"/>
  <c r="H568" i="1" s="1"/>
  <c r="G564" i="1"/>
  <c r="G568" i="1" s="1"/>
  <c r="F564" i="1"/>
  <c r="F568" i="1" s="1"/>
  <c r="E564" i="1"/>
  <c r="D564" i="1"/>
  <c r="C564" i="1"/>
  <c r="B564" i="1"/>
  <c r="B568" i="1" s="1"/>
  <c r="AG563" i="1"/>
  <c r="AF563" i="1"/>
  <c r="AE563" i="1"/>
  <c r="AD563" i="1"/>
  <c r="AC563" i="1"/>
  <c r="AB563" i="1"/>
  <c r="AA563" i="1"/>
  <c r="Z563" i="1"/>
  <c r="Y563" i="1"/>
  <c r="AO577" i="1" s="1"/>
  <c r="AO578" i="1" s="1"/>
  <c r="X563" i="1"/>
  <c r="W563" i="1"/>
  <c r="V563" i="1"/>
  <c r="U563" i="1"/>
  <c r="T563" i="1"/>
  <c r="S563" i="1"/>
  <c r="AN577" i="1" s="1"/>
  <c r="R563" i="1"/>
  <c r="Q563" i="1"/>
  <c r="P563" i="1"/>
  <c r="O563" i="1"/>
  <c r="N563" i="1"/>
  <c r="M563" i="1"/>
  <c r="L563" i="1"/>
  <c r="K563" i="1"/>
  <c r="J563" i="1"/>
  <c r="AM577" i="1" s="1"/>
  <c r="AM578" i="1" s="1"/>
  <c r="I563" i="1"/>
  <c r="H563" i="1"/>
  <c r="G563" i="1"/>
  <c r="F563" i="1"/>
  <c r="E563" i="1"/>
  <c r="D563" i="1"/>
  <c r="C563" i="1"/>
  <c r="B563" i="1"/>
  <c r="AL577" i="1" s="1"/>
  <c r="AL578" i="1" s="1"/>
  <c r="Q560" i="1"/>
  <c r="J560" i="1"/>
  <c r="AK559" i="1"/>
  <c r="U559" i="1"/>
  <c r="Q559" i="1"/>
  <c r="J559" i="1"/>
  <c r="AO558" i="1"/>
  <c r="AO559" i="1" s="1"/>
  <c r="AN558" i="1"/>
  <c r="AN559" i="1" s="1"/>
  <c r="AM558" i="1"/>
  <c r="AL558" i="1"/>
  <c r="AK558" i="1"/>
  <c r="U558" i="1"/>
  <c r="J558" i="1"/>
  <c r="BE557" i="1"/>
  <c r="BD557" i="1"/>
  <c r="BC557" i="1"/>
  <c r="BB557" i="1"/>
  <c r="BA557" i="1"/>
  <c r="AW557" i="1"/>
  <c r="AV557" i="1"/>
  <c r="AU557" i="1"/>
  <c r="AT557" i="1"/>
  <c r="AS557" i="1"/>
  <c r="AO557" i="1"/>
  <c r="AN557" i="1"/>
  <c r="AM557" i="1"/>
  <c r="AM559" i="1" s="1"/>
  <c r="AL557" i="1"/>
  <c r="AL559" i="1" s="1"/>
  <c r="AK557" i="1"/>
  <c r="AG557" i="1"/>
  <c r="AC557" i="1"/>
  <c r="U557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G549" i="1"/>
  <c r="AG552" i="1" s="1"/>
  <c r="AF549" i="1"/>
  <c r="AF552" i="1" s="1"/>
  <c r="AE549" i="1"/>
  <c r="AE552" i="1" s="1"/>
  <c r="AD549" i="1"/>
  <c r="AD552" i="1" s="1"/>
  <c r="AC549" i="1"/>
  <c r="AC552" i="1" s="1"/>
  <c r="AB549" i="1"/>
  <c r="AB552" i="1" s="1"/>
  <c r="AA549" i="1"/>
  <c r="AA552" i="1" s="1"/>
  <c r="Z549" i="1"/>
  <c r="Z552" i="1" s="1"/>
  <c r="Y549" i="1"/>
  <c r="Y552" i="1" s="1"/>
  <c r="BE560" i="1" s="1"/>
  <c r="BE561" i="1" s="1"/>
  <c r="X549" i="1"/>
  <c r="X552" i="1" s="1"/>
  <c r="W549" i="1"/>
  <c r="W552" i="1" s="1"/>
  <c r="V549" i="1"/>
  <c r="V552" i="1" s="1"/>
  <c r="U549" i="1"/>
  <c r="U552" i="1" s="1"/>
  <c r="T549" i="1"/>
  <c r="T552" i="1" s="1"/>
  <c r="S549" i="1"/>
  <c r="S552" i="1" s="1"/>
  <c r="R549" i="1"/>
  <c r="R552" i="1" s="1"/>
  <c r="Q549" i="1"/>
  <c r="Q552" i="1" s="1"/>
  <c r="P549" i="1"/>
  <c r="P552" i="1" s="1"/>
  <c r="O549" i="1"/>
  <c r="O552" i="1" s="1"/>
  <c r="N549" i="1"/>
  <c r="N552" i="1" s="1"/>
  <c r="M549" i="1"/>
  <c r="M552" i="1" s="1"/>
  <c r="L549" i="1"/>
  <c r="L552" i="1" s="1"/>
  <c r="K549" i="1"/>
  <c r="K552" i="1" s="1"/>
  <c r="J549" i="1"/>
  <c r="J552" i="1" s="1"/>
  <c r="I549" i="1"/>
  <c r="I552" i="1" s="1"/>
  <c r="H549" i="1"/>
  <c r="H552" i="1" s="1"/>
  <c r="G549" i="1"/>
  <c r="G552" i="1" s="1"/>
  <c r="F549" i="1"/>
  <c r="F552" i="1" s="1"/>
  <c r="E549" i="1"/>
  <c r="E552" i="1" s="1"/>
  <c r="D549" i="1"/>
  <c r="D552" i="1" s="1"/>
  <c r="C549" i="1"/>
  <c r="C552" i="1" s="1"/>
  <c r="B549" i="1"/>
  <c r="B552" i="1" s="1"/>
  <c r="AG548" i="1"/>
  <c r="AF548" i="1"/>
  <c r="AE548" i="1"/>
  <c r="AE551" i="1" s="1"/>
  <c r="AD548" i="1"/>
  <c r="AC548" i="1"/>
  <c r="AB548" i="1"/>
  <c r="AA548" i="1"/>
  <c r="Z548" i="1"/>
  <c r="Y548" i="1"/>
  <c r="Y551" i="1" s="1"/>
  <c r="X548" i="1"/>
  <c r="X551" i="1" s="1"/>
  <c r="W548" i="1"/>
  <c r="W551" i="1" s="1"/>
  <c r="V548" i="1"/>
  <c r="U548" i="1"/>
  <c r="T548" i="1"/>
  <c r="S548" i="1"/>
  <c r="R548" i="1"/>
  <c r="Q548" i="1"/>
  <c r="P548" i="1"/>
  <c r="O548" i="1"/>
  <c r="N548" i="1"/>
  <c r="N551" i="1" s="1"/>
  <c r="M548" i="1"/>
  <c r="M551" i="1" s="1"/>
  <c r="L548" i="1"/>
  <c r="L551" i="1" s="1"/>
  <c r="K548" i="1"/>
  <c r="K551" i="1" s="1"/>
  <c r="J548" i="1"/>
  <c r="J551" i="1" s="1"/>
  <c r="I548" i="1"/>
  <c r="H548" i="1"/>
  <c r="G548" i="1"/>
  <c r="G551" i="1" s="1"/>
  <c r="F548" i="1"/>
  <c r="E548" i="1"/>
  <c r="D548" i="1"/>
  <c r="C548" i="1"/>
  <c r="B548" i="1"/>
  <c r="AG547" i="1"/>
  <c r="AG551" i="1" s="1"/>
  <c r="AF547" i="1"/>
  <c r="AF551" i="1" s="1"/>
  <c r="AE547" i="1"/>
  <c r="AD547" i="1"/>
  <c r="AD551" i="1" s="1"/>
  <c r="AC547" i="1"/>
  <c r="AC551" i="1" s="1"/>
  <c r="AB547" i="1"/>
  <c r="AB551" i="1" s="1"/>
  <c r="AA547" i="1"/>
  <c r="AA551" i="1" s="1"/>
  <c r="Z547" i="1"/>
  <c r="Z551" i="1" s="1"/>
  <c r="Y547" i="1"/>
  <c r="X547" i="1"/>
  <c r="W547" i="1"/>
  <c r="V547" i="1"/>
  <c r="V551" i="1" s="1"/>
  <c r="U547" i="1"/>
  <c r="U551" i="1" s="1"/>
  <c r="T547" i="1"/>
  <c r="T551" i="1" s="1"/>
  <c r="S547" i="1"/>
  <c r="S551" i="1" s="1"/>
  <c r="AV560" i="1" s="1"/>
  <c r="R547" i="1"/>
  <c r="R551" i="1" s="1"/>
  <c r="Q547" i="1"/>
  <c r="Q551" i="1" s="1"/>
  <c r="P547" i="1"/>
  <c r="P551" i="1" s="1"/>
  <c r="O547" i="1"/>
  <c r="O551" i="1" s="1"/>
  <c r="N547" i="1"/>
  <c r="M547" i="1"/>
  <c r="L547" i="1"/>
  <c r="K547" i="1"/>
  <c r="J547" i="1"/>
  <c r="I547" i="1"/>
  <c r="I551" i="1" s="1"/>
  <c r="H547" i="1"/>
  <c r="H551" i="1" s="1"/>
  <c r="G547" i="1"/>
  <c r="F547" i="1"/>
  <c r="F551" i="1" s="1"/>
  <c r="E547" i="1"/>
  <c r="E551" i="1" s="1"/>
  <c r="D547" i="1"/>
  <c r="D551" i="1" s="1"/>
  <c r="C547" i="1"/>
  <c r="C551" i="1" s="1"/>
  <c r="B547" i="1"/>
  <c r="B551" i="1" s="1"/>
  <c r="AG546" i="1"/>
  <c r="AF546" i="1"/>
  <c r="AE546" i="1"/>
  <c r="AD546" i="1"/>
  <c r="AC546" i="1"/>
  <c r="AB546" i="1"/>
  <c r="AA546" i="1"/>
  <c r="Z546" i="1"/>
  <c r="Y546" i="1"/>
  <c r="AO560" i="1" s="1"/>
  <c r="AO561" i="1" s="1"/>
  <c r="X546" i="1"/>
  <c r="W546" i="1"/>
  <c r="AN560" i="1" s="1"/>
  <c r="AN561" i="1" s="1"/>
  <c r="V546" i="1"/>
  <c r="U546" i="1"/>
  <c r="T546" i="1"/>
  <c r="S546" i="1"/>
  <c r="R546" i="1"/>
  <c r="Q546" i="1"/>
  <c r="P546" i="1"/>
  <c r="O546" i="1"/>
  <c r="N546" i="1"/>
  <c r="M546" i="1"/>
  <c r="AM560" i="1" s="1"/>
  <c r="L546" i="1"/>
  <c r="K546" i="1"/>
  <c r="J546" i="1"/>
  <c r="I546" i="1"/>
  <c r="H546" i="1"/>
  <c r="G546" i="1"/>
  <c r="F546" i="1"/>
  <c r="E546" i="1"/>
  <c r="D546" i="1"/>
  <c r="C546" i="1"/>
  <c r="B546" i="1"/>
  <c r="U560" i="1" s="1"/>
  <c r="U561" i="1" s="1"/>
  <c r="Q543" i="1"/>
  <c r="J543" i="1"/>
  <c r="AM542" i="1"/>
  <c r="Q542" i="1"/>
  <c r="J542" i="1"/>
  <c r="AO541" i="1"/>
  <c r="AO542" i="1" s="1"/>
  <c r="AN541" i="1"/>
  <c r="AN542" i="1" s="1"/>
  <c r="AM541" i="1"/>
  <c r="AL541" i="1"/>
  <c r="AL542" i="1" s="1"/>
  <c r="AK541" i="1"/>
  <c r="AK542" i="1" s="1"/>
  <c r="AC541" i="1"/>
  <c r="AC542" i="1" s="1"/>
  <c r="U541" i="1"/>
  <c r="U542" i="1" s="1"/>
  <c r="J541" i="1"/>
  <c r="BE540" i="1"/>
  <c r="BD540" i="1"/>
  <c r="BC540" i="1"/>
  <c r="BB540" i="1"/>
  <c r="BA540" i="1"/>
  <c r="AW540" i="1"/>
  <c r="AV540" i="1"/>
  <c r="AU540" i="1"/>
  <c r="AT540" i="1"/>
  <c r="AS540" i="1"/>
  <c r="AO540" i="1"/>
  <c r="AN540" i="1"/>
  <c r="AM540" i="1"/>
  <c r="AL540" i="1"/>
  <c r="AK540" i="1"/>
  <c r="AG540" i="1"/>
  <c r="AC540" i="1"/>
  <c r="U540" i="1"/>
  <c r="F535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G532" i="1"/>
  <c r="AG535" i="1" s="1"/>
  <c r="AF532" i="1"/>
  <c r="AF535" i="1" s="1"/>
  <c r="AE532" i="1"/>
  <c r="AE535" i="1" s="1"/>
  <c r="AD532" i="1"/>
  <c r="AD535" i="1" s="1"/>
  <c r="AC532" i="1"/>
  <c r="AC535" i="1" s="1"/>
  <c r="AB532" i="1"/>
  <c r="AB535" i="1" s="1"/>
  <c r="AA532" i="1"/>
  <c r="AA535" i="1" s="1"/>
  <c r="Z532" i="1"/>
  <c r="Z535" i="1" s="1"/>
  <c r="Y532" i="1"/>
  <c r="Y535" i="1" s="1"/>
  <c r="BE543" i="1" s="1"/>
  <c r="BE544" i="1" s="1"/>
  <c r="X532" i="1"/>
  <c r="X535" i="1" s="1"/>
  <c r="W532" i="1"/>
  <c r="W535" i="1" s="1"/>
  <c r="V532" i="1"/>
  <c r="V535" i="1" s="1"/>
  <c r="U532" i="1"/>
  <c r="U535" i="1" s="1"/>
  <c r="T532" i="1"/>
  <c r="T535" i="1" s="1"/>
  <c r="S532" i="1"/>
  <c r="S535" i="1" s="1"/>
  <c r="R532" i="1"/>
  <c r="R535" i="1" s="1"/>
  <c r="Q532" i="1"/>
  <c r="Q535" i="1" s="1"/>
  <c r="P532" i="1"/>
  <c r="P535" i="1" s="1"/>
  <c r="O532" i="1"/>
  <c r="O535" i="1" s="1"/>
  <c r="N532" i="1"/>
  <c r="N535" i="1" s="1"/>
  <c r="M532" i="1"/>
  <c r="M535" i="1" s="1"/>
  <c r="L532" i="1"/>
  <c r="L535" i="1" s="1"/>
  <c r="K532" i="1"/>
  <c r="K535" i="1" s="1"/>
  <c r="J532" i="1"/>
  <c r="J535" i="1" s="1"/>
  <c r="I532" i="1"/>
  <c r="I535" i="1" s="1"/>
  <c r="H532" i="1"/>
  <c r="H535" i="1" s="1"/>
  <c r="G532" i="1"/>
  <c r="G535" i="1" s="1"/>
  <c r="F532" i="1"/>
  <c r="E532" i="1"/>
  <c r="E535" i="1" s="1"/>
  <c r="D532" i="1"/>
  <c r="D535" i="1" s="1"/>
  <c r="C532" i="1"/>
  <c r="C535" i="1" s="1"/>
  <c r="B532" i="1"/>
  <c r="B535" i="1" s="1"/>
  <c r="AG531" i="1"/>
  <c r="AF531" i="1"/>
  <c r="AF534" i="1" s="1"/>
  <c r="AE531" i="1"/>
  <c r="AE534" i="1" s="1"/>
  <c r="AD531" i="1"/>
  <c r="AD534" i="1" s="1"/>
  <c r="AC531" i="1"/>
  <c r="AB531" i="1"/>
  <c r="AA531" i="1"/>
  <c r="Z531" i="1"/>
  <c r="Y531" i="1"/>
  <c r="X531" i="1"/>
  <c r="W531" i="1"/>
  <c r="V531" i="1"/>
  <c r="U531" i="1"/>
  <c r="U534" i="1" s="1"/>
  <c r="T531" i="1"/>
  <c r="T534" i="1" s="1"/>
  <c r="S531" i="1"/>
  <c r="S534" i="1" s="1"/>
  <c r="R531" i="1"/>
  <c r="R534" i="1" s="1"/>
  <c r="Q531" i="1"/>
  <c r="Q534" i="1" s="1"/>
  <c r="P531" i="1"/>
  <c r="O531" i="1"/>
  <c r="N531" i="1"/>
  <c r="N534" i="1" s="1"/>
  <c r="M531" i="1"/>
  <c r="L531" i="1"/>
  <c r="K531" i="1"/>
  <c r="J531" i="1"/>
  <c r="I531" i="1"/>
  <c r="H531" i="1"/>
  <c r="H534" i="1" s="1"/>
  <c r="G531" i="1"/>
  <c r="G534" i="1" s="1"/>
  <c r="F531" i="1"/>
  <c r="F534" i="1" s="1"/>
  <c r="E531" i="1"/>
  <c r="D531" i="1"/>
  <c r="C531" i="1"/>
  <c r="B531" i="1"/>
  <c r="AG530" i="1"/>
  <c r="AG534" i="1" s="1"/>
  <c r="AF530" i="1"/>
  <c r="AE530" i="1"/>
  <c r="AD530" i="1"/>
  <c r="AC530" i="1"/>
  <c r="AC534" i="1" s="1"/>
  <c r="AB530" i="1"/>
  <c r="AB534" i="1" s="1"/>
  <c r="AA530" i="1"/>
  <c r="AA534" i="1" s="1"/>
  <c r="Z530" i="1"/>
  <c r="Z534" i="1" s="1"/>
  <c r="Y530" i="1"/>
  <c r="Y534" i="1" s="1"/>
  <c r="X530" i="1"/>
  <c r="X534" i="1" s="1"/>
  <c r="W530" i="1"/>
  <c r="W534" i="1" s="1"/>
  <c r="V530" i="1"/>
  <c r="V534" i="1" s="1"/>
  <c r="U530" i="1"/>
  <c r="T530" i="1"/>
  <c r="S530" i="1"/>
  <c r="R530" i="1"/>
  <c r="Q530" i="1"/>
  <c r="P530" i="1"/>
  <c r="P534" i="1" s="1"/>
  <c r="O530" i="1"/>
  <c r="O534" i="1" s="1"/>
  <c r="N530" i="1"/>
  <c r="M530" i="1"/>
  <c r="M534" i="1" s="1"/>
  <c r="L530" i="1"/>
  <c r="L534" i="1" s="1"/>
  <c r="K530" i="1"/>
  <c r="K534" i="1" s="1"/>
  <c r="J530" i="1"/>
  <c r="J534" i="1" s="1"/>
  <c r="I530" i="1"/>
  <c r="I534" i="1" s="1"/>
  <c r="H530" i="1"/>
  <c r="G530" i="1"/>
  <c r="F530" i="1"/>
  <c r="E530" i="1"/>
  <c r="E534" i="1" s="1"/>
  <c r="D530" i="1"/>
  <c r="D534" i="1" s="1"/>
  <c r="C530" i="1"/>
  <c r="C534" i="1" s="1"/>
  <c r="B530" i="1"/>
  <c r="B534" i="1" s="1"/>
  <c r="AG529" i="1"/>
  <c r="AF529" i="1"/>
  <c r="AE529" i="1"/>
  <c r="AD529" i="1"/>
  <c r="AC529" i="1"/>
  <c r="AB529" i="1"/>
  <c r="AA529" i="1"/>
  <c r="Z529" i="1"/>
  <c r="Y529" i="1"/>
  <c r="AO544" i="1" s="1"/>
  <c r="X529" i="1"/>
  <c r="W529" i="1"/>
  <c r="V529" i="1"/>
  <c r="U529" i="1"/>
  <c r="T529" i="1"/>
  <c r="S529" i="1"/>
  <c r="AN543" i="1" s="1"/>
  <c r="AN544" i="1" s="1"/>
  <c r="R529" i="1"/>
  <c r="Q529" i="1"/>
  <c r="P529" i="1"/>
  <c r="O529" i="1"/>
  <c r="N529" i="1"/>
  <c r="M529" i="1"/>
  <c r="L529" i="1"/>
  <c r="K529" i="1"/>
  <c r="J529" i="1"/>
  <c r="AM543" i="1" s="1"/>
  <c r="AM544" i="1" s="1"/>
  <c r="I529" i="1"/>
  <c r="H529" i="1"/>
  <c r="G529" i="1"/>
  <c r="F529" i="1"/>
  <c r="AK543" i="1" s="1"/>
  <c r="AK544" i="1" s="1"/>
  <c r="E529" i="1"/>
  <c r="D529" i="1"/>
  <c r="C529" i="1"/>
  <c r="B529" i="1"/>
  <c r="AL543" i="1" s="1"/>
  <c r="AL544" i="1" s="1"/>
  <c r="Q526" i="1"/>
  <c r="BE541" i="1" s="1"/>
  <c r="BE542" i="1" s="1"/>
  <c r="J526" i="1"/>
  <c r="BB525" i="1"/>
  <c r="BA525" i="1"/>
  <c r="AG525" i="1"/>
  <c r="Q525" i="1"/>
  <c r="BE558" i="1" s="1"/>
  <c r="BE559" i="1" s="1"/>
  <c r="J525" i="1"/>
  <c r="BB524" i="1"/>
  <c r="BA524" i="1"/>
  <c r="AV524" i="1"/>
  <c r="AV525" i="1" s="1"/>
  <c r="AS524" i="1"/>
  <c r="AS525" i="1" s="1"/>
  <c r="AO524" i="1"/>
  <c r="AO525" i="1" s="1"/>
  <c r="AN524" i="1"/>
  <c r="AM524" i="1"/>
  <c r="AL524" i="1"/>
  <c r="AK524" i="1"/>
  <c r="AG524" i="1"/>
  <c r="U524" i="1"/>
  <c r="U525" i="1" s="1"/>
  <c r="J524" i="1"/>
  <c r="AU575" i="1" s="1"/>
  <c r="AU576" i="1" s="1"/>
  <c r="BE523" i="1"/>
  <c r="BD523" i="1"/>
  <c r="BC523" i="1"/>
  <c r="BB523" i="1"/>
  <c r="BA523" i="1"/>
  <c r="AW523" i="1"/>
  <c r="AV523" i="1"/>
  <c r="AU523" i="1"/>
  <c r="AT523" i="1"/>
  <c r="AS523" i="1"/>
  <c r="AO523" i="1"/>
  <c r="AN523" i="1"/>
  <c r="AN525" i="1" s="1"/>
  <c r="AM523" i="1"/>
  <c r="AM525" i="1" s="1"/>
  <c r="AL523" i="1"/>
  <c r="AL525" i="1" s="1"/>
  <c r="AK523" i="1"/>
  <c r="AK525" i="1" s="1"/>
  <c r="AG523" i="1"/>
  <c r="AC523" i="1"/>
  <c r="U523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G515" i="1"/>
  <c r="AG518" i="1" s="1"/>
  <c r="AF515" i="1"/>
  <c r="AE515" i="1"/>
  <c r="AD515" i="1"/>
  <c r="AC515" i="1"/>
  <c r="AB515" i="1"/>
  <c r="AB518" i="1" s="1"/>
  <c r="AA515" i="1"/>
  <c r="Z515" i="1"/>
  <c r="Y515" i="1"/>
  <c r="X515" i="1"/>
  <c r="W515" i="1"/>
  <c r="V515" i="1"/>
  <c r="U515" i="1"/>
  <c r="T515" i="1"/>
  <c r="S515" i="1"/>
  <c r="R515" i="1"/>
  <c r="R518" i="1" s="1"/>
  <c r="Q515" i="1"/>
  <c r="P515" i="1"/>
  <c r="P518" i="1" s="1"/>
  <c r="O515" i="1"/>
  <c r="N515" i="1"/>
  <c r="M515" i="1"/>
  <c r="M518" i="1" s="1"/>
  <c r="L515" i="1"/>
  <c r="L518" i="1" s="1"/>
  <c r="K515" i="1"/>
  <c r="K518" i="1" s="1"/>
  <c r="J515" i="1"/>
  <c r="J518" i="1" s="1"/>
  <c r="I515" i="1"/>
  <c r="I518" i="1" s="1"/>
  <c r="H515" i="1"/>
  <c r="G515" i="1"/>
  <c r="F515" i="1"/>
  <c r="F518" i="1" s="1"/>
  <c r="E515" i="1"/>
  <c r="D515" i="1"/>
  <c r="D518" i="1" s="1"/>
  <c r="C515" i="1"/>
  <c r="B515" i="1"/>
  <c r="AG514" i="1"/>
  <c r="AF514" i="1"/>
  <c r="AE514" i="1"/>
  <c r="AD514" i="1"/>
  <c r="AC514" i="1"/>
  <c r="AB514" i="1"/>
  <c r="AB517" i="1" s="1"/>
  <c r="AA514" i="1"/>
  <c r="AA517" i="1" s="1"/>
  <c r="Z514" i="1"/>
  <c r="Z517" i="1" s="1"/>
  <c r="Y514" i="1"/>
  <c r="Y517" i="1" s="1"/>
  <c r="X514" i="1"/>
  <c r="X517" i="1" s="1"/>
  <c r="W514" i="1"/>
  <c r="W517" i="1" s="1"/>
  <c r="V514" i="1"/>
  <c r="V517" i="1" s="1"/>
  <c r="U514" i="1"/>
  <c r="U517" i="1" s="1"/>
  <c r="T514" i="1"/>
  <c r="S514" i="1"/>
  <c r="R514" i="1"/>
  <c r="Q514" i="1"/>
  <c r="P514" i="1"/>
  <c r="O514" i="1"/>
  <c r="O517" i="1" s="1"/>
  <c r="N514" i="1"/>
  <c r="N517" i="1" s="1"/>
  <c r="M514" i="1"/>
  <c r="M517" i="1" s="1"/>
  <c r="L514" i="1"/>
  <c r="L517" i="1" s="1"/>
  <c r="K514" i="1"/>
  <c r="J514" i="1"/>
  <c r="I514" i="1"/>
  <c r="H514" i="1"/>
  <c r="G514" i="1"/>
  <c r="F514" i="1"/>
  <c r="E514" i="1"/>
  <c r="D514" i="1"/>
  <c r="D517" i="1" s="1"/>
  <c r="C514" i="1"/>
  <c r="C517" i="1" s="1"/>
  <c r="B514" i="1"/>
  <c r="B517" i="1" s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T517" i="1" s="1"/>
  <c r="S513" i="1"/>
  <c r="S517" i="1" s="1"/>
  <c r="R513" i="1"/>
  <c r="R517" i="1" s="1"/>
  <c r="Q513" i="1"/>
  <c r="Q517" i="1" s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G512" i="1"/>
  <c r="AF512" i="1"/>
  <c r="AE512" i="1"/>
  <c r="AD512" i="1"/>
  <c r="AC512" i="1"/>
  <c r="AB512" i="1"/>
  <c r="AA512" i="1"/>
  <c r="AO526" i="1" s="1"/>
  <c r="Z512" i="1"/>
  <c r="Y512" i="1"/>
  <c r="X512" i="1"/>
  <c r="W512" i="1"/>
  <c r="V512" i="1"/>
  <c r="U512" i="1"/>
  <c r="T512" i="1"/>
  <c r="S512" i="1"/>
  <c r="AN526" i="1" s="1"/>
  <c r="AN527" i="1" s="1"/>
  <c r="R512" i="1"/>
  <c r="Q512" i="1"/>
  <c r="P512" i="1"/>
  <c r="O512" i="1"/>
  <c r="N512" i="1"/>
  <c r="M512" i="1"/>
  <c r="L512" i="1"/>
  <c r="K512" i="1"/>
  <c r="J512" i="1"/>
  <c r="AM526" i="1" s="1"/>
  <c r="AM527" i="1" s="1"/>
  <c r="I512" i="1"/>
  <c r="H512" i="1"/>
  <c r="G512" i="1"/>
  <c r="F512" i="1"/>
  <c r="E512" i="1"/>
  <c r="D512" i="1"/>
  <c r="C512" i="1"/>
  <c r="B512" i="1"/>
  <c r="AL526" i="1" s="1"/>
  <c r="Q594" i="2"/>
  <c r="J594" i="2"/>
  <c r="AO593" i="2"/>
  <c r="Q593" i="2"/>
  <c r="J593" i="2"/>
  <c r="AO592" i="2"/>
  <c r="AN592" i="2"/>
  <c r="AN593" i="2" s="1"/>
  <c r="AM592" i="2"/>
  <c r="AM593" i="2" s="1"/>
  <c r="AL592" i="2"/>
  <c r="AL593" i="2" s="1"/>
  <c r="AK592" i="2"/>
  <c r="AK593" i="2" s="1"/>
  <c r="U592" i="2"/>
  <c r="U593" i="2" s="1"/>
  <c r="J592" i="2"/>
  <c r="BE591" i="2"/>
  <c r="BD591" i="2"/>
  <c r="BC591" i="2"/>
  <c r="BB591" i="2"/>
  <c r="BA591" i="2"/>
  <c r="AW591" i="2"/>
  <c r="AV591" i="2"/>
  <c r="AU591" i="2"/>
  <c r="AT591" i="2"/>
  <c r="AS591" i="2"/>
  <c r="AO591" i="2"/>
  <c r="AN591" i="2"/>
  <c r="AM591" i="2"/>
  <c r="AL591" i="2"/>
  <c r="AK591" i="2"/>
  <c r="AG591" i="2"/>
  <c r="AC591" i="2"/>
  <c r="U591" i="2"/>
  <c r="AG584" i="2"/>
  <c r="AF584" i="2"/>
  <c r="AE584" i="2"/>
  <c r="AD584" i="2"/>
  <c r="AC584" i="2"/>
  <c r="AB584" i="2"/>
  <c r="AA584" i="2"/>
  <c r="Z584" i="2"/>
  <c r="Y584" i="2"/>
  <c r="X584" i="2"/>
  <c r="W584" i="2"/>
  <c r="V584" i="2"/>
  <c r="U584" i="2"/>
  <c r="T584" i="2"/>
  <c r="S584" i="2"/>
  <c r="R584" i="2"/>
  <c r="Q584" i="2"/>
  <c r="P584" i="2"/>
  <c r="O584" i="2"/>
  <c r="N584" i="2"/>
  <c r="M584" i="2"/>
  <c r="L584" i="2"/>
  <c r="K584" i="2"/>
  <c r="J584" i="2"/>
  <c r="I584" i="2"/>
  <c r="H584" i="2"/>
  <c r="G584" i="2"/>
  <c r="F584" i="2"/>
  <c r="E584" i="2"/>
  <c r="D584" i="2"/>
  <c r="C584" i="2"/>
  <c r="B584" i="2"/>
  <c r="AG583" i="2"/>
  <c r="AF583" i="2"/>
  <c r="AE583" i="2"/>
  <c r="AD583" i="2"/>
  <c r="AC583" i="2"/>
  <c r="AB583" i="2"/>
  <c r="AA583" i="2"/>
  <c r="Z583" i="2"/>
  <c r="Y583" i="2"/>
  <c r="X583" i="2"/>
  <c r="W583" i="2"/>
  <c r="V583" i="2"/>
  <c r="U583" i="2"/>
  <c r="T583" i="2"/>
  <c r="S583" i="2"/>
  <c r="R583" i="2"/>
  <c r="Q583" i="2"/>
  <c r="P583" i="2"/>
  <c r="O583" i="2"/>
  <c r="N583" i="2"/>
  <c r="M583" i="2"/>
  <c r="L583" i="2"/>
  <c r="K583" i="2"/>
  <c r="J583" i="2"/>
  <c r="I583" i="2"/>
  <c r="H583" i="2"/>
  <c r="G583" i="2"/>
  <c r="F583" i="2"/>
  <c r="E583" i="2"/>
  <c r="D583" i="2"/>
  <c r="C583" i="2"/>
  <c r="B583" i="2"/>
  <c r="AG582" i="2"/>
  <c r="AF582" i="2"/>
  <c r="AE582" i="2"/>
  <c r="AD582" i="2"/>
  <c r="AC582" i="2"/>
  <c r="AB582" i="2"/>
  <c r="AA582" i="2"/>
  <c r="Z582" i="2"/>
  <c r="Y582" i="2"/>
  <c r="X582" i="2"/>
  <c r="W582" i="2"/>
  <c r="V582" i="2"/>
  <c r="U582" i="2"/>
  <c r="T582" i="2"/>
  <c r="S582" i="2"/>
  <c r="R582" i="2"/>
  <c r="Q582" i="2"/>
  <c r="P582" i="2"/>
  <c r="O582" i="2"/>
  <c r="N582" i="2"/>
  <c r="M582" i="2"/>
  <c r="L582" i="2"/>
  <c r="K582" i="2"/>
  <c r="J582" i="2"/>
  <c r="I582" i="2"/>
  <c r="H582" i="2"/>
  <c r="G582" i="2"/>
  <c r="F582" i="2"/>
  <c r="E582" i="2"/>
  <c r="D582" i="2"/>
  <c r="C582" i="2"/>
  <c r="B582" i="2"/>
  <c r="AG581" i="2"/>
  <c r="AF581" i="2"/>
  <c r="AE581" i="2"/>
  <c r="AD581" i="2"/>
  <c r="AC581" i="2"/>
  <c r="AB581" i="2"/>
  <c r="AA581" i="2"/>
  <c r="Z581" i="2"/>
  <c r="Y581" i="2"/>
  <c r="X581" i="2"/>
  <c r="W581" i="2"/>
  <c r="V581" i="2"/>
  <c r="U581" i="2"/>
  <c r="T581" i="2"/>
  <c r="S581" i="2"/>
  <c r="R581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E581" i="2"/>
  <c r="D581" i="2"/>
  <c r="C581" i="2"/>
  <c r="B581" i="2"/>
  <c r="AG580" i="2"/>
  <c r="AF580" i="2"/>
  <c r="AE580" i="2"/>
  <c r="AD580" i="2"/>
  <c r="AC580" i="2"/>
  <c r="AB580" i="2"/>
  <c r="AA580" i="2"/>
  <c r="Z580" i="2"/>
  <c r="Y580" i="2"/>
  <c r="AO594" i="2" s="1"/>
  <c r="AO595" i="2" s="1"/>
  <c r="X580" i="2"/>
  <c r="W580" i="2"/>
  <c r="V580" i="2"/>
  <c r="U580" i="2"/>
  <c r="T580" i="2"/>
  <c r="S580" i="2"/>
  <c r="AN594" i="2" s="1"/>
  <c r="AN595" i="2" s="1"/>
  <c r="R580" i="2"/>
  <c r="Q580" i="2"/>
  <c r="P580" i="2"/>
  <c r="O580" i="2"/>
  <c r="N580" i="2"/>
  <c r="M580" i="2"/>
  <c r="L580" i="2"/>
  <c r="K580" i="2"/>
  <c r="J580" i="2"/>
  <c r="AM594" i="2" s="1"/>
  <c r="AM595" i="2" s="1"/>
  <c r="I580" i="2"/>
  <c r="H580" i="2"/>
  <c r="G580" i="2"/>
  <c r="F580" i="2"/>
  <c r="E580" i="2"/>
  <c r="D580" i="2"/>
  <c r="C580" i="2"/>
  <c r="B580" i="2"/>
  <c r="AL594" i="2" s="1"/>
  <c r="AL595" i="2" s="1"/>
  <c r="Q577" i="2"/>
  <c r="J577" i="2"/>
  <c r="Q576" i="2"/>
  <c r="J576" i="2"/>
  <c r="AO575" i="2"/>
  <c r="AO576" i="2" s="1"/>
  <c r="AN575" i="2"/>
  <c r="AM575" i="2"/>
  <c r="AL575" i="2"/>
  <c r="AK575" i="2"/>
  <c r="U575" i="2"/>
  <c r="U576" i="2" s="1"/>
  <c r="J575" i="2"/>
  <c r="BE574" i="2"/>
  <c r="BD574" i="2"/>
  <c r="BC574" i="2"/>
  <c r="BB574" i="2"/>
  <c r="BA574" i="2"/>
  <c r="AW574" i="2"/>
  <c r="AV574" i="2"/>
  <c r="AU574" i="2"/>
  <c r="AT574" i="2"/>
  <c r="AS574" i="2"/>
  <c r="AO574" i="2"/>
  <c r="AN574" i="2"/>
  <c r="AN576" i="2" s="1"/>
  <c r="AM574" i="2"/>
  <c r="AM576" i="2" s="1"/>
  <c r="AL574" i="2"/>
  <c r="AL576" i="2" s="1"/>
  <c r="AK574" i="2"/>
  <c r="AK576" i="2" s="1"/>
  <c r="AG574" i="2"/>
  <c r="AC574" i="2"/>
  <c r="U574" i="2"/>
  <c r="AG567" i="2"/>
  <c r="AF567" i="2"/>
  <c r="AE567" i="2"/>
  <c r="AD567" i="2"/>
  <c r="AC567" i="2"/>
  <c r="AB567" i="2"/>
  <c r="AA567" i="2"/>
  <c r="Z567" i="2"/>
  <c r="Y567" i="2"/>
  <c r="X567" i="2"/>
  <c r="W567" i="2"/>
  <c r="V567" i="2"/>
  <c r="U567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567" i="2"/>
  <c r="B567" i="2"/>
  <c r="AG566" i="2"/>
  <c r="AG569" i="2" s="1"/>
  <c r="AF566" i="2"/>
  <c r="AF569" i="2" s="1"/>
  <c r="AE566" i="2"/>
  <c r="AE569" i="2" s="1"/>
  <c r="AD566" i="2"/>
  <c r="AD569" i="2" s="1"/>
  <c r="AC566" i="2"/>
  <c r="AC569" i="2" s="1"/>
  <c r="AB566" i="2"/>
  <c r="AB569" i="2" s="1"/>
  <c r="AA566" i="2"/>
  <c r="AA569" i="2" s="1"/>
  <c r="Z566" i="2"/>
  <c r="Z569" i="2" s="1"/>
  <c r="Y566" i="2"/>
  <c r="Y569" i="2" s="1"/>
  <c r="BE577" i="2" s="1"/>
  <c r="X566" i="2"/>
  <c r="X569" i="2" s="1"/>
  <c r="W566" i="2"/>
  <c r="W569" i="2" s="1"/>
  <c r="V566" i="2"/>
  <c r="V569" i="2" s="1"/>
  <c r="U566" i="2"/>
  <c r="U569" i="2" s="1"/>
  <c r="T566" i="2"/>
  <c r="T569" i="2" s="1"/>
  <c r="S566" i="2"/>
  <c r="S569" i="2" s="1"/>
  <c r="R566" i="2"/>
  <c r="R569" i="2" s="1"/>
  <c r="Q566" i="2"/>
  <c r="Q569" i="2" s="1"/>
  <c r="P566" i="2"/>
  <c r="P569" i="2" s="1"/>
  <c r="O566" i="2"/>
  <c r="O569" i="2" s="1"/>
  <c r="N566" i="2"/>
  <c r="N569" i="2" s="1"/>
  <c r="M566" i="2"/>
  <c r="M569" i="2" s="1"/>
  <c r="L566" i="2"/>
  <c r="L569" i="2" s="1"/>
  <c r="K566" i="2"/>
  <c r="K569" i="2" s="1"/>
  <c r="J566" i="2"/>
  <c r="J569" i="2" s="1"/>
  <c r="I566" i="2"/>
  <c r="I569" i="2" s="1"/>
  <c r="H566" i="2"/>
  <c r="H569" i="2" s="1"/>
  <c r="G566" i="2"/>
  <c r="G569" i="2" s="1"/>
  <c r="F566" i="2"/>
  <c r="F569" i="2" s="1"/>
  <c r="E566" i="2"/>
  <c r="E569" i="2" s="1"/>
  <c r="D566" i="2"/>
  <c r="D569" i="2" s="1"/>
  <c r="C566" i="2"/>
  <c r="C569" i="2" s="1"/>
  <c r="B566" i="2"/>
  <c r="B569" i="2" s="1"/>
  <c r="AG565" i="2"/>
  <c r="AF565" i="2"/>
  <c r="AE565" i="2"/>
  <c r="AD565" i="2"/>
  <c r="AC565" i="2"/>
  <c r="AB565" i="2"/>
  <c r="AB568" i="2" s="1"/>
  <c r="AA565" i="2"/>
  <c r="Z565" i="2"/>
  <c r="Y565" i="2"/>
  <c r="X565" i="2"/>
  <c r="X568" i="2" s="1"/>
  <c r="W565" i="2"/>
  <c r="W568" i="2" s="1"/>
  <c r="V565" i="2"/>
  <c r="V568" i="2" s="1"/>
  <c r="U565" i="2"/>
  <c r="U568" i="2" s="1"/>
  <c r="T565" i="2"/>
  <c r="S565" i="2"/>
  <c r="R565" i="2"/>
  <c r="Q565" i="2"/>
  <c r="P565" i="2"/>
  <c r="O565" i="2"/>
  <c r="N565" i="2"/>
  <c r="M565" i="2"/>
  <c r="L565" i="2"/>
  <c r="K565" i="2"/>
  <c r="K568" i="2" s="1"/>
  <c r="J565" i="2"/>
  <c r="J568" i="2" s="1"/>
  <c r="I565" i="2"/>
  <c r="H565" i="2"/>
  <c r="G565" i="2"/>
  <c r="F565" i="2"/>
  <c r="E565" i="2"/>
  <c r="D565" i="2"/>
  <c r="C565" i="2"/>
  <c r="B565" i="2"/>
  <c r="AG564" i="2"/>
  <c r="AG568" i="2" s="1"/>
  <c r="AF564" i="2"/>
  <c r="AF568" i="2" s="1"/>
  <c r="AE564" i="2"/>
  <c r="AE568" i="2" s="1"/>
  <c r="AD564" i="2"/>
  <c r="AD568" i="2" s="1"/>
  <c r="AC564" i="2"/>
  <c r="AC568" i="2" s="1"/>
  <c r="AB564" i="2"/>
  <c r="AA564" i="2"/>
  <c r="AA568" i="2" s="1"/>
  <c r="Z564" i="2"/>
  <c r="Z568" i="2" s="1"/>
  <c r="Y564" i="2"/>
  <c r="Y568" i="2" s="1"/>
  <c r="X564" i="2"/>
  <c r="W564" i="2"/>
  <c r="V564" i="2"/>
  <c r="U564" i="2"/>
  <c r="T564" i="2"/>
  <c r="T568" i="2" s="1"/>
  <c r="S564" i="2"/>
  <c r="S568" i="2" s="1"/>
  <c r="AV577" i="2" s="1"/>
  <c r="R564" i="2"/>
  <c r="R568" i="2" s="1"/>
  <c r="Q564" i="2"/>
  <c r="Q568" i="2" s="1"/>
  <c r="P564" i="2"/>
  <c r="P568" i="2" s="1"/>
  <c r="O564" i="2"/>
  <c r="O568" i="2" s="1"/>
  <c r="N564" i="2"/>
  <c r="N568" i="2" s="1"/>
  <c r="M564" i="2"/>
  <c r="M568" i="2" s="1"/>
  <c r="L564" i="2"/>
  <c r="L568" i="2" s="1"/>
  <c r="K564" i="2"/>
  <c r="J564" i="2"/>
  <c r="I564" i="2"/>
  <c r="I568" i="2" s="1"/>
  <c r="H564" i="2"/>
  <c r="H568" i="2" s="1"/>
  <c r="G564" i="2"/>
  <c r="G568" i="2" s="1"/>
  <c r="F564" i="2"/>
  <c r="F568" i="2" s="1"/>
  <c r="E564" i="2"/>
  <c r="E568" i="2" s="1"/>
  <c r="D564" i="2"/>
  <c r="D568" i="2" s="1"/>
  <c r="C564" i="2"/>
  <c r="C568" i="2" s="1"/>
  <c r="B564" i="2"/>
  <c r="B568" i="2" s="1"/>
  <c r="AG563" i="2"/>
  <c r="AF563" i="2"/>
  <c r="AE563" i="2"/>
  <c r="AD563" i="2"/>
  <c r="AC563" i="2"/>
  <c r="AB563" i="2"/>
  <c r="AA563" i="2"/>
  <c r="Z563" i="2"/>
  <c r="Y563" i="2"/>
  <c r="AO577" i="2" s="1"/>
  <c r="AO578" i="2" s="1"/>
  <c r="X563" i="2"/>
  <c r="W563" i="2"/>
  <c r="V563" i="2"/>
  <c r="U563" i="2"/>
  <c r="T563" i="2"/>
  <c r="S563" i="2"/>
  <c r="AN577" i="2" s="1"/>
  <c r="R563" i="2"/>
  <c r="Q563" i="2"/>
  <c r="P563" i="2"/>
  <c r="O563" i="2"/>
  <c r="N563" i="2"/>
  <c r="M563" i="2"/>
  <c r="L563" i="2"/>
  <c r="K563" i="2"/>
  <c r="AM577" i="2" s="1"/>
  <c r="J563" i="2"/>
  <c r="I563" i="2"/>
  <c r="H563" i="2"/>
  <c r="G563" i="2"/>
  <c r="F563" i="2"/>
  <c r="E563" i="2"/>
  <c r="D563" i="2"/>
  <c r="C563" i="2"/>
  <c r="B563" i="2"/>
  <c r="AL577" i="2" s="1"/>
  <c r="Q560" i="2"/>
  <c r="J560" i="2"/>
  <c r="AM559" i="2"/>
  <c r="Q559" i="2"/>
  <c r="J559" i="2"/>
  <c r="BD558" i="2"/>
  <c r="BD559" i="2" s="1"/>
  <c r="BC558" i="2"/>
  <c r="BC559" i="2" s="1"/>
  <c r="AO558" i="2"/>
  <c r="AO559" i="2" s="1"/>
  <c r="AN558" i="2"/>
  <c r="AN559" i="2" s="1"/>
  <c r="AM558" i="2"/>
  <c r="AL558" i="2"/>
  <c r="AL559" i="2" s="1"/>
  <c r="AK558" i="2"/>
  <c r="U558" i="2"/>
  <c r="U559" i="2" s="1"/>
  <c r="J558" i="2"/>
  <c r="BE557" i="2"/>
  <c r="BD557" i="2"/>
  <c r="BC557" i="2"/>
  <c r="BB557" i="2"/>
  <c r="BA557" i="2"/>
  <c r="AW557" i="2"/>
  <c r="AV557" i="2"/>
  <c r="AU557" i="2"/>
  <c r="AT557" i="2"/>
  <c r="AS557" i="2"/>
  <c r="AO557" i="2"/>
  <c r="AN557" i="2"/>
  <c r="AM557" i="2"/>
  <c r="AL557" i="2"/>
  <c r="AK557" i="2"/>
  <c r="AK559" i="2" s="1"/>
  <c r="AG557" i="2"/>
  <c r="AC557" i="2"/>
  <c r="U557" i="2"/>
  <c r="AB551" i="2"/>
  <c r="AG550" i="2"/>
  <c r="AF550" i="2"/>
  <c r="AE550" i="2"/>
  <c r="AD550" i="2"/>
  <c r="AC550" i="2"/>
  <c r="AB550" i="2"/>
  <c r="AA550" i="2"/>
  <c r="Z550" i="2"/>
  <c r="Y550" i="2"/>
  <c r="X550" i="2"/>
  <c r="W550" i="2"/>
  <c r="V550" i="2"/>
  <c r="U550" i="2"/>
  <c r="T550" i="2"/>
  <c r="S550" i="2"/>
  <c r="R550" i="2"/>
  <c r="Q550" i="2"/>
  <c r="P550" i="2"/>
  <c r="O550" i="2"/>
  <c r="N550" i="2"/>
  <c r="M550" i="2"/>
  <c r="L550" i="2"/>
  <c r="K550" i="2"/>
  <c r="J550" i="2"/>
  <c r="I550" i="2"/>
  <c r="H550" i="2"/>
  <c r="G550" i="2"/>
  <c r="F550" i="2"/>
  <c r="E550" i="2"/>
  <c r="D550" i="2"/>
  <c r="C550" i="2"/>
  <c r="B550" i="2"/>
  <c r="AG549" i="2"/>
  <c r="AG552" i="2" s="1"/>
  <c r="AF549" i="2"/>
  <c r="AF552" i="2" s="1"/>
  <c r="AE549" i="2"/>
  <c r="AE552" i="2" s="1"/>
  <c r="AD549" i="2"/>
  <c r="AD552" i="2" s="1"/>
  <c r="AC549" i="2"/>
  <c r="AC552" i="2" s="1"/>
  <c r="AB549" i="2"/>
  <c r="AB552" i="2" s="1"/>
  <c r="AA549" i="2"/>
  <c r="AA552" i="2" s="1"/>
  <c r="Z549" i="2"/>
  <c r="Z552" i="2" s="1"/>
  <c r="Y549" i="2"/>
  <c r="Y552" i="2" s="1"/>
  <c r="BE560" i="2" s="1"/>
  <c r="BE561" i="2" s="1"/>
  <c r="X549" i="2"/>
  <c r="X552" i="2" s="1"/>
  <c r="W549" i="2"/>
  <c r="W552" i="2" s="1"/>
  <c r="V549" i="2"/>
  <c r="V552" i="2" s="1"/>
  <c r="U549" i="2"/>
  <c r="U552" i="2" s="1"/>
  <c r="T549" i="2"/>
  <c r="T552" i="2" s="1"/>
  <c r="S549" i="2"/>
  <c r="S552" i="2" s="1"/>
  <c r="R549" i="2"/>
  <c r="R552" i="2" s="1"/>
  <c r="Q549" i="2"/>
  <c r="Q552" i="2" s="1"/>
  <c r="P549" i="2"/>
  <c r="P552" i="2" s="1"/>
  <c r="O549" i="2"/>
  <c r="O552" i="2" s="1"/>
  <c r="N549" i="2"/>
  <c r="N552" i="2" s="1"/>
  <c r="M549" i="2"/>
  <c r="M552" i="2" s="1"/>
  <c r="L549" i="2"/>
  <c r="L552" i="2" s="1"/>
  <c r="K549" i="2"/>
  <c r="K552" i="2" s="1"/>
  <c r="J549" i="2"/>
  <c r="J552" i="2" s="1"/>
  <c r="I549" i="2"/>
  <c r="I552" i="2" s="1"/>
  <c r="H549" i="2"/>
  <c r="H552" i="2" s="1"/>
  <c r="G549" i="2"/>
  <c r="G552" i="2" s="1"/>
  <c r="F549" i="2"/>
  <c r="F552" i="2" s="1"/>
  <c r="E549" i="2"/>
  <c r="E552" i="2" s="1"/>
  <c r="D549" i="2"/>
  <c r="D552" i="2" s="1"/>
  <c r="C549" i="2"/>
  <c r="C552" i="2" s="1"/>
  <c r="B549" i="2"/>
  <c r="B552" i="2" s="1"/>
  <c r="AG548" i="2"/>
  <c r="AF548" i="2"/>
  <c r="AF551" i="2" s="1"/>
  <c r="AE548" i="2"/>
  <c r="AE551" i="2" s="1"/>
  <c r="AD548" i="2"/>
  <c r="AC548" i="2"/>
  <c r="AC551" i="2" s="1"/>
  <c r="AB548" i="2"/>
  <c r="AA548" i="2"/>
  <c r="Z548" i="2"/>
  <c r="Y548" i="2"/>
  <c r="X548" i="2"/>
  <c r="X551" i="2" s="1"/>
  <c r="W548" i="2"/>
  <c r="V548" i="2"/>
  <c r="U548" i="2"/>
  <c r="T548" i="2"/>
  <c r="T551" i="2" s="1"/>
  <c r="S548" i="2"/>
  <c r="R548" i="2"/>
  <c r="R551" i="2" s="1"/>
  <c r="Q548" i="2"/>
  <c r="Q551" i="2" s="1"/>
  <c r="P548" i="2"/>
  <c r="O548" i="2"/>
  <c r="N548" i="2"/>
  <c r="M548" i="2"/>
  <c r="L548" i="2"/>
  <c r="K548" i="2"/>
  <c r="K551" i="2" s="1"/>
  <c r="J548" i="2"/>
  <c r="I548" i="2"/>
  <c r="H548" i="2"/>
  <c r="G548" i="2"/>
  <c r="G551" i="2" s="1"/>
  <c r="F548" i="2"/>
  <c r="E548" i="2"/>
  <c r="E551" i="2" s="1"/>
  <c r="D548" i="2"/>
  <c r="D551" i="2" s="1"/>
  <c r="C548" i="2"/>
  <c r="B548" i="2"/>
  <c r="AG547" i="2"/>
  <c r="AG551" i="2" s="1"/>
  <c r="AF547" i="2"/>
  <c r="AE547" i="2"/>
  <c r="AD547" i="2"/>
  <c r="AD551" i="2" s="1"/>
  <c r="AC547" i="2"/>
  <c r="AB547" i="2"/>
  <c r="AA547" i="2"/>
  <c r="AA551" i="2" s="1"/>
  <c r="Z547" i="2"/>
  <c r="Z551" i="2" s="1"/>
  <c r="Y547" i="2"/>
  <c r="Y551" i="2" s="1"/>
  <c r="X547" i="2"/>
  <c r="W547" i="2"/>
  <c r="W551" i="2" s="1"/>
  <c r="V547" i="2"/>
  <c r="V551" i="2" s="1"/>
  <c r="U547" i="2"/>
  <c r="U551" i="2" s="1"/>
  <c r="T547" i="2"/>
  <c r="S547" i="2"/>
  <c r="S551" i="2" s="1"/>
  <c r="AV560" i="2" s="1"/>
  <c r="R547" i="2"/>
  <c r="Q547" i="2"/>
  <c r="P547" i="2"/>
  <c r="P551" i="2" s="1"/>
  <c r="O547" i="2"/>
  <c r="O551" i="2" s="1"/>
  <c r="N547" i="2"/>
  <c r="N551" i="2" s="1"/>
  <c r="M547" i="2"/>
  <c r="M551" i="2" s="1"/>
  <c r="L547" i="2"/>
  <c r="L551" i="2" s="1"/>
  <c r="K547" i="2"/>
  <c r="J547" i="2"/>
  <c r="J551" i="2" s="1"/>
  <c r="I547" i="2"/>
  <c r="I551" i="2" s="1"/>
  <c r="H547" i="2"/>
  <c r="H551" i="2" s="1"/>
  <c r="G547" i="2"/>
  <c r="F547" i="2"/>
  <c r="F551" i="2" s="1"/>
  <c r="E547" i="2"/>
  <c r="D547" i="2"/>
  <c r="C547" i="2"/>
  <c r="C551" i="2" s="1"/>
  <c r="B547" i="2"/>
  <c r="B551" i="2" s="1"/>
  <c r="AG546" i="2"/>
  <c r="AF546" i="2"/>
  <c r="AE546" i="2"/>
  <c r="AD546" i="2"/>
  <c r="AC546" i="2"/>
  <c r="AB546" i="2"/>
  <c r="AA546" i="2"/>
  <c r="AO560" i="2" s="1"/>
  <c r="AO561" i="2" s="1"/>
  <c r="Z546" i="2"/>
  <c r="Y546" i="2"/>
  <c r="X546" i="2"/>
  <c r="W546" i="2"/>
  <c r="V546" i="2"/>
  <c r="U546" i="2"/>
  <c r="T546" i="2"/>
  <c r="AN560" i="2" s="1"/>
  <c r="S546" i="2"/>
  <c r="R546" i="2"/>
  <c r="Q546" i="2"/>
  <c r="P546" i="2"/>
  <c r="O546" i="2"/>
  <c r="U560" i="2" s="1"/>
  <c r="U561" i="2" s="1"/>
  <c r="N546" i="2"/>
  <c r="M546" i="2"/>
  <c r="L546" i="2"/>
  <c r="K546" i="2"/>
  <c r="J546" i="2"/>
  <c r="AM560" i="2" s="1"/>
  <c r="AM561" i="2" s="1"/>
  <c r="I546" i="2"/>
  <c r="H546" i="2"/>
  <c r="G546" i="2"/>
  <c r="F546" i="2"/>
  <c r="E546" i="2"/>
  <c r="D546" i="2"/>
  <c r="C546" i="2"/>
  <c r="B546" i="2"/>
  <c r="AL560" i="2" s="1"/>
  <c r="AL561" i="2" s="1"/>
  <c r="AN543" i="2"/>
  <c r="AN544" i="2" s="1"/>
  <c r="Q543" i="2"/>
  <c r="J543" i="2"/>
  <c r="AM542" i="2"/>
  <c r="AL542" i="2"/>
  <c r="AK542" i="2"/>
  <c r="Q542" i="2"/>
  <c r="J542" i="2"/>
  <c r="BB541" i="2"/>
  <c r="BB542" i="2" s="1"/>
  <c r="AO541" i="2"/>
  <c r="AO542" i="2" s="1"/>
  <c r="AN541" i="2"/>
  <c r="AN542" i="2" s="1"/>
  <c r="AM541" i="2"/>
  <c r="AL541" i="2"/>
  <c r="AK541" i="2"/>
  <c r="U541" i="2"/>
  <c r="U542" i="2" s="1"/>
  <c r="J541" i="2"/>
  <c r="BE540" i="2"/>
  <c r="BD540" i="2"/>
  <c r="BC540" i="2"/>
  <c r="BB540" i="2"/>
  <c r="BA540" i="2"/>
  <c r="AW540" i="2"/>
  <c r="AV540" i="2"/>
  <c r="AU540" i="2"/>
  <c r="AT540" i="2"/>
  <c r="AS540" i="2"/>
  <c r="AO540" i="2"/>
  <c r="AN540" i="2"/>
  <c r="AM540" i="2"/>
  <c r="AL540" i="2"/>
  <c r="AK540" i="2"/>
  <c r="AG540" i="2"/>
  <c r="AC540" i="2"/>
  <c r="U540" i="2"/>
  <c r="AG533" i="2"/>
  <c r="AF533" i="2"/>
  <c r="AE533" i="2"/>
  <c r="AD533" i="2"/>
  <c r="AC533" i="2"/>
  <c r="AB533" i="2"/>
  <c r="AA533" i="2"/>
  <c r="Z533" i="2"/>
  <c r="Y533" i="2"/>
  <c r="X533" i="2"/>
  <c r="W533" i="2"/>
  <c r="V533" i="2"/>
  <c r="U533" i="2"/>
  <c r="T533" i="2"/>
  <c r="S533" i="2"/>
  <c r="R533" i="2"/>
  <c r="Q533" i="2"/>
  <c r="P533" i="2"/>
  <c r="O533" i="2"/>
  <c r="N533" i="2"/>
  <c r="M533" i="2"/>
  <c r="L533" i="2"/>
  <c r="K533" i="2"/>
  <c r="J533" i="2"/>
  <c r="I533" i="2"/>
  <c r="H533" i="2"/>
  <c r="G533" i="2"/>
  <c r="F533" i="2"/>
  <c r="E533" i="2"/>
  <c r="D533" i="2"/>
  <c r="C533" i="2"/>
  <c r="B533" i="2"/>
  <c r="AG532" i="2"/>
  <c r="AG535" i="2" s="1"/>
  <c r="AF532" i="2"/>
  <c r="AF535" i="2" s="1"/>
  <c r="AE532" i="2"/>
  <c r="AE535" i="2" s="1"/>
  <c r="AD532" i="2"/>
  <c r="AD535" i="2" s="1"/>
  <c r="AC532" i="2"/>
  <c r="AC535" i="2" s="1"/>
  <c r="AB532" i="2"/>
  <c r="AB535" i="2" s="1"/>
  <c r="AA532" i="2"/>
  <c r="AA535" i="2" s="1"/>
  <c r="Z532" i="2"/>
  <c r="Z535" i="2" s="1"/>
  <c r="Y532" i="2"/>
  <c r="Y535" i="2" s="1"/>
  <c r="BE543" i="2" s="1"/>
  <c r="X532" i="2"/>
  <c r="X535" i="2" s="1"/>
  <c r="W532" i="2"/>
  <c r="W535" i="2" s="1"/>
  <c r="V532" i="2"/>
  <c r="V535" i="2" s="1"/>
  <c r="U532" i="2"/>
  <c r="U535" i="2" s="1"/>
  <c r="T532" i="2"/>
  <c r="T535" i="2" s="1"/>
  <c r="S532" i="2"/>
  <c r="S535" i="2" s="1"/>
  <c r="R532" i="2"/>
  <c r="R535" i="2" s="1"/>
  <c r="Q532" i="2"/>
  <c r="Q535" i="2" s="1"/>
  <c r="P532" i="2"/>
  <c r="P535" i="2" s="1"/>
  <c r="O532" i="2"/>
  <c r="O535" i="2" s="1"/>
  <c r="N532" i="2"/>
  <c r="N535" i="2" s="1"/>
  <c r="M532" i="2"/>
  <c r="M535" i="2" s="1"/>
  <c r="L532" i="2"/>
  <c r="L535" i="2" s="1"/>
  <c r="K532" i="2"/>
  <c r="K535" i="2" s="1"/>
  <c r="J532" i="2"/>
  <c r="J535" i="2" s="1"/>
  <c r="BC543" i="2" s="1"/>
  <c r="I532" i="2"/>
  <c r="I535" i="2" s="1"/>
  <c r="H532" i="2"/>
  <c r="H535" i="2" s="1"/>
  <c r="G532" i="2"/>
  <c r="G535" i="2" s="1"/>
  <c r="F532" i="2"/>
  <c r="F535" i="2" s="1"/>
  <c r="E532" i="2"/>
  <c r="E535" i="2" s="1"/>
  <c r="D532" i="2"/>
  <c r="D535" i="2" s="1"/>
  <c r="C532" i="2"/>
  <c r="C535" i="2" s="1"/>
  <c r="B532" i="2"/>
  <c r="B535" i="2" s="1"/>
  <c r="AG531" i="2"/>
  <c r="AF531" i="2"/>
  <c r="AE531" i="2"/>
  <c r="AD531" i="2"/>
  <c r="AD534" i="2" s="1"/>
  <c r="AC531" i="2"/>
  <c r="AC534" i="2" s="1"/>
  <c r="AB531" i="2"/>
  <c r="AA531" i="2"/>
  <c r="AA534" i="2" s="1"/>
  <c r="Z531" i="2"/>
  <c r="Y531" i="2"/>
  <c r="Y534" i="2" s="1"/>
  <c r="X531" i="2"/>
  <c r="X534" i="2" s="1"/>
  <c r="W531" i="2"/>
  <c r="V531" i="2"/>
  <c r="U531" i="2"/>
  <c r="T531" i="2"/>
  <c r="S531" i="2"/>
  <c r="R531" i="2"/>
  <c r="R534" i="2" s="1"/>
  <c r="Q531" i="2"/>
  <c r="P531" i="2"/>
  <c r="O531" i="2"/>
  <c r="O534" i="2" s="1"/>
  <c r="N531" i="2"/>
  <c r="N534" i="2" s="1"/>
  <c r="M531" i="2"/>
  <c r="M534" i="2" s="1"/>
  <c r="L531" i="2"/>
  <c r="L534" i="2" s="1"/>
  <c r="K531" i="2"/>
  <c r="K534" i="2" s="1"/>
  <c r="J531" i="2"/>
  <c r="I531" i="2"/>
  <c r="H531" i="2"/>
  <c r="G531" i="2"/>
  <c r="F531" i="2"/>
  <c r="F534" i="2" s="1"/>
  <c r="E531" i="2"/>
  <c r="E534" i="2" s="1"/>
  <c r="D531" i="2"/>
  <c r="C531" i="2"/>
  <c r="C534" i="2" s="1"/>
  <c r="B531" i="2"/>
  <c r="AG530" i="2"/>
  <c r="AG534" i="2" s="1"/>
  <c r="AF530" i="2"/>
  <c r="AF534" i="2" s="1"/>
  <c r="AE530" i="2"/>
  <c r="AE534" i="2" s="1"/>
  <c r="AD530" i="2"/>
  <c r="AC530" i="2"/>
  <c r="AB530" i="2"/>
  <c r="AB534" i="2" s="1"/>
  <c r="AA530" i="2"/>
  <c r="Z530" i="2"/>
  <c r="Z534" i="2" s="1"/>
  <c r="Y530" i="2"/>
  <c r="X530" i="2"/>
  <c r="W530" i="2"/>
  <c r="W534" i="2" s="1"/>
  <c r="V530" i="2"/>
  <c r="V534" i="2" s="1"/>
  <c r="U530" i="2"/>
  <c r="U534" i="2" s="1"/>
  <c r="T530" i="2"/>
  <c r="T534" i="2" s="1"/>
  <c r="S530" i="2"/>
  <c r="S534" i="2" s="1"/>
  <c r="AV543" i="2" s="1"/>
  <c r="R530" i="2"/>
  <c r="Q530" i="2"/>
  <c r="Q534" i="2" s="1"/>
  <c r="P530" i="2"/>
  <c r="P534" i="2" s="1"/>
  <c r="O530" i="2"/>
  <c r="N530" i="2"/>
  <c r="M530" i="2"/>
  <c r="L530" i="2"/>
  <c r="K530" i="2"/>
  <c r="J530" i="2"/>
  <c r="J534" i="2" s="1"/>
  <c r="I530" i="2"/>
  <c r="I534" i="2" s="1"/>
  <c r="H530" i="2"/>
  <c r="H534" i="2" s="1"/>
  <c r="G530" i="2"/>
  <c r="G534" i="2" s="1"/>
  <c r="F530" i="2"/>
  <c r="E530" i="2"/>
  <c r="D530" i="2"/>
  <c r="D534" i="2" s="1"/>
  <c r="C530" i="2"/>
  <c r="B530" i="2"/>
  <c r="B534" i="2" s="1"/>
  <c r="AG529" i="2"/>
  <c r="AF529" i="2"/>
  <c r="AE529" i="2"/>
  <c r="AD529" i="2"/>
  <c r="AC529" i="2"/>
  <c r="AB529" i="2"/>
  <c r="AA529" i="2"/>
  <c r="AO543" i="2" s="1"/>
  <c r="AO544" i="2" s="1"/>
  <c r="Z529" i="2"/>
  <c r="Y529" i="2"/>
  <c r="X529" i="2"/>
  <c r="W529" i="2"/>
  <c r="V529" i="2"/>
  <c r="U529" i="2"/>
  <c r="T529" i="2"/>
  <c r="S529" i="2"/>
  <c r="R529" i="2"/>
  <c r="Q529" i="2"/>
  <c r="P529" i="2"/>
  <c r="O529" i="2"/>
  <c r="N529" i="2"/>
  <c r="M529" i="2"/>
  <c r="L529" i="2"/>
  <c r="K529" i="2"/>
  <c r="J529" i="2"/>
  <c r="AM543" i="2" s="1"/>
  <c r="AM544" i="2" s="1"/>
  <c r="I529" i="2"/>
  <c r="H529" i="2"/>
  <c r="G529" i="2"/>
  <c r="F529" i="2"/>
  <c r="E529" i="2"/>
  <c r="D529" i="2"/>
  <c r="C529" i="2"/>
  <c r="AL543" i="2" s="1"/>
  <c r="AL544" i="2" s="1"/>
  <c r="B529" i="2"/>
  <c r="AK543" i="2" s="1"/>
  <c r="AK544" i="2" s="1"/>
  <c r="Q526" i="2"/>
  <c r="J526" i="2"/>
  <c r="AL525" i="2"/>
  <c r="Q525" i="2"/>
  <c r="BE558" i="2" s="1"/>
  <c r="BE559" i="2" s="1"/>
  <c r="J525" i="2"/>
  <c r="AS575" i="2" s="1"/>
  <c r="AS576" i="2" s="1"/>
  <c r="AO524" i="2"/>
  <c r="AO525" i="2" s="1"/>
  <c r="AN524" i="2"/>
  <c r="AN525" i="2" s="1"/>
  <c r="AM524" i="2"/>
  <c r="AM525" i="2" s="1"/>
  <c r="AL524" i="2"/>
  <c r="AK524" i="2"/>
  <c r="U524" i="2"/>
  <c r="J524" i="2"/>
  <c r="AU575" i="2" s="1"/>
  <c r="AU576" i="2" s="1"/>
  <c r="BE523" i="2"/>
  <c r="BD523" i="2"/>
  <c r="BC523" i="2"/>
  <c r="BB523" i="2"/>
  <c r="BA523" i="2"/>
  <c r="AW523" i="2"/>
  <c r="AV523" i="2"/>
  <c r="AU523" i="2"/>
  <c r="AT523" i="2"/>
  <c r="AS523" i="2"/>
  <c r="AO523" i="2"/>
  <c r="AN523" i="2"/>
  <c r="AM523" i="2"/>
  <c r="AL523" i="2"/>
  <c r="AK523" i="2"/>
  <c r="AK525" i="2" s="1"/>
  <c r="AG523" i="2"/>
  <c r="AC523" i="2"/>
  <c r="U523" i="2"/>
  <c r="U525" i="2" s="1"/>
  <c r="G517" i="2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AG515" i="2"/>
  <c r="AG518" i="2" s="1"/>
  <c r="AF515" i="2"/>
  <c r="AE515" i="2"/>
  <c r="AD515" i="2"/>
  <c r="AC515" i="2"/>
  <c r="AB515" i="2"/>
  <c r="AA515" i="2"/>
  <c r="Z515" i="2"/>
  <c r="Y515" i="2"/>
  <c r="X515" i="2"/>
  <c r="W515" i="2"/>
  <c r="W518" i="2" s="1"/>
  <c r="V515" i="2"/>
  <c r="U515" i="2"/>
  <c r="T515" i="2"/>
  <c r="S515" i="2"/>
  <c r="R515" i="2"/>
  <c r="Q515" i="2"/>
  <c r="P515" i="2"/>
  <c r="O515" i="2"/>
  <c r="N515" i="2"/>
  <c r="M515" i="2"/>
  <c r="M518" i="2" s="1"/>
  <c r="L515" i="2"/>
  <c r="L518" i="2" s="1"/>
  <c r="K515" i="2"/>
  <c r="K518" i="2" s="1"/>
  <c r="J515" i="2"/>
  <c r="J518" i="2" s="1"/>
  <c r="I515" i="2"/>
  <c r="I518" i="2" s="1"/>
  <c r="H515" i="2"/>
  <c r="G515" i="2"/>
  <c r="F515" i="2"/>
  <c r="E515" i="2"/>
  <c r="D515" i="2"/>
  <c r="C515" i="2"/>
  <c r="B515" i="2"/>
  <c r="AG514" i="2"/>
  <c r="AF514" i="2"/>
  <c r="AF517" i="2" s="1"/>
  <c r="AE514" i="2"/>
  <c r="AE517" i="2" s="1"/>
  <c r="AD514" i="2"/>
  <c r="AC514" i="2"/>
  <c r="AB514" i="2"/>
  <c r="AA514" i="2"/>
  <c r="Z514" i="2"/>
  <c r="Y514" i="2"/>
  <c r="Y517" i="2" s="1"/>
  <c r="X514" i="2"/>
  <c r="W514" i="2"/>
  <c r="V514" i="2"/>
  <c r="V517" i="2" s="1"/>
  <c r="U514" i="2"/>
  <c r="U517" i="2" s="1"/>
  <c r="T514" i="2"/>
  <c r="T517" i="2" s="1"/>
  <c r="S514" i="2"/>
  <c r="S517" i="2" s="1"/>
  <c r="R514" i="2"/>
  <c r="R517" i="2" s="1"/>
  <c r="Q514" i="2"/>
  <c r="P514" i="2"/>
  <c r="O514" i="2"/>
  <c r="N514" i="2"/>
  <c r="M514" i="2"/>
  <c r="M517" i="2" s="1"/>
  <c r="L514" i="2"/>
  <c r="L517" i="2" s="1"/>
  <c r="K514" i="2"/>
  <c r="K517" i="2" s="1"/>
  <c r="J514" i="2"/>
  <c r="J517" i="2" s="1"/>
  <c r="I514" i="2"/>
  <c r="H514" i="2"/>
  <c r="H517" i="2" s="1"/>
  <c r="G514" i="2"/>
  <c r="F514" i="2"/>
  <c r="E514" i="2"/>
  <c r="D514" i="2"/>
  <c r="C514" i="2"/>
  <c r="B514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T513" i="2"/>
  <c r="S513" i="2"/>
  <c r="R513" i="2"/>
  <c r="Q513" i="2"/>
  <c r="Q517" i="2" s="1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AG512" i="2"/>
  <c r="AF512" i="2"/>
  <c r="AE512" i="2"/>
  <c r="AD512" i="2"/>
  <c r="AC512" i="2"/>
  <c r="AB512" i="2"/>
  <c r="AA512" i="2"/>
  <c r="Z512" i="2"/>
  <c r="Y512" i="2"/>
  <c r="AO526" i="2" s="1"/>
  <c r="AO527" i="2" s="1"/>
  <c r="X512" i="2"/>
  <c r="W512" i="2"/>
  <c r="V512" i="2"/>
  <c r="U512" i="2"/>
  <c r="T512" i="2"/>
  <c r="S512" i="2"/>
  <c r="AN526" i="2" s="1"/>
  <c r="R512" i="2"/>
  <c r="Q512" i="2"/>
  <c r="P512" i="2"/>
  <c r="O512" i="2"/>
  <c r="N512" i="2"/>
  <c r="M512" i="2"/>
  <c r="L512" i="2"/>
  <c r="K512" i="2"/>
  <c r="J512" i="2"/>
  <c r="AM526" i="2" s="1"/>
  <c r="AM527" i="2" s="1"/>
  <c r="I512" i="2"/>
  <c r="H512" i="2"/>
  <c r="G512" i="2"/>
  <c r="F512" i="2"/>
  <c r="E512" i="2"/>
  <c r="D512" i="2"/>
  <c r="C512" i="2"/>
  <c r="B512" i="2"/>
  <c r="AL526" i="2" s="1"/>
  <c r="AL527" i="2" s="1"/>
  <c r="Q594" i="3"/>
  <c r="J594" i="3"/>
  <c r="Q593" i="3"/>
  <c r="J593" i="3"/>
  <c r="AO592" i="3"/>
  <c r="AO593" i="3" s="1"/>
  <c r="AN592" i="3"/>
  <c r="AN593" i="3" s="1"/>
  <c r="AM592" i="3"/>
  <c r="AM593" i="3" s="1"/>
  <c r="AL592" i="3"/>
  <c r="AL593" i="3" s="1"/>
  <c r="AK592" i="3"/>
  <c r="AK593" i="3" s="1"/>
  <c r="U592" i="3"/>
  <c r="U593" i="3" s="1"/>
  <c r="J592" i="3"/>
  <c r="BE591" i="3"/>
  <c r="BD591" i="3"/>
  <c r="BC591" i="3"/>
  <c r="BB591" i="3"/>
  <c r="BA591" i="3"/>
  <c r="AW591" i="3"/>
  <c r="AV591" i="3"/>
  <c r="AU591" i="3"/>
  <c r="AT591" i="3"/>
  <c r="AS591" i="3"/>
  <c r="AO591" i="3"/>
  <c r="AN591" i="3"/>
  <c r="AM591" i="3"/>
  <c r="AL591" i="3"/>
  <c r="AK591" i="3"/>
  <c r="AG591" i="3"/>
  <c r="AC591" i="3"/>
  <c r="U591" i="3"/>
  <c r="AG584" i="3"/>
  <c r="AF584" i="3"/>
  <c r="AE584" i="3"/>
  <c r="AD584" i="3"/>
  <c r="AC584" i="3"/>
  <c r="AB584" i="3"/>
  <c r="AA584" i="3"/>
  <c r="Z584" i="3"/>
  <c r="Y584" i="3"/>
  <c r="X584" i="3"/>
  <c r="W584" i="3"/>
  <c r="V584" i="3"/>
  <c r="U584" i="3"/>
  <c r="T584" i="3"/>
  <c r="S584" i="3"/>
  <c r="R584" i="3"/>
  <c r="Q584" i="3"/>
  <c r="P584" i="3"/>
  <c r="O584" i="3"/>
  <c r="N584" i="3"/>
  <c r="M584" i="3"/>
  <c r="L584" i="3"/>
  <c r="K584" i="3"/>
  <c r="J584" i="3"/>
  <c r="I584" i="3"/>
  <c r="H584" i="3"/>
  <c r="G584" i="3"/>
  <c r="F584" i="3"/>
  <c r="E584" i="3"/>
  <c r="D584" i="3"/>
  <c r="C584" i="3"/>
  <c r="B584" i="3"/>
  <c r="AG583" i="3"/>
  <c r="AF583" i="3"/>
  <c r="AE583" i="3"/>
  <c r="AD583" i="3"/>
  <c r="AC583" i="3"/>
  <c r="AB583" i="3"/>
  <c r="AA583" i="3"/>
  <c r="Z583" i="3"/>
  <c r="Y583" i="3"/>
  <c r="X583" i="3"/>
  <c r="W583" i="3"/>
  <c r="V583" i="3"/>
  <c r="U583" i="3"/>
  <c r="T583" i="3"/>
  <c r="S583" i="3"/>
  <c r="R583" i="3"/>
  <c r="Q583" i="3"/>
  <c r="P583" i="3"/>
  <c r="O583" i="3"/>
  <c r="N583" i="3"/>
  <c r="M583" i="3"/>
  <c r="L583" i="3"/>
  <c r="K583" i="3"/>
  <c r="J583" i="3"/>
  <c r="I583" i="3"/>
  <c r="H583" i="3"/>
  <c r="G583" i="3"/>
  <c r="F583" i="3"/>
  <c r="E583" i="3"/>
  <c r="D583" i="3"/>
  <c r="C583" i="3"/>
  <c r="B583" i="3"/>
  <c r="AG582" i="3"/>
  <c r="AF582" i="3"/>
  <c r="AE582" i="3"/>
  <c r="AD582" i="3"/>
  <c r="AC582" i="3"/>
  <c r="AB582" i="3"/>
  <c r="AA582" i="3"/>
  <c r="Z582" i="3"/>
  <c r="Y582" i="3"/>
  <c r="X582" i="3"/>
  <c r="W582" i="3"/>
  <c r="V582" i="3"/>
  <c r="U582" i="3"/>
  <c r="T582" i="3"/>
  <c r="S582" i="3"/>
  <c r="R582" i="3"/>
  <c r="Q582" i="3"/>
  <c r="P582" i="3"/>
  <c r="O582" i="3"/>
  <c r="N582" i="3"/>
  <c r="M582" i="3"/>
  <c r="L582" i="3"/>
  <c r="K582" i="3"/>
  <c r="J582" i="3"/>
  <c r="I582" i="3"/>
  <c r="H582" i="3"/>
  <c r="G582" i="3"/>
  <c r="F582" i="3"/>
  <c r="E582" i="3"/>
  <c r="D582" i="3"/>
  <c r="C582" i="3"/>
  <c r="B582" i="3"/>
  <c r="AG581" i="3"/>
  <c r="AF581" i="3"/>
  <c r="AE581" i="3"/>
  <c r="AD581" i="3"/>
  <c r="AC581" i="3"/>
  <c r="AB581" i="3"/>
  <c r="AA581" i="3"/>
  <c r="Z581" i="3"/>
  <c r="Y581" i="3"/>
  <c r="X581" i="3"/>
  <c r="W581" i="3"/>
  <c r="V581" i="3"/>
  <c r="U581" i="3"/>
  <c r="T581" i="3"/>
  <c r="S581" i="3"/>
  <c r="R581" i="3"/>
  <c r="Q581" i="3"/>
  <c r="P581" i="3"/>
  <c r="O581" i="3"/>
  <c r="N581" i="3"/>
  <c r="M581" i="3"/>
  <c r="L581" i="3"/>
  <c r="K581" i="3"/>
  <c r="J581" i="3"/>
  <c r="I581" i="3"/>
  <c r="H581" i="3"/>
  <c r="G581" i="3"/>
  <c r="F581" i="3"/>
  <c r="E581" i="3"/>
  <c r="D581" i="3"/>
  <c r="C581" i="3"/>
  <c r="B581" i="3"/>
  <c r="AG580" i="3"/>
  <c r="AF580" i="3"/>
  <c r="AE580" i="3"/>
  <c r="AD580" i="3"/>
  <c r="AC580" i="3"/>
  <c r="AB580" i="3"/>
  <c r="AA580" i="3"/>
  <c r="Z580" i="3"/>
  <c r="Y580" i="3"/>
  <c r="AO594" i="3" s="1"/>
  <c r="X580" i="3"/>
  <c r="W580" i="3"/>
  <c r="V580" i="3"/>
  <c r="U580" i="3"/>
  <c r="T580" i="3"/>
  <c r="S580" i="3"/>
  <c r="AN594" i="3" s="1"/>
  <c r="R580" i="3"/>
  <c r="Q580" i="3"/>
  <c r="P580" i="3"/>
  <c r="O580" i="3"/>
  <c r="N580" i="3"/>
  <c r="M580" i="3"/>
  <c r="L580" i="3"/>
  <c r="K580" i="3"/>
  <c r="J580" i="3"/>
  <c r="AM594" i="3" s="1"/>
  <c r="AM595" i="3" s="1"/>
  <c r="I580" i="3"/>
  <c r="H580" i="3"/>
  <c r="G580" i="3"/>
  <c r="F580" i="3"/>
  <c r="E580" i="3"/>
  <c r="D580" i="3"/>
  <c r="C580" i="3"/>
  <c r="B580" i="3"/>
  <c r="AL594" i="3" s="1"/>
  <c r="Q577" i="3"/>
  <c r="J577" i="3"/>
  <c r="Q576" i="3"/>
  <c r="J576" i="3"/>
  <c r="BA575" i="3"/>
  <c r="BA576" i="3" s="1"/>
  <c r="AW575" i="3"/>
  <c r="AW576" i="3" s="1"/>
  <c r="AO575" i="3"/>
  <c r="AO576" i="3" s="1"/>
  <c r="AN575" i="3"/>
  <c r="AN576" i="3" s="1"/>
  <c r="AM575" i="3"/>
  <c r="AM576" i="3" s="1"/>
  <c r="AL575" i="3"/>
  <c r="AL576" i="3" s="1"/>
  <c r="AK575" i="3"/>
  <c r="AK576" i="3" s="1"/>
  <c r="U575" i="3"/>
  <c r="U576" i="3" s="1"/>
  <c r="J575" i="3"/>
  <c r="BE574" i="3"/>
  <c r="BD574" i="3"/>
  <c r="BC574" i="3"/>
  <c r="BB574" i="3"/>
  <c r="BA574" i="3"/>
  <c r="AW574" i="3"/>
  <c r="AV574" i="3"/>
  <c r="AU574" i="3"/>
  <c r="AT574" i="3"/>
  <c r="AS574" i="3"/>
  <c r="AO574" i="3"/>
  <c r="AN574" i="3"/>
  <c r="AM574" i="3"/>
  <c r="AL574" i="3"/>
  <c r="AK574" i="3"/>
  <c r="AG574" i="3"/>
  <c r="AC574" i="3"/>
  <c r="U574" i="3"/>
  <c r="Z568" i="3"/>
  <c r="Y568" i="3"/>
  <c r="B568" i="3"/>
  <c r="AG567" i="3"/>
  <c r="AF567" i="3"/>
  <c r="AE567" i="3"/>
  <c r="AD567" i="3"/>
  <c r="AC567" i="3"/>
  <c r="AB567" i="3"/>
  <c r="AA567" i="3"/>
  <c r="Z567" i="3"/>
  <c r="Y567" i="3"/>
  <c r="X567" i="3"/>
  <c r="W567" i="3"/>
  <c r="V567" i="3"/>
  <c r="U567" i="3"/>
  <c r="T567" i="3"/>
  <c r="S567" i="3"/>
  <c r="R567" i="3"/>
  <c r="Q567" i="3"/>
  <c r="P567" i="3"/>
  <c r="O567" i="3"/>
  <c r="N567" i="3"/>
  <c r="M567" i="3"/>
  <c r="L567" i="3"/>
  <c r="K567" i="3"/>
  <c r="J567" i="3"/>
  <c r="I567" i="3"/>
  <c r="H567" i="3"/>
  <c r="G567" i="3"/>
  <c r="F567" i="3"/>
  <c r="E567" i="3"/>
  <c r="D567" i="3"/>
  <c r="C567" i="3"/>
  <c r="B567" i="3"/>
  <c r="AG566" i="3"/>
  <c r="AG569" i="3" s="1"/>
  <c r="AF566" i="3"/>
  <c r="AF569" i="3" s="1"/>
  <c r="AE566" i="3"/>
  <c r="AE569" i="3" s="1"/>
  <c r="AD566" i="3"/>
  <c r="AD569" i="3" s="1"/>
  <c r="AC566" i="3"/>
  <c r="AC569" i="3" s="1"/>
  <c r="AB566" i="3"/>
  <c r="AB569" i="3" s="1"/>
  <c r="AA566" i="3"/>
  <c r="AA569" i="3" s="1"/>
  <c r="Z566" i="3"/>
  <c r="Z569" i="3" s="1"/>
  <c r="Y566" i="3"/>
  <c r="Y569" i="3" s="1"/>
  <c r="X566" i="3"/>
  <c r="X569" i="3" s="1"/>
  <c r="W566" i="3"/>
  <c r="W569" i="3" s="1"/>
  <c r="V566" i="3"/>
  <c r="V569" i="3" s="1"/>
  <c r="U566" i="3"/>
  <c r="U569" i="3" s="1"/>
  <c r="T566" i="3"/>
  <c r="T569" i="3" s="1"/>
  <c r="S566" i="3"/>
  <c r="S569" i="3" s="1"/>
  <c r="R566" i="3"/>
  <c r="R569" i="3" s="1"/>
  <c r="Q566" i="3"/>
  <c r="Q569" i="3" s="1"/>
  <c r="P566" i="3"/>
  <c r="P569" i="3" s="1"/>
  <c r="O566" i="3"/>
  <c r="O569" i="3" s="1"/>
  <c r="N566" i="3"/>
  <c r="N569" i="3" s="1"/>
  <c r="M566" i="3"/>
  <c r="M569" i="3" s="1"/>
  <c r="L566" i="3"/>
  <c r="L569" i="3" s="1"/>
  <c r="K566" i="3"/>
  <c r="K569" i="3" s="1"/>
  <c r="J566" i="3"/>
  <c r="J569" i="3" s="1"/>
  <c r="BC577" i="3" s="1"/>
  <c r="I566" i="3"/>
  <c r="I569" i="3" s="1"/>
  <c r="H566" i="3"/>
  <c r="H569" i="3" s="1"/>
  <c r="G566" i="3"/>
  <c r="G569" i="3" s="1"/>
  <c r="F566" i="3"/>
  <c r="F569" i="3" s="1"/>
  <c r="E566" i="3"/>
  <c r="E569" i="3" s="1"/>
  <c r="D566" i="3"/>
  <c r="D569" i="3" s="1"/>
  <c r="C566" i="3"/>
  <c r="C569" i="3" s="1"/>
  <c r="B566" i="3"/>
  <c r="B569" i="3" s="1"/>
  <c r="AG565" i="3"/>
  <c r="AF565" i="3"/>
  <c r="AE565" i="3"/>
  <c r="AD565" i="3"/>
  <c r="AC565" i="3"/>
  <c r="AB565" i="3"/>
  <c r="AA565" i="3"/>
  <c r="Z565" i="3"/>
  <c r="Y565" i="3"/>
  <c r="X565" i="3"/>
  <c r="W565" i="3"/>
  <c r="V565" i="3"/>
  <c r="U565" i="3"/>
  <c r="T565" i="3"/>
  <c r="T568" i="3" s="1"/>
  <c r="S565" i="3"/>
  <c r="S568" i="3" s="1"/>
  <c r="R565" i="3"/>
  <c r="R568" i="3" s="1"/>
  <c r="Q565" i="3"/>
  <c r="Q568" i="3" s="1"/>
  <c r="P565" i="3"/>
  <c r="O565" i="3"/>
  <c r="N565" i="3"/>
  <c r="M565" i="3"/>
  <c r="L565" i="3"/>
  <c r="K565" i="3"/>
  <c r="J565" i="3"/>
  <c r="I565" i="3"/>
  <c r="H565" i="3"/>
  <c r="G565" i="3"/>
  <c r="F565" i="3"/>
  <c r="E565" i="3"/>
  <c r="D565" i="3"/>
  <c r="C565" i="3"/>
  <c r="B565" i="3"/>
  <c r="AG564" i="3"/>
  <c r="AG568" i="3" s="1"/>
  <c r="AF564" i="3"/>
  <c r="AF568" i="3" s="1"/>
  <c r="AE564" i="3"/>
  <c r="AE568" i="3" s="1"/>
  <c r="AD564" i="3"/>
  <c r="AD568" i="3" s="1"/>
  <c r="AC564" i="3"/>
  <c r="AC568" i="3" s="1"/>
  <c r="AB564" i="3"/>
  <c r="AB568" i="3" s="1"/>
  <c r="AA564" i="3"/>
  <c r="AA568" i="3" s="1"/>
  <c r="Z564" i="3"/>
  <c r="Y564" i="3"/>
  <c r="X564" i="3"/>
  <c r="X568" i="3" s="1"/>
  <c r="W564" i="3"/>
  <c r="W568" i="3" s="1"/>
  <c r="V564" i="3"/>
  <c r="V568" i="3" s="1"/>
  <c r="U564" i="3"/>
  <c r="U568" i="3" s="1"/>
  <c r="T564" i="3"/>
  <c r="S564" i="3"/>
  <c r="R564" i="3"/>
  <c r="Q564" i="3"/>
  <c r="P564" i="3"/>
  <c r="P568" i="3" s="1"/>
  <c r="O564" i="3"/>
  <c r="O568" i="3" s="1"/>
  <c r="N564" i="3"/>
  <c r="N568" i="3" s="1"/>
  <c r="M564" i="3"/>
  <c r="M568" i="3" s="1"/>
  <c r="L564" i="3"/>
  <c r="L568" i="3" s="1"/>
  <c r="K564" i="3"/>
  <c r="K568" i="3" s="1"/>
  <c r="J564" i="3"/>
  <c r="J568" i="3" s="1"/>
  <c r="I564" i="3"/>
  <c r="I568" i="3" s="1"/>
  <c r="H564" i="3"/>
  <c r="H568" i="3" s="1"/>
  <c r="G564" i="3"/>
  <c r="G568" i="3" s="1"/>
  <c r="F564" i="3"/>
  <c r="F568" i="3" s="1"/>
  <c r="E564" i="3"/>
  <c r="E568" i="3" s="1"/>
  <c r="D564" i="3"/>
  <c r="D568" i="3" s="1"/>
  <c r="C564" i="3"/>
  <c r="C568" i="3" s="1"/>
  <c r="B564" i="3"/>
  <c r="AG563" i="3"/>
  <c r="AF563" i="3"/>
  <c r="AE563" i="3"/>
  <c r="AD563" i="3"/>
  <c r="AC563" i="3"/>
  <c r="AB563" i="3"/>
  <c r="AA563" i="3"/>
  <c r="Z563" i="3"/>
  <c r="Y563" i="3"/>
  <c r="AO577" i="3" s="1"/>
  <c r="X563" i="3"/>
  <c r="W563" i="3"/>
  <c r="V563" i="3"/>
  <c r="U563" i="3"/>
  <c r="T563" i="3"/>
  <c r="S563" i="3"/>
  <c r="AN577" i="3" s="1"/>
  <c r="AN578" i="3" s="1"/>
  <c r="R563" i="3"/>
  <c r="Q563" i="3"/>
  <c r="P563" i="3"/>
  <c r="O563" i="3"/>
  <c r="N563" i="3"/>
  <c r="M563" i="3"/>
  <c r="L563" i="3"/>
  <c r="K563" i="3"/>
  <c r="J563" i="3"/>
  <c r="AM577" i="3" s="1"/>
  <c r="AM578" i="3" s="1"/>
  <c r="I563" i="3"/>
  <c r="H563" i="3"/>
  <c r="G563" i="3"/>
  <c r="F563" i="3"/>
  <c r="E563" i="3"/>
  <c r="D563" i="3"/>
  <c r="C563" i="3"/>
  <c r="B563" i="3"/>
  <c r="AL577" i="3" s="1"/>
  <c r="AL560" i="3"/>
  <c r="Q560" i="3"/>
  <c r="J560" i="3"/>
  <c r="AK559" i="3"/>
  <c r="U559" i="3"/>
  <c r="Q559" i="3"/>
  <c r="J559" i="3"/>
  <c r="AO558" i="3"/>
  <c r="AO559" i="3" s="1"/>
  <c r="AN558" i="3"/>
  <c r="AM558" i="3"/>
  <c r="AL558" i="3"/>
  <c r="AK558" i="3"/>
  <c r="U558" i="3"/>
  <c r="J558" i="3"/>
  <c r="BE557" i="3"/>
  <c r="BD557" i="3"/>
  <c r="BC557" i="3"/>
  <c r="BB557" i="3"/>
  <c r="BA557" i="3"/>
  <c r="AW557" i="3"/>
  <c r="AV557" i="3"/>
  <c r="AU557" i="3"/>
  <c r="AT557" i="3"/>
  <c r="AS557" i="3"/>
  <c r="AO557" i="3"/>
  <c r="AN557" i="3"/>
  <c r="AN559" i="3" s="1"/>
  <c r="AM557" i="3"/>
  <c r="AM559" i="3" s="1"/>
  <c r="AL557" i="3"/>
  <c r="AL559" i="3" s="1"/>
  <c r="AK557" i="3"/>
  <c r="AG557" i="3"/>
  <c r="AC557" i="3"/>
  <c r="U557" i="3"/>
  <c r="AG550" i="3"/>
  <c r="AF550" i="3"/>
  <c r="AE550" i="3"/>
  <c r="AD550" i="3"/>
  <c r="AC550" i="3"/>
  <c r="AB550" i="3"/>
  <c r="AA550" i="3"/>
  <c r="Z550" i="3"/>
  <c r="Y550" i="3"/>
  <c r="X550" i="3"/>
  <c r="W550" i="3"/>
  <c r="V550" i="3"/>
  <c r="U550" i="3"/>
  <c r="T550" i="3"/>
  <c r="S550" i="3"/>
  <c r="R550" i="3"/>
  <c r="Q550" i="3"/>
  <c r="P550" i="3"/>
  <c r="O550" i="3"/>
  <c r="N550" i="3"/>
  <c r="M550" i="3"/>
  <c r="L550" i="3"/>
  <c r="K550" i="3"/>
  <c r="J550" i="3"/>
  <c r="I550" i="3"/>
  <c r="H550" i="3"/>
  <c r="G550" i="3"/>
  <c r="F550" i="3"/>
  <c r="E550" i="3"/>
  <c r="D550" i="3"/>
  <c r="C550" i="3"/>
  <c r="B550" i="3"/>
  <c r="AG549" i="3"/>
  <c r="AG552" i="3" s="1"/>
  <c r="AF549" i="3"/>
  <c r="AF552" i="3" s="1"/>
  <c r="AE549" i="3"/>
  <c r="AE552" i="3" s="1"/>
  <c r="AD549" i="3"/>
  <c r="AD552" i="3" s="1"/>
  <c r="AC549" i="3"/>
  <c r="AC552" i="3" s="1"/>
  <c r="AB549" i="3"/>
  <c r="AB552" i="3" s="1"/>
  <c r="AA549" i="3"/>
  <c r="AA552" i="3" s="1"/>
  <c r="Z549" i="3"/>
  <c r="Z552" i="3" s="1"/>
  <c r="Y549" i="3"/>
  <c r="Y552" i="3" s="1"/>
  <c r="X549" i="3"/>
  <c r="X552" i="3" s="1"/>
  <c r="W549" i="3"/>
  <c r="W552" i="3" s="1"/>
  <c r="V549" i="3"/>
  <c r="V552" i="3" s="1"/>
  <c r="U549" i="3"/>
  <c r="U552" i="3" s="1"/>
  <c r="T549" i="3"/>
  <c r="T552" i="3" s="1"/>
  <c r="S549" i="3"/>
  <c r="S552" i="3" s="1"/>
  <c r="R549" i="3"/>
  <c r="R552" i="3" s="1"/>
  <c r="Q549" i="3"/>
  <c r="Q552" i="3" s="1"/>
  <c r="P549" i="3"/>
  <c r="P552" i="3" s="1"/>
  <c r="O549" i="3"/>
  <c r="O552" i="3" s="1"/>
  <c r="N549" i="3"/>
  <c r="N552" i="3" s="1"/>
  <c r="M549" i="3"/>
  <c r="M552" i="3" s="1"/>
  <c r="L549" i="3"/>
  <c r="L552" i="3" s="1"/>
  <c r="K549" i="3"/>
  <c r="K552" i="3" s="1"/>
  <c r="J549" i="3"/>
  <c r="J552" i="3" s="1"/>
  <c r="BC560" i="3" s="1"/>
  <c r="I549" i="3"/>
  <c r="I552" i="3" s="1"/>
  <c r="H549" i="3"/>
  <c r="H552" i="3" s="1"/>
  <c r="G549" i="3"/>
  <c r="G552" i="3" s="1"/>
  <c r="F549" i="3"/>
  <c r="F552" i="3" s="1"/>
  <c r="E549" i="3"/>
  <c r="E552" i="3" s="1"/>
  <c r="D549" i="3"/>
  <c r="D552" i="3" s="1"/>
  <c r="C549" i="3"/>
  <c r="C552" i="3" s="1"/>
  <c r="B549" i="3"/>
  <c r="B552" i="3" s="1"/>
  <c r="AG548" i="3"/>
  <c r="AG551" i="3" s="1"/>
  <c r="AF548" i="3"/>
  <c r="AF551" i="3" s="1"/>
  <c r="AE548" i="3"/>
  <c r="AD548" i="3"/>
  <c r="AC548" i="3"/>
  <c r="AB548" i="3"/>
  <c r="AA548" i="3"/>
  <c r="AA551" i="3" s="1"/>
  <c r="Z548" i="3"/>
  <c r="Z551" i="3" s="1"/>
  <c r="Y548" i="3"/>
  <c r="Y551" i="3" s="1"/>
  <c r="X548" i="3"/>
  <c r="X551" i="3" s="1"/>
  <c r="W548" i="3"/>
  <c r="V548" i="3"/>
  <c r="U548" i="3"/>
  <c r="T548" i="3"/>
  <c r="S548" i="3"/>
  <c r="R548" i="3"/>
  <c r="Q548" i="3"/>
  <c r="P548" i="3"/>
  <c r="O548" i="3"/>
  <c r="N548" i="3"/>
  <c r="N551" i="3" s="1"/>
  <c r="M548" i="3"/>
  <c r="M551" i="3" s="1"/>
  <c r="L548" i="3"/>
  <c r="L551" i="3" s="1"/>
  <c r="K548" i="3"/>
  <c r="J548" i="3"/>
  <c r="I548" i="3"/>
  <c r="I551" i="3" s="1"/>
  <c r="H548" i="3"/>
  <c r="H551" i="3" s="1"/>
  <c r="G548" i="3"/>
  <c r="F548" i="3"/>
  <c r="E548" i="3"/>
  <c r="D548" i="3"/>
  <c r="C548" i="3"/>
  <c r="C551" i="3" s="1"/>
  <c r="B548" i="3"/>
  <c r="B551" i="3" s="1"/>
  <c r="AG547" i="3"/>
  <c r="AF547" i="3"/>
  <c r="AE547" i="3"/>
  <c r="AE551" i="3" s="1"/>
  <c r="AD547" i="3"/>
  <c r="AD551" i="3" s="1"/>
  <c r="AC547" i="3"/>
  <c r="AC551" i="3" s="1"/>
  <c r="AB547" i="3"/>
  <c r="AB551" i="3" s="1"/>
  <c r="AA547" i="3"/>
  <c r="Z547" i="3"/>
  <c r="Y547" i="3"/>
  <c r="X547" i="3"/>
  <c r="W547" i="3"/>
  <c r="W551" i="3" s="1"/>
  <c r="V547" i="3"/>
  <c r="V551" i="3" s="1"/>
  <c r="U547" i="3"/>
  <c r="U551" i="3" s="1"/>
  <c r="T547" i="3"/>
  <c r="T551" i="3" s="1"/>
  <c r="S547" i="3"/>
  <c r="S551" i="3" s="1"/>
  <c r="R547" i="3"/>
  <c r="R551" i="3" s="1"/>
  <c r="Q547" i="3"/>
  <c r="Q551" i="3" s="1"/>
  <c r="P547" i="3"/>
  <c r="P551" i="3" s="1"/>
  <c r="O547" i="3"/>
  <c r="O551" i="3" s="1"/>
  <c r="N547" i="3"/>
  <c r="M547" i="3"/>
  <c r="L547" i="3"/>
  <c r="K547" i="3"/>
  <c r="K551" i="3" s="1"/>
  <c r="J547" i="3"/>
  <c r="J551" i="3" s="1"/>
  <c r="I547" i="3"/>
  <c r="H547" i="3"/>
  <c r="G547" i="3"/>
  <c r="G551" i="3" s="1"/>
  <c r="F547" i="3"/>
  <c r="F551" i="3" s="1"/>
  <c r="E547" i="3"/>
  <c r="E551" i="3" s="1"/>
  <c r="D547" i="3"/>
  <c r="D551" i="3" s="1"/>
  <c r="C547" i="3"/>
  <c r="B547" i="3"/>
  <c r="AG546" i="3"/>
  <c r="AF546" i="3"/>
  <c r="AE546" i="3"/>
  <c r="AD546" i="3"/>
  <c r="AC546" i="3"/>
  <c r="AB546" i="3"/>
  <c r="AA546" i="3"/>
  <c r="Z546" i="3"/>
  <c r="Y546" i="3"/>
  <c r="AO560" i="3" s="1"/>
  <c r="X546" i="3"/>
  <c r="AK560" i="3" s="1"/>
  <c r="AK561" i="3" s="1"/>
  <c r="W546" i="3"/>
  <c r="V546" i="3"/>
  <c r="U546" i="3"/>
  <c r="T546" i="3"/>
  <c r="S546" i="3"/>
  <c r="AN560" i="3" s="1"/>
  <c r="AN561" i="3" s="1"/>
  <c r="R546" i="3"/>
  <c r="Q546" i="3"/>
  <c r="P546" i="3"/>
  <c r="O546" i="3"/>
  <c r="N546" i="3"/>
  <c r="M546" i="3"/>
  <c r="L546" i="3"/>
  <c r="K546" i="3"/>
  <c r="J546" i="3"/>
  <c r="AM560" i="3" s="1"/>
  <c r="AM561" i="3" s="1"/>
  <c r="I546" i="3"/>
  <c r="H546" i="3"/>
  <c r="G546" i="3"/>
  <c r="F546" i="3"/>
  <c r="E546" i="3"/>
  <c r="D546" i="3"/>
  <c r="C546" i="3"/>
  <c r="B546" i="3"/>
  <c r="U560" i="3" s="1"/>
  <c r="U561" i="3" s="1"/>
  <c r="Q543" i="3"/>
  <c r="J543" i="3"/>
  <c r="AO542" i="3"/>
  <c r="AN542" i="3"/>
  <c r="Q542" i="3"/>
  <c r="J542" i="3"/>
  <c r="AO541" i="3"/>
  <c r="AN541" i="3"/>
  <c r="AM541" i="3"/>
  <c r="AM542" i="3" s="1"/>
  <c r="AL541" i="3"/>
  <c r="AL542" i="3" s="1"/>
  <c r="AK541" i="3"/>
  <c r="AK542" i="3" s="1"/>
  <c r="AG541" i="3"/>
  <c r="U541" i="3"/>
  <c r="J541" i="3"/>
  <c r="BE540" i="3"/>
  <c r="BD540" i="3"/>
  <c r="BC540" i="3"/>
  <c r="BB540" i="3"/>
  <c r="BA540" i="3"/>
  <c r="AW540" i="3"/>
  <c r="AV540" i="3"/>
  <c r="AU540" i="3"/>
  <c r="AT540" i="3"/>
  <c r="AS540" i="3"/>
  <c r="AO540" i="3"/>
  <c r="AN540" i="3"/>
  <c r="AM540" i="3"/>
  <c r="AL540" i="3"/>
  <c r="AK540" i="3"/>
  <c r="AG540" i="3"/>
  <c r="AG542" i="3" s="1"/>
  <c r="AC540" i="3"/>
  <c r="U540" i="3"/>
  <c r="U542" i="3" s="1"/>
  <c r="AG533" i="3"/>
  <c r="AF533" i="3"/>
  <c r="AE533" i="3"/>
  <c r="AD533" i="3"/>
  <c r="AC533" i="3"/>
  <c r="AB533" i="3"/>
  <c r="AA533" i="3"/>
  <c r="Z533" i="3"/>
  <c r="Y533" i="3"/>
  <c r="X533" i="3"/>
  <c r="W533" i="3"/>
  <c r="V533" i="3"/>
  <c r="U533" i="3"/>
  <c r="T533" i="3"/>
  <c r="S533" i="3"/>
  <c r="R533" i="3"/>
  <c r="Q533" i="3"/>
  <c r="P533" i="3"/>
  <c r="O533" i="3"/>
  <c r="N533" i="3"/>
  <c r="M533" i="3"/>
  <c r="L533" i="3"/>
  <c r="K533" i="3"/>
  <c r="J533" i="3"/>
  <c r="I533" i="3"/>
  <c r="H533" i="3"/>
  <c r="G533" i="3"/>
  <c r="F533" i="3"/>
  <c r="E533" i="3"/>
  <c r="D533" i="3"/>
  <c r="C533" i="3"/>
  <c r="B533" i="3"/>
  <c r="AG532" i="3"/>
  <c r="AG535" i="3" s="1"/>
  <c r="AF532" i="3"/>
  <c r="AF535" i="3" s="1"/>
  <c r="AE532" i="3"/>
  <c r="AE535" i="3" s="1"/>
  <c r="AD532" i="3"/>
  <c r="AD535" i="3" s="1"/>
  <c r="AC532" i="3"/>
  <c r="AC535" i="3" s="1"/>
  <c r="AB532" i="3"/>
  <c r="AB535" i="3" s="1"/>
  <c r="AA532" i="3"/>
  <c r="AA535" i="3" s="1"/>
  <c r="Z532" i="3"/>
  <c r="Z535" i="3" s="1"/>
  <c r="Y532" i="3"/>
  <c r="Y535" i="3" s="1"/>
  <c r="X532" i="3"/>
  <c r="X535" i="3" s="1"/>
  <c r="W532" i="3"/>
  <c r="W535" i="3" s="1"/>
  <c r="V532" i="3"/>
  <c r="V535" i="3" s="1"/>
  <c r="U532" i="3"/>
  <c r="U535" i="3" s="1"/>
  <c r="T532" i="3"/>
  <c r="T535" i="3" s="1"/>
  <c r="S532" i="3"/>
  <c r="S535" i="3" s="1"/>
  <c r="R532" i="3"/>
  <c r="R535" i="3" s="1"/>
  <c r="Q532" i="3"/>
  <c r="Q535" i="3" s="1"/>
  <c r="P532" i="3"/>
  <c r="P535" i="3" s="1"/>
  <c r="O532" i="3"/>
  <c r="O535" i="3" s="1"/>
  <c r="N532" i="3"/>
  <c r="N535" i="3" s="1"/>
  <c r="M532" i="3"/>
  <c r="M535" i="3" s="1"/>
  <c r="L532" i="3"/>
  <c r="L535" i="3" s="1"/>
  <c r="K532" i="3"/>
  <c r="K535" i="3" s="1"/>
  <c r="J532" i="3"/>
  <c r="J535" i="3" s="1"/>
  <c r="BC543" i="3" s="1"/>
  <c r="I532" i="3"/>
  <c r="I535" i="3" s="1"/>
  <c r="H532" i="3"/>
  <c r="H535" i="3" s="1"/>
  <c r="G532" i="3"/>
  <c r="G535" i="3" s="1"/>
  <c r="F532" i="3"/>
  <c r="F535" i="3" s="1"/>
  <c r="E532" i="3"/>
  <c r="E535" i="3" s="1"/>
  <c r="D532" i="3"/>
  <c r="D535" i="3" s="1"/>
  <c r="C532" i="3"/>
  <c r="C535" i="3" s="1"/>
  <c r="B532" i="3"/>
  <c r="B535" i="3" s="1"/>
  <c r="AG531" i="3"/>
  <c r="AG534" i="3" s="1"/>
  <c r="AF531" i="3"/>
  <c r="AF534" i="3" s="1"/>
  <c r="AE531" i="3"/>
  <c r="AE534" i="3" s="1"/>
  <c r="AD531" i="3"/>
  <c r="AC531" i="3"/>
  <c r="AB531" i="3"/>
  <c r="AA531" i="3"/>
  <c r="Z531" i="3"/>
  <c r="Y531" i="3"/>
  <c r="X531" i="3"/>
  <c r="W531" i="3"/>
  <c r="V531" i="3"/>
  <c r="V534" i="3" s="1"/>
  <c r="U531" i="3"/>
  <c r="U534" i="3" s="1"/>
  <c r="T531" i="3"/>
  <c r="T534" i="3" s="1"/>
  <c r="S531" i="3"/>
  <c r="S534" i="3" s="1"/>
  <c r="R531" i="3"/>
  <c r="Q531" i="3"/>
  <c r="P531" i="3"/>
  <c r="P534" i="3" s="1"/>
  <c r="O531" i="3"/>
  <c r="O534" i="3" s="1"/>
  <c r="N531" i="3"/>
  <c r="M531" i="3"/>
  <c r="L531" i="3"/>
  <c r="K531" i="3"/>
  <c r="J531" i="3"/>
  <c r="J534" i="3" s="1"/>
  <c r="I531" i="3"/>
  <c r="I534" i="3" s="1"/>
  <c r="H531" i="3"/>
  <c r="H534" i="3" s="1"/>
  <c r="G531" i="3"/>
  <c r="G534" i="3" s="1"/>
  <c r="F531" i="3"/>
  <c r="E531" i="3"/>
  <c r="D531" i="3"/>
  <c r="C531" i="3"/>
  <c r="B531" i="3"/>
  <c r="AG530" i="3"/>
  <c r="AF530" i="3"/>
  <c r="AE530" i="3"/>
  <c r="AD530" i="3"/>
  <c r="AD534" i="3" s="1"/>
  <c r="AC530" i="3"/>
  <c r="AC534" i="3" s="1"/>
  <c r="AB530" i="3"/>
  <c r="AB534" i="3" s="1"/>
  <c r="AA530" i="3"/>
  <c r="AA534" i="3" s="1"/>
  <c r="Z530" i="3"/>
  <c r="Z534" i="3" s="1"/>
  <c r="Y530" i="3"/>
  <c r="Y534" i="3" s="1"/>
  <c r="X530" i="3"/>
  <c r="X534" i="3" s="1"/>
  <c r="W530" i="3"/>
  <c r="W534" i="3" s="1"/>
  <c r="V530" i="3"/>
  <c r="U530" i="3"/>
  <c r="T530" i="3"/>
  <c r="S530" i="3"/>
  <c r="R530" i="3"/>
  <c r="R534" i="3" s="1"/>
  <c r="Q530" i="3"/>
  <c r="Q534" i="3" s="1"/>
  <c r="P530" i="3"/>
  <c r="O530" i="3"/>
  <c r="N530" i="3"/>
  <c r="N534" i="3" s="1"/>
  <c r="M530" i="3"/>
  <c r="M534" i="3" s="1"/>
  <c r="L530" i="3"/>
  <c r="L534" i="3" s="1"/>
  <c r="K530" i="3"/>
  <c r="K534" i="3" s="1"/>
  <c r="J530" i="3"/>
  <c r="I530" i="3"/>
  <c r="H530" i="3"/>
  <c r="G530" i="3"/>
  <c r="F530" i="3"/>
  <c r="F534" i="3" s="1"/>
  <c r="E530" i="3"/>
  <c r="E534" i="3" s="1"/>
  <c r="D530" i="3"/>
  <c r="D534" i="3" s="1"/>
  <c r="C530" i="3"/>
  <c r="C534" i="3" s="1"/>
  <c r="B530" i="3"/>
  <c r="B534" i="3" s="1"/>
  <c r="AG529" i="3"/>
  <c r="AF529" i="3"/>
  <c r="AE529" i="3"/>
  <c r="AD529" i="3"/>
  <c r="AC529" i="3"/>
  <c r="AB529" i="3"/>
  <c r="AA529" i="3"/>
  <c r="Z529" i="3"/>
  <c r="Y529" i="3"/>
  <c r="AO543" i="3" s="1"/>
  <c r="AO544" i="3" s="1"/>
  <c r="X529" i="3"/>
  <c r="W529" i="3"/>
  <c r="V529" i="3"/>
  <c r="U529" i="3"/>
  <c r="T529" i="3"/>
  <c r="S529" i="3"/>
  <c r="AN543" i="3" s="1"/>
  <c r="AN544" i="3" s="1"/>
  <c r="R529" i="3"/>
  <c r="Q529" i="3"/>
  <c r="P529" i="3"/>
  <c r="O529" i="3"/>
  <c r="N529" i="3"/>
  <c r="M529" i="3"/>
  <c r="L529" i="3"/>
  <c r="K529" i="3"/>
  <c r="J529" i="3"/>
  <c r="AM543" i="3" s="1"/>
  <c r="AM544" i="3" s="1"/>
  <c r="I529" i="3"/>
  <c r="H529" i="3"/>
  <c r="G529" i="3"/>
  <c r="F529" i="3"/>
  <c r="E529" i="3"/>
  <c r="D529" i="3"/>
  <c r="C529" i="3"/>
  <c r="B529" i="3"/>
  <c r="AL543" i="3" s="1"/>
  <c r="Q526" i="3"/>
  <c r="AG524" i="3" s="1"/>
  <c r="J526" i="3"/>
  <c r="BD525" i="3"/>
  <c r="BC525" i="3"/>
  <c r="BB525" i="3"/>
  <c r="BA525" i="3"/>
  <c r="Q525" i="3"/>
  <c r="BE558" i="3" s="1"/>
  <c r="BE559" i="3" s="1"/>
  <c r="J525" i="3"/>
  <c r="BD524" i="3"/>
  <c r="BC524" i="3"/>
  <c r="BB524" i="3"/>
  <c r="BA524" i="3"/>
  <c r="AW524" i="3"/>
  <c r="AW525" i="3" s="1"/>
  <c r="AV524" i="3"/>
  <c r="AV525" i="3" s="1"/>
  <c r="AU524" i="3"/>
  <c r="AU525" i="3" s="1"/>
  <c r="AT524" i="3"/>
  <c r="AT525" i="3" s="1"/>
  <c r="AO524" i="3"/>
  <c r="AN524" i="3"/>
  <c r="AM524" i="3"/>
  <c r="AL524" i="3"/>
  <c r="AL525" i="3" s="1"/>
  <c r="AK524" i="3"/>
  <c r="AK525" i="3" s="1"/>
  <c r="AC524" i="3"/>
  <c r="AC525" i="3" s="1"/>
  <c r="U524" i="3"/>
  <c r="U525" i="3" s="1"/>
  <c r="J524" i="3"/>
  <c r="AU575" i="3" s="1"/>
  <c r="AU576" i="3" s="1"/>
  <c r="BE523" i="3"/>
  <c r="BD523" i="3"/>
  <c r="BC523" i="3"/>
  <c r="BB523" i="3"/>
  <c r="BA523" i="3"/>
  <c r="AW523" i="3"/>
  <c r="AV523" i="3"/>
  <c r="AU523" i="3"/>
  <c r="AT523" i="3"/>
  <c r="AS523" i="3"/>
  <c r="AO523" i="3"/>
  <c r="AO525" i="3" s="1"/>
  <c r="AN523" i="3"/>
  <c r="AN525" i="3" s="1"/>
  <c r="AM523" i="3"/>
  <c r="AM525" i="3" s="1"/>
  <c r="AL523" i="3"/>
  <c r="AK523" i="3"/>
  <c r="AG523" i="3"/>
  <c r="AG525" i="3" s="1"/>
  <c r="AC523" i="3"/>
  <c r="U523" i="3"/>
  <c r="AG516" i="3"/>
  <c r="AF516" i="3"/>
  <c r="AE516" i="3"/>
  <c r="AD516" i="3"/>
  <c r="AC516" i="3"/>
  <c r="AB516" i="3"/>
  <c r="AA516" i="3"/>
  <c r="Z516" i="3"/>
  <c r="Y516" i="3"/>
  <c r="X516" i="3"/>
  <c r="W516" i="3"/>
  <c r="V516" i="3"/>
  <c r="U516" i="3"/>
  <c r="T516" i="3"/>
  <c r="S516" i="3"/>
  <c r="R516" i="3"/>
  <c r="Q516" i="3"/>
  <c r="P516" i="3"/>
  <c r="O516" i="3"/>
  <c r="N516" i="3"/>
  <c r="M516" i="3"/>
  <c r="L516" i="3"/>
  <c r="K516" i="3"/>
  <c r="J516" i="3"/>
  <c r="I516" i="3"/>
  <c r="H516" i="3"/>
  <c r="G516" i="3"/>
  <c r="F516" i="3"/>
  <c r="E516" i="3"/>
  <c r="D516" i="3"/>
  <c r="C516" i="3"/>
  <c r="B516" i="3"/>
  <c r="AG515" i="3"/>
  <c r="AG518" i="3" s="1"/>
  <c r="AF515" i="3"/>
  <c r="AE515" i="3"/>
  <c r="AD515" i="3"/>
  <c r="AC515" i="3"/>
  <c r="AB515" i="3"/>
  <c r="AA515" i="3"/>
  <c r="Z515" i="3"/>
  <c r="Y515" i="3"/>
  <c r="X515" i="3"/>
  <c r="W515" i="3"/>
  <c r="V515" i="3"/>
  <c r="U515" i="3"/>
  <c r="T515" i="3"/>
  <c r="S515" i="3"/>
  <c r="R515" i="3"/>
  <c r="Q515" i="3"/>
  <c r="P515" i="3"/>
  <c r="O515" i="3"/>
  <c r="O518" i="3" s="1"/>
  <c r="N515" i="3"/>
  <c r="N518" i="3" s="1"/>
  <c r="M515" i="3"/>
  <c r="L515" i="3"/>
  <c r="L518" i="3" s="1"/>
  <c r="K515" i="3"/>
  <c r="K518" i="3" s="1"/>
  <c r="J515" i="3"/>
  <c r="J518" i="3" s="1"/>
  <c r="I515" i="3"/>
  <c r="I518" i="3" s="1"/>
  <c r="H515" i="3"/>
  <c r="G515" i="3"/>
  <c r="F515" i="3"/>
  <c r="E515" i="3"/>
  <c r="D515" i="3"/>
  <c r="C515" i="3"/>
  <c r="B515" i="3"/>
  <c r="AG514" i="3"/>
  <c r="AF514" i="3"/>
  <c r="AE514" i="3"/>
  <c r="AD514" i="3"/>
  <c r="AC514" i="3"/>
  <c r="AC517" i="3" s="1"/>
  <c r="AB514" i="3"/>
  <c r="AB517" i="3" s="1"/>
  <c r="AA514" i="3"/>
  <c r="AA517" i="3" s="1"/>
  <c r="Z514" i="3"/>
  <c r="Z517" i="3" s="1"/>
  <c r="Y514" i="3"/>
  <c r="X514" i="3"/>
  <c r="X517" i="3" s="1"/>
  <c r="W514" i="3"/>
  <c r="W517" i="3" s="1"/>
  <c r="V514" i="3"/>
  <c r="V517" i="3" s="1"/>
  <c r="U514" i="3"/>
  <c r="T514" i="3"/>
  <c r="S514" i="3"/>
  <c r="S517" i="3" s="1"/>
  <c r="R514" i="3"/>
  <c r="Q514" i="3"/>
  <c r="Q517" i="3" s="1"/>
  <c r="P514" i="3"/>
  <c r="P517" i="3" s="1"/>
  <c r="O514" i="3"/>
  <c r="O517" i="3" s="1"/>
  <c r="N514" i="3"/>
  <c r="N517" i="3" s="1"/>
  <c r="M514" i="3"/>
  <c r="L514" i="3"/>
  <c r="K514" i="3"/>
  <c r="J514" i="3"/>
  <c r="I514" i="3"/>
  <c r="H514" i="3"/>
  <c r="G514" i="3"/>
  <c r="F514" i="3"/>
  <c r="E514" i="3"/>
  <c r="E517" i="3" s="1"/>
  <c r="D514" i="3"/>
  <c r="D517" i="3" s="1"/>
  <c r="C514" i="3"/>
  <c r="C517" i="3" s="1"/>
  <c r="B514" i="3"/>
  <c r="B517" i="3" s="1"/>
  <c r="AG513" i="3"/>
  <c r="AF513" i="3"/>
  <c r="AE513" i="3"/>
  <c r="AD513" i="3"/>
  <c r="AC513" i="3"/>
  <c r="AB513" i="3"/>
  <c r="AA513" i="3"/>
  <c r="Z513" i="3"/>
  <c r="Y513" i="3"/>
  <c r="X513" i="3"/>
  <c r="W513" i="3"/>
  <c r="V513" i="3"/>
  <c r="U513" i="3"/>
  <c r="T513" i="3"/>
  <c r="T517" i="3" s="1"/>
  <c r="S513" i="3"/>
  <c r="R513" i="3"/>
  <c r="R517" i="3" s="1"/>
  <c r="Q513" i="3"/>
  <c r="P513" i="3"/>
  <c r="O513" i="3"/>
  <c r="N513" i="3"/>
  <c r="M513" i="3"/>
  <c r="L513" i="3"/>
  <c r="K513" i="3"/>
  <c r="J513" i="3"/>
  <c r="I513" i="3"/>
  <c r="H513" i="3"/>
  <c r="G513" i="3"/>
  <c r="F513" i="3"/>
  <c r="E513" i="3"/>
  <c r="D513" i="3"/>
  <c r="C513" i="3"/>
  <c r="B513" i="3"/>
  <c r="AG512" i="3"/>
  <c r="AF512" i="3"/>
  <c r="AE512" i="3"/>
  <c r="AD512" i="3"/>
  <c r="AC512" i="3"/>
  <c r="AB512" i="3"/>
  <c r="AO526" i="3" s="1"/>
  <c r="AO527" i="3" s="1"/>
  <c r="AA512" i="3"/>
  <c r="Z512" i="3"/>
  <c r="Y512" i="3"/>
  <c r="X512" i="3"/>
  <c r="W512" i="3"/>
  <c r="V512" i="3"/>
  <c r="U512" i="3"/>
  <c r="T512" i="3"/>
  <c r="S512" i="3"/>
  <c r="AN526" i="3" s="1"/>
  <c r="AN527" i="3" s="1"/>
  <c r="R512" i="3"/>
  <c r="Q512" i="3"/>
  <c r="P512" i="3"/>
  <c r="O512" i="3"/>
  <c r="N512" i="3"/>
  <c r="M512" i="3"/>
  <c r="L512" i="3"/>
  <c r="K512" i="3"/>
  <c r="J512" i="3"/>
  <c r="AM526" i="3" s="1"/>
  <c r="I512" i="3"/>
  <c r="H512" i="3"/>
  <c r="G512" i="3"/>
  <c r="F512" i="3"/>
  <c r="E512" i="3"/>
  <c r="D512" i="3"/>
  <c r="U526" i="3" s="1"/>
  <c r="U527" i="3" s="1"/>
  <c r="C512" i="3"/>
  <c r="B512" i="3"/>
  <c r="AL526" i="3" s="1"/>
  <c r="G6" i="4" l="1"/>
  <c r="S16" i="4"/>
  <c r="K277" i="4"/>
  <c r="O272" i="4"/>
  <c r="F16" i="4"/>
  <c r="L20" i="4"/>
  <c r="F28" i="4"/>
  <c r="G277" i="4"/>
  <c r="K272" i="4"/>
  <c r="G272" i="4"/>
  <c r="Q16" i="4"/>
  <c r="E28" i="4"/>
  <c r="C277" i="4"/>
  <c r="S17" i="4"/>
  <c r="S276" i="4"/>
  <c r="C272" i="4"/>
  <c r="O276" i="4"/>
  <c r="Q17" i="4"/>
  <c r="K276" i="4"/>
  <c r="O271" i="4"/>
  <c r="G276" i="4"/>
  <c r="F30" i="4"/>
  <c r="C276" i="4"/>
  <c r="O205" i="4"/>
  <c r="E30" i="4"/>
  <c r="S275" i="4"/>
  <c r="C271" i="4"/>
  <c r="K123" i="4"/>
  <c r="G123" i="4"/>
  <c r="K205" i="4"/>
  <c r="S156" i="4"/>
  <c r="C218" i="4"/>
  <c r="G10" i="4"/>
  <c r="O275" i="4"/>
  <c r="S270" i="4"/>
  <c r="S234" i="4"/>
  <c r="F10" i="4"/>
  <c r="K275" i="4"/>
  <c r="O270" i="4"/>
  <c r="O139" i="4"/>
  <c r="M16" i="4"/>
  <c r="C275" i="4"/>
  <c r="G270" i="4"/>
  <c r="S139" i="4"/>
  <c r="K14" i="4"/>
  <c r="G275" i="4"/>
  <c r="K139" i="4"/>
  <c r="O223" i="4"/>
  <c r="L16" i="4"/>
  <c r="F32" i="4"/>
  <c r="S274" i="4"/>
  <c r="C270" i="4"/>
  <c r="S223" i="4"/>
  <c r="G139" i="4"/>
  <c r="K223" i="4"/>
  <c r="E11" i="4"/>
  <c r="K16" i="4"/>
  <c r="Q20" i="4"/>
  <c r="O274" i="4"/>
  <c r="S269" i="4"/>
  <c r="C139" i="4"/>
  <c r="G223" i="4"/>
  <c r="K274" i="4"/>
  <c r="O269" i="4"/>
  <c r="L17" i="4"/>
  <c r="L26" i="4"/>
  <c r="F29" i="4"/>
  <c r="G274" i="4"/>
  <c r="K26" i="4"/>
  <c r="E29" i="4"/>
  <c r="C269" i="4"/>
  <c r="K278" i="4"/>
  <c r="O273" i="4"/>
  <c r="S268" i="4"/>
  <c r="S4" i="4"/>
  <c r="E13" i="4"/>
  <c r="E23" i="4"/>
  <c r="K18" i="4"/>
  <c r="Q4" i="4"/>
  <c r="Q13" i="4"/>
  <c r="G278" i="4"/>
  <c r="K273" i="4"/>
  <c r="O268" i="4"/>
  <c r="C278" i="4"/>
  <c r="G273" i="4"/>
  <c r="R14" i="4"/>
  <c r="F31" i="4"/>
  <c r="S277" i="4"/>
  <c r="C273" i="4"/>
  <c r="K17" i="4"/>
  <c r="S13" i="4"/>
  <c r="O278" i="4"/>
  <c r="E14" i="4"/>
  <c r="E24" i="4"/>
  <c r="K10" i="4"/>
  <c r="AV594" i="2"/>
  <c r="AW594" i="2"/>
  <c r="AW594" i="1"/>
  <c r="K239" i="4"/>
  <c r="O100" i="4"/>
  <c r="S184" i="4"/>
  <c r="C254" i="4"/>
  <c r="K100" i="4"/>
  <c r="O193" i="4"/>
  <c r="G100" i="4"/>
  <c r="K184" i="4"/>
  <c r="S107" i="4"/>
  <c r="K155" i="4"/>
  <c r="O235" i="4"/>
  <c r="S173" i="4"/>
  <c r="C239" i="4"/>
  <c r="K158" i="4"/>
  <c r="O240" i="4"/>
  <c r="O168" i="4"/>
  <c r="S255" i="4"/>
  <c r="O154" i="4"/>
  <c r="K255" i="4"/>
  <c r="K110" i="4"/>
  <c r="S106" i="4"/>
  <c r="K108" i="4"/>
  <c r="K157" i="4"/>
  <c r="G170" i="4"/>
  <c r="K156" i="4"/>
  <c r="K109" i="4"/>
  <c r="C100" i="4"/>
  <c r="G184" i="4"/>
  <c r="K107" i="4"/>
  <c r="G171" i="4"/>
  <c r="S120" i="4"/>
  <c r="C184" i="4"/>
  <c r="K106" i="4"/>
  <c r="O124" i="4"/>
  <c r="S203" i="4"/>
  <c r="S108" i="4"/>
  <c r="G194" i="4"/>
  <c r="K121" i="4"/>
  <c r="O200" i="4"/>
  <c r="G193" i="4"/>
  <c r="G125" i="4"/>
  <c r="K206" i="4"/>
  <c r="S127" i="4"/>
  <c r="G192" i="4"/>
  <c r="C118" i="4"/>
  <c r="G200" i="4"/>
  <c r="O127" i="4"/>
  <c r="S201" i="4"/>
  <c r="G124" i="4"/>
  <c r="O192" i="4"/>
  <c r="S134" i="4"/>
  <c r="C207" i="4"/>
  <c r="K118" i="4"/>
  <c r="O191" i="4"/>
  <c r="O134" i="4"/>
  <c r="S228" i="4"/>
  <c r="G122" i="4"/>
  <c r="O190" i="4"/>
  <c r="S150" i="4"/>
  <c r="C223" i="4"/>
  <c r="K135" i="4"/>
  <c r="O218" i="4"/>
  <c r="K120" i="4"/>
  <c r="C206" i="4"/>
  <c r="G134" i="4"/>
  <c r="K218" i="4"/>
  <c r="O122" i="4"/>
  <c r="K150" i="4"/>
  <c r="C137" i="4"/>
  <c r="G219" i="4"/>
  <c r="O121" i="4"/>
  <c r="C204" i="4"/>
  <c r="O120" i="4"/>
  <c r="K204" i="4"/>
  <c r="S118" i="4"/>
  <c r="K202" i="4"/>
  <c r="C136" i="4"/>
  <c r="S202" i="4"/>
  <c r="G150" i="4"/>
  <c r="K234" i="4"/>
  <c r="S153" i="4"/>
  <c r="C135" i="4"/>
  <c r="S200" i="4"/>
  <c r="O255" i="4"/>
  <c r="C160" i="4"/>
  <c r="G242" i="4"/>
  <c r="C134" i="4"/>
  <c r="G218" i="4"/>
  <c r="S168" i="4"/>
  <c r="C234" i="4"/>
  <c r="K151" i="4"/>
  <c r="O236" i="4"/>
  <c r="C110" i="4"/>
  <c r="K134" i="4"/>
  <c r="K227" i="4"/>
  <c r="G173" i="4"/>
  <c r="S104" i="4"/>
  <c r="C173" i="4"/>
  <c r="G255" i="4"/>
  <c r="O170" i="4"/>
  <c r="S250" i="4"/>
  <c r="C109" i="4"/>
  <c r="O144" i="4"/>
  <c r="S227" i="4"/>
  <c r="O105" i="4"/>
  <c r="S189" i="4"/>
  <c r="C255" i="4"/>
  <c r="K168" i="4"/>
  <c r="O250" i="4"/>
  <c r="C108" i="4"/>
  <c r="O143" i="4"/>
  <c r="G241" i="4"/>
  <c r="K103" i="4"/>
  <c r="O189" i="4"/>
  <c r="G172" i="4"/>
  <c r="K252" i="4"/>
  <c r="G109" i="4"/>
  <c r="S141" i="4"/>
  <c r="O239" i="4"/>
  <c r="K173" i="4"/>
  <c r="G104" i="4"/>
  <c r="K189" i="4"/>
  <c r="S109" i="4"/>
  <c r="C168" i="4"/>
  <c r="G250" i="4"/>
  <c r="G108" i="4"/>
  <c r="C159" i="4"/>
  <c r="C253" i="4"/>
  <c r="K251" i="4"/>
  <c r="K203" i="4"/>
  <c r="K228" i="4"/>
  <c r="S226" i="4"/>
  <c r="G240" i="4"/>
  <c r="O238" i="4"/>
  <c r="C252" i="4"/>
  <c r="K250" i="4"/>
  <c r="S225" i="4"/>
  <c r="G239" i="4"/>
  <c r="O237" i="4"/>
  <c r="C251" i="4"/>
  <c r="O260" i="4"/>
  <c r="S105" i="4"/>
  <c r="G121" i="4"/>
  <c r="O119" i="4"/>
  <c r="G144" i="4"/>
  <c r="O142" i="4"/>
  <c r="C156" i="4"/>
  <c r="K154" i="4"/>
  <c r="S152" i="4"/>
  <c r="G168" i="4"/>
  <c r="S177" i="4"/>
  <c r="G191" i="4"/>
  <c r="C203" i="4"/>
  <c r="K201" i="4"/>
  <c r="C228" i="4"/>
  <c r="K226" i="4"/>
  <c r="S224" i="4"/>
  <c r="G238" i="4"/>
  <c r="C250" i="4"/>
  <c r="O259" i="4"/>
  <c r="G120" i="4"/>
  <c r="O118" i="4"/>
  <c r="G143" i="4"/>
  <c r="O141" i="4"/>
  <c r="C155" i="4"/>
  <c r="K153" i="4"/>
  <c r="S151" i="4"/>
  <c r="K178" i="4"/>
  <c r="S176" i="4"/>
  <c r="G190" i="4"/>
  <c r="O188" i="4"/>
  <c r="C202" i="4"/>
  <c r="K200" i="4"/>
  <c r="C227" i="4"/>
  <c r="K225" i="4"/>
  <c r="G237" i="4"/>
  <c r="G260" i="4"/>
  <c r="O258" i="4"/>
  <c r="C107" i="4"/>
  <c r="K105" i="4"/>
  <c r="S103" i="4"/>
  <c r="G119" i="4"/>
  <c r="S128" i="4"/>
  <c r="G142" i="4"/>
  <c r="O140" i="4"/>
  <c r="C154" i="4"/>
  <c r="K152" i="4"/>
  <c r="K177" i="4"/>
  <c r="S175" i="4"/>
  <c r="G189" i="4"/>
  <c r="O187" i="4"/>
  <c r="C201" i="4"/>
  <c r="O210" i="4"/>
  <c r="C226" i="4"/>
  <c r="K224" i="4"/>
  <c r="S222" i="4"/>
  <c r="G236" i="4"/>
  <c r="O234" i="4"/>
  <c r="G259" i="4"/>
  <c r="O257" i="4"/>
  <c r="C106" i="4"/>
  <c r="K104" i="4"/>
  <c r="S102" i="4"/>
  <c r="G118" i="4"/>
  <c r="G141" i="4"/>
  <c r="C153" i="4"/>
  <c r="C178" i="4"/>
  <c r="K176" i="4"/>
  <c r="S174" i="4"/>
  <c r="O186" i="4"/>
  <c r="C200" i="4"/>
  <c r="O209" i="4"/>
  <c r="C225" i="4"/>
  <c r="S221" i="4"/>
  <c r="G235" i="4"/>
  <c r="S244" i="4"/>
  <c r="G258" i="4"/>
  <c r="O256" i="4"/>
  <c r="C157" i="4"/>
  <c r="C105" i="4"/>
  <c r="S101" i="4"/>
  <c r="K128" i="4"/>
  <c r="S126" i="4"/>
  <c r="G140" i="4"/>
  <c r="O138" i="4"/>
  <c r="C152" i="4"/>
  <c r="C177" i="4"/>
  <c r="K175" i="4"/>
  <c r="G187" i="4"/>
  <c r="O185" i="4"/>
  <c r="G210" i="4"/>
  <c r="O208" i="4"/>
  <c r="C224" i="4"/>
  <c r="K222" i="4"/>
  <c r="S220" i="4"/>
  <c r="G234" i="4"/>
  <c r="S243" i="4"/>
  <c r="G257" i="4"/>
  <c r="S178" i="4"/>
  <c r="K102" i="4"/>
  <c r="S100" i="4"/>
  <c r="K127" i="4"/>
  <c r="S125" i="4"/>
  <c r="O137" i="4"/>
  <c r="C151" i="4"/>
  <c r="O160" i="4"/>
  <c r="C176" i="4"/>
  <c r="K174" i="4"/>
  <c r="S172" i="4"/>
  <c r="G186" i="4"/>
  <c r="O184" i="4"/>
  <c r="G209" i="4"/>
  <c r="O207" i="4"/>
  <c r="K221" i="4"/>
  <c r="S219" i="4"/>
  <c r="K244" i="4"/>
  <c r="S242" i="4"/>
  <c r="G256" i="4"/>
  <c r="O254" i="4"/>
  <c r="C103" i="4"/>
  <c r="K101" i="4"/>
  <c r="C128" i="4"/>
  <c r="K126" i="4"/>
  <c r="S124" i="4"/>
  <c r="G138" i="4"/>
  <c r="O136" i="4"/>
  <c r="C150" i="4"/>
  <c r="O159" i="4"/>
  <c r="C175" i="4"/>
  <c r="S171" i="4"/>
  <c r="G185" i="4"/>
  <c r="S194" i="4"/>
  <c r="G208" i="4"/>
  <c r="O206" i="4"/>
  <c r="C222" i="4"/>
  <c r="K220" i="4"/>
  <c r="S218" i="4"/>
  <c r="K243" i="4"/>
  <c r="S241" i="4"/>
  <c r="O253" i="4"/>
  <c r="C102" i="4"/>
  <c r="C127" i="4"/>
  <c r="K125" i="4"/>
  <c r="S123" i="4"/>
  <c r="G137" i="4"/>
  <c r="O135" i="4"/>
  <c r="G160" i="4"/>
  <c r="O158" i="4"/>
  <c r="C174" i="4"/>
  <c r="K172" i="4"/>
  <c r="S170" i="4"/>
  <c r="S193" i="4"/>
  <c r="G207" i="4"/>
  <c r="C221" i="4"/>
  <c r="K219" i="4"/>
  <c r="C244" i="4"/>
  <c r="K242" i="4"/>
  <c r="S240" i="4"/>
  <c r="G254" i="4"/>
  <c r="O252" i="4"/>
  <c r="C101" i="4"/>
  <c r="O110" i="4"/>
  <c r="C126" i="4"/>
  <c r="K124" i="4"/>
  <c r="S122" i="4"/>
  <c r="G136" i="4"/>
  <c r="G159" i="4"/>
  <c r="O157" i="4"/>
  <c r="K171" i="4"/>
  <c r="S169" i="4"/>
  <c r="K194" i="4"/>
  <c r="S192" i="4"/>
  <c r="G206" i="4"/>
  <c r="O204" i="4"/>
  <c r="C220" i="4"/>
  <c r="C243" i="4"/>
  <c r="K241" i="4"/>
  <c r="G253" i="4"/>
  <c r="O251" i="4"/>
  <c r="O109" i="4"/>
  <c r="C125" i="4"/>
  <c r="S121" i="4"/>
  <c r="G135" i="4"/>
  <c r="S144" i="4"/>
  <c r="G158" i="4"/>
  <c r="O156" i="4"/>
  <c r="C172" i="4"/>
  <c r="K170" i="4"/>
  <c r="K193" i="4"/>
  <c r="S191" i="4"/>
  <c r="O203" i="4"/>
  <c r="C219" i="4"/>
  <c r="O228" i="4"/>
  <c r="C242" i="4"/>
  <c r="K240" i="4"/>
  <c r="S238" i="4"/>
  <c r="G252" i="4"/>
  <c r="S155" i="4"/>
  <c r="G110" i="4"/>
  <c r="O108" i="4"/>
  <c r="C124" i="4"/>
  <c r="K122" i="4"/>
  <c r="S143" i="4"/>
  <c r="G157" i="4"/>
  <c r="O155" i="4"/>
  <c r="C171" i="4"/>
  <c r="K169" i="4"/>
  <c r="C194" i="4"/>
  <c r="K192" i="4"/>
  <c r="S190" i="4"/>
  <c r="G204" i="4"/>
  <c r="O202" i="4"/>
  <c r="O227" i="4"/>
  <c r="C241" i="4"/>
  <c r="S237" i="4"/>
  <c r="G251" i="4"/>
  <c r="S260" i="4"/>
  <c r="O107" i="4"/>
  <c r="C123" i="4"/>
  <c r="K144" i="4"/>
  <c r="S142" i="4"/>
  <c r="G156" i="4"/>
  <c r="C170" i="4"/>
  <c r="C193" i="4"/>
  <c r="K191" i="4"/>
  <c r="G203" i="4"/>
  <c r="O201" i="4"/>
  <c r="G228" i="4"/>
  <c r="O226" i="4"/>
  <c r="C240" i="4"/>
  <c r="K238" i="4"/>
  <c r="S236" i="4"/>
  <c r="S259" i="4"/>
  <c r="O106" i="4"/>
  <c r="C122" i="4"/>
  <c r="K143" i="4"/>
  <c r="G155" i="4"/>
  <c r="O153" i="4"/>
  <c r="C169" i="4"/>
  <c r="O178" i="4"/>
  <c r="C192" i="4"/>
  <c r="K190" i="4"/>
  <c r="S188" i="4"/>
  <c r="G202" i="4"/>
  <c r="G227" i="4"/>
  <c r="O225" i="4"/>
  <c r="K237" i="4"/>
  <c r="S235" i="4"/>
  <c r="K260" i="4"/>
  <c r="S258" i="4"/>
  <c r="G107" i="4"/>
  <c r="C121" i="4"/>
  <c r="K119" i="4"/>
  <c r="C144" i="4"/>
  <c r="K142" i="4"/>
  <c r="S140" i="4"/>
  <c r="G154" i="4"/>
  <c r="O152" i="4"/>
  <c r="O177" i="4"/>
  <c r="C191" i="4"/>
  <c r="S187" i="4"/>
  <c r="G201" i="4"/>
  <c r="S210" i="4"/>
  <c r="G226" i="4"/>
  <c r="O224" i="4"/>
  <c r="C238" i="4"/>
  <c r="K236" i="4"/>
  <c r="K259" i="4"/>
  <c r="S257" i="4"/>
  <c r="G106" i="4"/>
  <c r="O104" i="4"/>
  <c r="C120" i="4"/>
  <c r="C143" i="4"/>
  <c r="K141" i="4"/>
  <c r="G153" i="4"/>
  <c r="O151" i="4"/>
  <c r="G178" i="4"/>
  <c r="O176" i="4"/>
  <c r="C190" i="4"/>
  <c r="K188" i="4"/>
  <c r="S186" i="4"/>
  <c r="S209" i="4"/>
  <c r="G225" i="4"/>
  <c r="C237" i="4"/>
  <c r="K235" i="4"/>
  <c r="C260" i="4"/>
  <c r="K258" i="4"/>
  <c r="S256" i="4"/>
  <c r="O169" i="4"/>
  <c r="G105" i="4"/>
  <c r="O103" i="4"/>
  <c r="C119" i="4"/>
  <c r="O128" i="4"/>
  <c r="C142" i="4"/>
  <c r="K140" i="4"/>
  <c r="S138" i="4"/>
  <c r="G152" i="4"/>
  <c r="G177" i="4"/>
  <c r="O175" i="4"/>
  <c r="K187" i="4"/>
  <c r="S185" i="4"/>
  <c r="K210" i="4"/>
  <c r="S208" i="4"/>
  <c r="G224" i="4"/>
  <c r="O222" i="4"/>
  <c r="C236" i="4"/>
  <c r="C259" i="4"/>
  <c r="K257" i="4"/>
  <c r="S154" i="4"/>
  <c r="O102" i="4"/>
  <c r="C141" i="4"/>
  <c r="S137" i="4"/>
  <c r="G151" i="4"/>
  <c r="S160" i="4"/>
  <c r="G176" i="4"/>
  <c r="O174" i="4"/>
  <c r="C188" i="4"/>
  <c r="K186" i="4"/>
  <c r="K209" i="4"/>
  <c r="S207" i="4"/>
  <c r="O221" i="4"/>
  <c r="C235" i="4"/>
  <c r="O244" i="4"/>
  <c r="C258" i="4"/>
  <c r="K256" i="4"/>
  <c r="S254" i="4"/>
  <c r="C158" i="4"/>
  <c r="G103" i="4"/>
  <c r="O101" i="4"/>
  <c r="G128" i="4"/>
  <c r="O126" i="4"/>
  <c r="C140" i="4"/>
  <c r="K138" i="4"/>
  <c r="S136" i="4"/>
  <c r="S159" i="4"/>
  <c r="G175" i="4"/>
  <c r="O173" i="4"/>
  <c r="C187" i="4"/>
  <c r="K185" i="4"/>
  <c r="C210" i="4"/>
  <c r="K208" i="4"/>
  <c r="S206" i="4"/>
  <c r="G222" i="4"/>
  <c r="O220" i="4"/>
  <c r="O243" i="4"/>
  <c r="C257" i="4"/>
  <c r="S253" i="4"/>
  <c r="G169" i="4"/>
  <c r="G102" i="4"/>
  <c r="G127" i="4"/>
  <c r="O125" i="4"/>
  <c r="K137" i="4"/>
  <c r="S135" i="4"/>
  <c r="K160" i="4"/>
  <c r="S158" i="4"/>
  <c r="G174" i="4"/>
  <c r="O172" i="4"/>
  <c r="C186" i="4"/>
  <c r="C209" i="4"/>
  <c r="K207" i="4"/>
  <c r="G221" i="4"/>
  <c r="O219" i="4"/>
  <c r="G244" i="4"/>
  <c r="O242" i="4"/>
  <c r="C256" i="4"/>
  <c r="K254" i="4"/>
  <c r="S252" i="4"/>
  <c r="G101" i="4"/>
  <c r="S110" i="4"/>
  <c r="G126" i="4"/>
  <c r="C138" i="4"/>
  <c r="K136" i="4"/>
  <c r="K159" i="4"/>
  <c r="S157" i="4"/>
  <c r="O171" i="4"/>
  <c r="C185" i="4"/>
  <c r="O194" i="4"/>
  <c r="C208" i="4"/>
  <c r="S204" i="4"/>
  <c r="G220" i="4"/>
  <c r="G243" i="4"/>
  <c r="O241" i="4"/>
  <c r="K253" i="4"/>
  <c r="S251" i="4"/>
  <c r="AG543" i="1"/>
  <c r="BB543" i="1"/>
  <c r="BA543" i="1"/>
  <c r="AU560" i="1"/>
  <c r="AG560" i="1"/>
  <c r="BB560" i="1"/>
  <c r="BA560" i="1"/>
  <c r="BA561" i="1" s="1"/>
  <c r="AT594" i="1"/>
  <c r="AT595" i="1" s="1"/>
  <c r="J43" i="4" s="1"/>
  <c r="K29" i="4" s="1"/>
  <c r="AW578" i="1"/>
  <c r="AT577" i="1"/>
  <c r="AT578" i="1" s="1"/>
  <c r="AS577" i="1"/>
  <c r="AS578" i="1" s="1"/>
  <c r="AC577" i="1"/>
  <c r="AC578" i="1" s="1"/>
  <c r="BC577" i="1"/>
  <c r="BC578" i="1" s="1"/>
  <c r="BB577" i="1"/>
  <c r="BA577" i="1"/>
  <c r="BA578" i="1" s="1"/>
  <c r="AG577" i="1"/>
  <c r="AG578" i="1" s="1"/>
  <c r="AS543" i="1"/>
  <c r="AS544" i="1" s="1"/>
  <c r="AC544" i="1"/>
  <c r="AT543" i="1"/>
  <c r="BC543" i="1"/>
  <c r="AC560" i="1"/>
  <c r="AT560" i="1"/>
  <c r="AS560" i="1"/>
  <c r="BC560" i="1"/>
  <c r="AV543" i="1"/>
  <c r="AM561" i="1"/>
  <c r="BD594" i="1"/>
  <c r="BD595" i="1" s="1"/>
  <c r="Q43" i="4" s="1"/>
  <c r="Q31" i="4" s="1"/>
  <c r="AW560" i="1"/>
  <c r="AU577" i="1"/>
  <c r="AU578" i="1" s="1"/>
  <c r="AU543" i="1"/>
  <c r="AU544" i="1" s="1"/>
  <c r="AN578" i="1"/>
  <c r="BD577" i="1"/>
  <c r="BD578" i="1" s="1"/>
  <c r="BD560" i="1"/>
  <c r="BD561" i="1" s="1"/>
  <c r="AG576" i="1"/>
  <c r="BE594" i="1"/>
  <c r="BE595" i="1" s="1"/>
  <c r="R43" i="4" s="1"/>
  <c r="Q32" i="4" s="1"/>
  <c r="AG593" i="1"/>
  <c r="AL527" i="1"/>
  <c r="BD543" i="1"/>
  <c r="AO527" i="1"/>
  <c r="AV526" i="1"/>
  <c r="AV527" i="1" s="1"/>
  <c r="AO595" i="1"/>
  <c r="N518" i="1"/>
  <c r="AT524" i="1"/>
  <c r="AT525" i="1" s="1"/>
  <c r="AG541" i="1"/>
  <c r="AG542" i="1" s="1"/>
  <c r="AK560" i="1"/>
  <c r="AK561" i="1" s="1"/>
  <c r="AW575" i="1"/>
  <c r="AW576" i="1" s="1"/>
  <c r="AU594" i="1"/>
  <c r="AU595" i="1" s="1"/>
  <c r="K43" i="4" s="1"/>
  <c r="K30" i="4" s="1"/>
  <c r="O518" i="1"/>
  <c r="BC526" i="1" s="1"/>
  <c r="BC527" i="1" s="1"/>
  <c r="AU524" i="1"/>
  <c r="AU525" i="1" s="1"/>
  <c r="AL560" i="1"/>
  <c r="AL561" i="1" s="1"/>
  <c r="BA575" i="1"/>
  <c r="BA576" i="1" s="1"/>
  <c r="BB575" i="1"/>
  <c r="BB576" i="1" s="1"/>
  <c r="BC575" i="1"/>
  <c r="BC576" i="1" s="1"/>
  <c r="AS592" i="1"/>
  <c r="AS593" i="1" s="1"/>
  <c r="BD575" i="1"/>
  <c r="BD576" i="1" s="1"/>
  <c r="U577" i="1"/>
  <c r="U578" i="1" s="1"/>
  <c r="AT592" i="1"/>
  <c r="AT593" i="1" s="1"/>
  <c r="Q518" i="1"/>
  <c r="BE575" i="1"/>
  <c r="BE576" i="1" s="1"/>
  <c r="BE578" i="1" s="1"/>
  <c r="AU592" i="1"/>
  <c r="AU593" i="1" s="1"/>
  <c r="T518" i="1"/>
  <c r="AS541" i="1"/>
  <c r="AS542" i="1" s="1"/>
  <c r="AC558" i="1"/>
  <c r="AC559" i="1" s="1"/>
  <c r="AV592" i="1"/>
  <c r="AV593" i="1" s="1"/>
  <c r="E517" i="1"/>
  <c r="AT526" i="1" s="1"/>
  <c r="AT527" i="1" s="1"/>
  <c r="AC517" i="1"/>
  <c r="AW526" i="1" s="1"/>
  <c r="AW527" i="1" s="1"/>
  <c r="U518" i="1"/>
  <c r="BD524" i="1"/>
  <c r="BD525" i="1" s="1"/>
  <c r="U526" i="1"/>
  <c r="U527" i="1" s="1"/>
  <c r="AT541" i="1"/>
  <c r="AT542" i="1" s="1"/>
  <c r="AG558" i="1"/>
  <c r="AG559" i="1" s="1"/>
  <c r="AK577" i="1"/>
  <c r="AK578" i="1" s="1"/>
  <c r="AW592" i="1"/>
  <c r="AW593" i="1" s="1"/>
  <c r="AW595" i="1" s="1"/>
  <c r="M43" i="4" s="1"/>
  <c r="K32" i="4" s="1"/>
  <c r="F517" i="1"/>
  <c r="AD517" i="1"/>
  <c r="V518" i="1"/>
  <c r="BE524" i="1"/>
  <c r="BE525" i="1" s="1"/>
  <c r="AU541" i="1"/>
  <c r="AU542" i="1" s="1"/>
  <c r="BA592" i="1"/>
  <c r="BA593" i="1" s="1"/>
  <c r="S518" i="1"/>
  <c r="G517" i="1"/>
  <c r="AE517" i="1"/>
  <c r="W518" i="1"/>
  <c r="AV541" i="1"/>
  <c r="AV542" i="1" s="1"/>
  <c r="BB592" i="1"/>
  <c r="BB593" i="1" s="1"/>
  <c r="AW524" i="1"/>
  <c r="AW525" i="1" s="1"/>
  <c r="H517" i="1"/>
  <c r="AF517" i="1"/>
  <c r="X518" i="1"/>
  <c r="AK526" i="1"/>
  <c r="AK527" i="1" s="1"/>
  <c r="AW541" i="1"/>
  <c r="AW542" i="1" s="1"/>
  <c r="BC592" i="1"/>
  <c r="BC593" i="1" s="1"/>
  <c r="BC524" i="1"/>
  <c r="BC525" i="1" s="1"/>
  <c r="I517" i="1"/>
  <c r="AG517" i="1"/>
  <c r="Y518" i="1"/>
  <c r="BE526" i="1" s="1"/>
  <c r="BE527" i="1" s="1"/>
  <c r="BA541" i="1"/>
  <c r="BA542" i="1" s="1"/>
  <c r="BD592" i="1"/>
  <c r="BD593" i="1" s="1"/>
  <c r="U594" i="1"/>
  <c r="U595" i="1" s="1"/>
  <c r="J517" i="1"/>
  <c r="B518" i="1"/>
  <c r="Z518" i="1"/>
  <c r="BB541" i="1"/>
  <c r="BB542" i="1" s="1"/>
  <c r="BE592" i="1"/>
  <c r="BE593" i="1" s="1"/>
  <c r="K517" i="1"/>
  <c r="C518" i="1"/>
  <c r="AA518" i="1"/>
  <c r="BC541" i="1"/>
  <c r="BC542" i="1" s="1"/>
  <c r="AS558" i="1"/>
  <c r="AS559" i="1" s="1"/>
  <c r="AC575" i="1"/>
  <c r="AC576" i="1" s="1"/>
  <c r="BD541" i="1"/>
  <c r="BD542" i="1" s="1"/>
  <c r="U543" i="1"/>
  <c r="U544" i="1" s="1"/>
  <c r="AT558" i="1"/>
  <c r="AT559" i="1" s="1"/>
  <c r="AG575" i="1"/>
  <c r="AK594" i="1"/>
  <c r="AK595" i="1" s="1"/>
  <c r="AU558" i="1"/>
  <c r="AU559" i="1" s="1"/>
  <c r="AV558" i="1"/>
  <c r="AV559" i="1" s="1"/>
  <c r="AV561" i="1" s="1"/>
  <c r="AW558" i="1"/>
  <c r="AW559" i="1" s="1"/>
  <c r="E518" i="1"/>
  <c r="AC518" i="1"/>
  <c r="AD518" i="1"/>
  <c r="P517" i="1"/>
  <c r="H518" i="1"/>
  <c r="AF518" i="1"/>
  <c r="BA558" i="1"/>
  <c r="BA559" i="1" s="1"/>
  <c r="AG594" i="1"/>
  <c r="AG595" i="1" s="1"/>
  <c r="AE518" i="1"/>
  <c r="BB558" i="1"/>
  <c r="BB559" i="1" s="1"/>
  <c r="BC558" i="1"/>
  <c r="BC559" i="1" s="1"/>
  <c r="AS575" i="1"/>
  <c r="AS576" i="1" s="1"/>
  <c r="AC592" i="1"/>
  <c r="AC593" i="1" s="1"/>
  <c r="G518" i="1"/>
  <c r="BD558" i="1"/>
  <c r="BD559" i="1" s="1"/>
  <c r="AT575" i="1"/>
  <c r="AT576" i="1" s="1"/>
  <c r="AG592" i="1"/>
  <c r="AC524" i="1"/>
  <c r="AC525" i="1" s="1"/>
  <c r="BE594" i="2"/>
  <c r="AG543" i="2"/>
  <c r="BB543" i="2"/>
  <c r="BB544" i="2" s="1"/>
  <c r="BA543" i="2"/>
  <c r="AL578" i="2"/>
  <c r="AU577" i="2"/>
  <c r="AU578" i="2" s="1"/>
  <c r="BB577" i="2"/>
  <c r="BB578" i="2" s="1"/>
  <c r="BA577" i="2"/>
  <c r="AG577" i="2"/>
  <c r="AW595" i="2"/>
  <c r="M52" i="4" s="1"/>
  <c r="AS543" i="2"/>
  <c r="AC543" i="2"/>
  <c r="AT543" i="2"/>
  <c r="AT544" i="2" s="1"/>
  <c r="BC544" i="2"/>
  <c r="AT594" i="2"/>
  <c r="AT595" i="2" s="1"/>
  <c r="J52" i="4" s="1"/>
  <c r="AS594" i="2"/>
  <c r="AS595" i="2" s="1"/>
  <c r="I52" i="4" s="1"/>
  <c r="AC594" i="2"/>
  <c r="AW560" i="2"/>
  <c r="AW561" i="2" s="1"/>
  <c r="AV526" i="2"/>
  <c r="AV527" i="2" s="1"/>
  <c r="AC560" i="2"/>
  <c r="AC561" i="2" s="1"/>
  <c r="AT560" i="2"/>
  <c r="AS560" i="2"/>
  <c r="BC560" i="2"/>
  <c r="BC561" i="2" s="1"/>
  <c r="AW577" i="2"/>
  <c r="BB560" i="2"/>
  <c r="BA560" i="2"/>
  <c r="AG560" i="2"/>
  <c r="AT577" i="2"/>
  <c r="AS577" i="2"/>
  <c r="AS578" i="2" s="1"/>
  <c r="AC577" i="2"/>
  <c r="BC577" i="2"/>
  <c r="BC578" i="2" s="1"/>
  <c r="AM578" i="2"/>
  <c r="AW543" i="2"/>
  <c r="AW544" i="2" s="1"/>
  <c r="AU543" i="2"/>
  <c r="BE578" i="2"/>
  <c r="BD543" i="2"/>
  <c r="BD544" i="2" s="1"/>
  <c r="AU594" i="2"/>
  <c r="AU595" i="2" s="1"/>
  <c r="K52" i="4" s="1"/>
  <c r="AN527" i="2"/>
  <c r="BD594" i="2"/>
  <c r="BD595" i="2" s="1"/>
  <c r="Q52" i="4" s="1"/>
  <c r="AU560" i="2"/>
  <c r="AG593" i="2"/>
  <c r="BD560" i="2"/>
  <c r="BD561" i="2" s="1"/>
  <c r="BB594" i="2"/>
  <c r="AN561" i="2"/>
  <c r="AN578" i="2"/>
  <c r="BD577" i="2"/>
  <c r="AG559" i="2"/>
  <c r="AG541" i="2"/>
  <c r="AG542" i="2" s="1"/>
  <c r="AK560" i="2"/>
  <c r="AK561" i="2" s="1"/>
  <c r="AW575" i="2"/>
  <c r="AW576" i="2" s="1"/>
  <c r="BA594" i="2"/>
  <c r="BA595" i="2" s="1"/>
  <c r="N52" i="4" s="1"/>
  <c r="AC541" i="2"/>
  <c r="AC542" i="2" s="1"/>
  <c r="AV575" i="2"/>
  <c r="AV576" i="2" s="1"/>
  <c r="AV578" i="2" s="1"/>
  <c r="N518" i="2"/>
  <c r="AT524" i="2"/>
  <c r="AT525" i="2" s="1"/>
  <c r="W517" i="2"/>
  <c r="O518" i="2"/>
  <c r="BC526" i="2" s="1"/>
  <c r="BC527" i="2" s="1"/>
  <c r="AU524" i="2"/>
  <c r="AU525" i="2" s="1"/>
  <c r="BA575" i="2"/>
  <c r="BA576" i="2" s="1"/>
  <c r="X517" i="2"/>
  <c r="P518" i="2"/>
  <c r="AV524" i="2"/>
  <c r="AV525" i="2" s="1"/>
  <c r="BB575" i="2"/>
  <c r="BB576" i="2" s="1"/>
  <c r="AS524" i="2"/>
  <c r="AS525" i="2" s="1"/>
  <c r="Q518" i="2"/>
  <c r="BC575" i="2"/>
  <c r="BC576" i="2" s="1"/>
  <c r="AS592" i="2"/>
  <c r="AS593" i="2" s="1"/>
  <c r="BD575" i="2"/>
  <c r="BD576" i="2" s="1"/>
  <c r="U577" i="2"/>
  <c r="U578" i="2" s="1"/>
  <c r="AT592" i="2"/>
  <c r="AT593" i="2" s="1"/>
  <c r="BE575" i="2"/>
  <c r="BE576" i="2" s="1"/>
  <c r="AU592" i="2"/>
  <c r="AU593" i="2" s="1"/>
  <c r="AS541" i="2"/>
  <c r="AS542" i="2" s="1"/>
  <c r="AC558" i="2"/>
  <c r="AC559" i="2" s="1"/>
  <c r="AV592" i="2"/>
  <c r="AV593" i="2" s="1"/>
  <c r="AV595" i="2" s="1"/>
  <c r="L52" i="4" s="1"/>
  <c r="AW524" i="2"/>
  <c r="AW525" i="2" s="1"/>
  <c r="D517" i="2"/>
  <c r="AB517" i="2"/>
  <c r="AW526" i="2" s="1"/>
  <c r="AW527" i="2" s="1"/>
  <c r="T518" i="2"/>
  <c r="BC524" i="2"/>
  <c r="BC525" i="2" s="1"/>
  <c r="E517" i="2"/>
  <c r="AC517" i="2"/>
  <c r="U518" i="2"/>
  <c r="BD524" i="2"/>
  <c r="BD525" i="2" s="1"/>
  <c r="U526" i="2"/>
  <c r="U527" i="2" s="1"/>
  <c r="AT541" i="2"/>
  <c r="AT542" i="2" s="1"/>
  <c r="AG558" i="2"/>
  <c r="AK577" i="2"/>
  <c r="AK578" i="2" s="1"/>
  <c r="AW592" i="2"/>
  <c r="AW593" i="2" s="1"/>
  <c r="B517" i="2"/>
  <c r="Z517" i="2"/>
  <c r="R518" i="2"/>
  <c r="BA524" i="2"/>
  <c r="BA525" i="2" s="1"/>
  <c r="C517" i="2"/>
  <c r="AA517" i="2"/>
  <c r="S518" i="2"/>
  <c r="BB524" i="2"/>
  <c r="BB525" i="2" s="1"/>
  <c r="F517" i="2"/>
  <c r="AD517" i="2"/>
  <c r="V518" i="2"/>
  <c r="BE524" i="2"/>
  <c r="BE525" i="2" s="1"/>
  <c r="AU541" i="2"/>
  <c r="AU542" i="2" s="1"/>
  <c r="BA592" i="2"/>
  <c r="BA593" i="2" s="1"/>
  <c r="AV541" i="2"/>
  <c r="AV542" i="2" s="1"/>
  <c r="AV544" i="2" s="1"/>
  <c r="BB592" i="2"/>
  <c r="BB593" i="2" s="1"/>
  <c r="X518" i="2"/>
  <c r="AK526" i="2"/>
  <c r="AK527" i="2" s="1"/>
  <c r="AW541" i="2"/>
  <c r="AW542" i="2" s="1"/>
  <c r="BC592" i="2"/>
  <c r="BC593" i="2" s="1"/>
  <c r="I517" i="2"/>
  <c r="AG517" i="2"/>
  <c r="Y518" i="2"/>
  <c r="BA541" i="2"/>
  <c r="BA542" i="2" s="1"/>
  <c r="BD592" i="2"/>
  <c r="BD593" i="2" s="1"/>
  <c r="U594" i="2"/>
  <c r="U595" i="2" s="1"/>
  <c r="BE592" i="2"/>
  <c r="BE593" i="2" s="1"/>
  <c r="C518" i="2"/>
  <c r="AA518" i="2"/>
  <c r="BC541" i="2"/>
  <c r="BC542" i="2" s="1"/>
  <c r="AS558" i="2"/>
  <c r="AS559" i="2" s="1"/>
  <c r="AC575" i="2"/>
  <c r="AC576" i="2" s="1"/>
  <c r="BD541" i="2"/>
  <c r="BD542" i="2" s="1"/>
  <c r="U543" i="2"/>
  <c r="U544" i="2" s="1"/>
  <c r="AT558" i="2"/>
  <c r="AT559" i="2" s="1"/>
  <c r="AG575" i="2"/>
  <c r="AG576" i="2" s="1"/>
  <c r="AK594" i="2"/>
  <c r="AK595" i="2" s="1"/>
  <c r="AU558" i="2"/>
  <c r="AU559" i="2" s="1"/>
  <c r="B518" i="2"/>
  <c r="Z518" i="2"/>
  <c r="E518" i="2"/>
  <c r="AC518" i="2"/>
  <c r="N517" i="2"/>
  <c r="F518" i="2"/>
  <c r="AD518" i="2"/>
  <c r="AC524" i="2"/>
  <c r="AC525" i="2" s="1"/>
  <c r="AV558" i="2"/>
  <c r="AV559" i="2" s="1"/>
  <c r="AV561" i="2" s="1"/>
  <c r="D518" i="2"/>
  <c r="AB518" i="2"/>
  <c r="BE541" i="2"/>
  <c r="BE542" i="2" s="1"/>
  <c r="BE544" i="2" s="1"/>
  <c r="O517" i="2"/>
  <c r="AU526" i="2" s="1"/>
  <c r="AU527" i="2" s="1"/>
  <c r="G518" i="2"/>
  <c r="AE518" i="2"/>
  <c r="AG524" i="2"/>
  <c r="AG525" i="2" s="1"/>
  <c r="AW558" i="2"/>
  <c r="AW559" i="2" s="1"/>
  <c r="BA558" i="2"/>
  <c r="BA559" i="2" s="1"/>
  <c r="P517" i="2"/>
  <c r="H518" i="2"/>
  <c r="AF518" i="2"/>
  <c r="BB558" i="2"/>
  <c r="BB559" i="2" s="1"/>
  <c r="AC592" i="2"/>
  <c r="AC593" i="2" s="1"/>
  <c r="AT575" i="2"/>
  <c r="AT576" i="2" s="1"/>
  <c r="AG592" i="2"/>
  <c r="AU594" i="3"/>
  <c r="BD594" i="3"/>
  <c r="AW543" i="3"/>
  <c r="AS543" i="3"/>
  <c r="AC543" i="3"/>
  <c r="AT543" i="3"/>
  <c r="BC578" i="3"/>
  <c r="AV543" i="3"/>
  <c r="AV577" i="3"/>
  <c r="AL527" i="3"/>
  <c r="AW560" i="3"/>
  <c r="AW561" i="3" s="1"/>
  <c r="AU560" i="3"/>
  <c r="AU561" i="3" s="1"/>
  <c r="AC560" i="3"/>
  <c r="AC561" i="3" s="1"/>
  <c r="AT560" i="3"/>
  <c r="AT561" i="3" s="1"/>
  <c r="AS560" i="3"/>
  <c r="AS561" i="3" s="1"/>
  <c r="AU577" i="3"/>
  <c r="AU578" i="3" s="1"/>
  <c r="AT577" i="3"/>
  <c r="BD543" i="3"/>
  <c r="BD560" i="3"/>
  <c r="BD577" i="3"/>
  <c r="AW577" i="3"/>
  <c r="AW578" i="3" s="1"/>
  <c r="AN595" i="3"/>
  <c r="AV594" i="3"/>
  <c r="AW594" i="3"/>
  <c r="AW595" i="3" s="1"/>
  <c r="M61" i="4" s="1"/>
  <c r="AM527" i="3"/>
  <c r="AT594" i="3"/>
  <c r="AS594" i="3"/>
  <c r="AS595" i="3" s="1"/>
  <c r="I61" i="4" s="1"/>
  <c r="AC594" i="3"/>
  <c r="AV526" i="3"/>
  <c r="AV527" i="3" s="1"/>
  <c r="BE543" i="3"/>
  <c r="AO561" i="3"/>
  <c r="BE560" i="3"/>
  <c r="BE561" i="3" s="1"/>
  <c r="AL561" i="3"/>
  <c r="AO578" i="3"/>
  <c r="BE577" i="3"/>
  <c r="BE578" i="3" s="1"/>
  <c r="AL544" i="3"/>
  <c r="AU543" i="3"/>
  <c r="AG543" i="3"/>
  <c r="AG544" i="3" s="1"/>
  <c r="BB543" i="3"/>
  <c r="BA543" i="3"/>
  <c r="BB560" i="3"/>
  <c r="BA560" i="3"/>
  <c r="AG560" i="3"/>
  <c r="AL578" i="3"/>
  <c r="BB577" i="3"/>
  <c r="BA577" i="3"/>
  <c r="BA578" i="3" s="1"/>
  <c r="AG577" i="3"/>
  <c r="AV560" i="3"/>
  <c r="AV561" i="3" s="1"/>
  <c r="AO595" i="3"/>
  <c r="AL595" i="3"/>
  <c r="U517" i="3"/>
  <c r="M518" i="3"/>
  <c r="BC526" i="3" s="1"/>
  <c r="BC527" i="3" s="1"/>
  <c r="AS524" i="3"/>
  <c r="AS525" i="3" s="1"/>
  <c r="AC541" i="3"/>
  <c r="AC542" i="3" s="1"/>
  <c r="AV575" i="3"/>
  <c r="AV576" i="3" s="1"/>
  <c r="AG594" i="3"/>
  <c r="AG595" i="3" s="1"/>
  <c r="BE594" i="3"/>
  <c r="BE595" i="3" s="1"/>
  <c r="R61" i="4" s="1"/>
  <c r="S32" i="4" s="1"/>
  <c r="P518" i="3"/>
  <c r="BB575" i="3"/>
  <c r="BB576" i="3" s="1"/>
  <c r="Y517" i="3"/>
  <c r="Q518" i="3"/>
  <c r="BC575" i="3"/>
  <c r="BC576" i="3" s="1"/>
  <c r="AS592" i="3"/>
  <c r="AS593" i="3" s="1"/>
  <c r="R518" i="3"/>
  <c r="BD575" i="3"/>
  <c r="BD576" i="3" s="1"/>
  <c r="U577" i="3"/>
  <c r="U578" i="3" s="1"/>
  <c r="BC594" i="3"/>
  <c r="BC595" i="3" s="1"/>
  <c r="P61" i="4" s="1"/>
  <c r="AT592" i="3"/>
  <c r="AT593" i="3" s="1"/>
  <c r="S518" i="3"/>
  <c r="BE575" i="3"/>
  <c r="BE576" i="3" s="1"/>
  <c r="AC577" i="3"/>
  <c r="AU592" i="3"/>
  <c r="AU593" i="3" s="1"/>
  <c r="T518" i="3"/>
  <c r="AS541" i="3"/>
  <c r="AS542" i="3" s="1"/>
  <c r="AC558" i="3"/>
  <c r="AC559" i="3" s="1"/>
  <c r="AV592" i="3"/>
  <c r="AV593" i="3" s="1"/>
  <c r="U518" i="3"/>
  <c r="AT541" i="3"/>
  <c r="AT542" i="3" s="1"/>
  <c r="AG558" i="3"/>
  <c r="AG559" i="3" s="1"/>
  <c r="AK577" i="3"/>
  <c r="AK578" i="3" s="1"/>
  <c r="AW592" i="3"/>
  <c r="AW593" i="3" s="1"/>
  <c r="F517" i="3"/>
  <c r="AT526" i="3" s="1"/>
  <c r="AT527" i="3" s="1"/>
  <c r="AD517" i="3"/>
  <c r="V518" i="3"/>
  <c r="BE524" i="3"/>
  <c r="BE525" i="3" s="1"/>
  <c r="AU541" i="3"/>
  <c r="AU542" i="3" s="1"/>
  <c r="BA592" i="3"/>
  <c r="BA593" i="3" s="1"/>
  <c r="G517" i="3"/>
  <c r="AS526" i="3" s="1"/>
  <c r="AS527" i="3" s="1"/>
  <c r="AE517" i="3"/>
  <c r="W518" i="3"/>
  <c r="AV541" i="3"/>
  <c r="AV542" i="3" s="1"/>
  <c r="BB592" i="3"/>
  <c r="BB593" i="3" s="1"/>
  <c r="H517" i="3"/>
  <c r="AF517" i="3"/>
  <c r="X518" i="3"/>
  <c r="AK526" i="3"/>
  <c r="AK527" i="3" s="1"/>
  <c r="AW541" i="3"/>
  <c r="AW542" i="3" s="1"/>
  <c r="BC592" i="3"/>
  <c r="BC593" i="3" s="1"/>
  <c r="I517" i="3"/>
  <c r="AG517" i="3"/>
  <c r="Y518" i="3"/>
  <c r="BA541" i="3"/>
  <c r="BA542" i="3" s="1"/>
  <c r="BD592" i="3"/>
  <c r="BD593" i="3" s="1"/>
  <c r="U594" i="3"/>
  <c r="U595" i="3" s="1"/>
  <c r="J517" i="3"/>
  <c r="B518" i="3"/>
  <c r="Z518" i="3"/>
  <c r="BB541" i="3"/>
  <c r="BB542" i="3" s="1"/>
  <c r="AS577" i="3"/>
  <c r="BE592" i="3"/>
  <c r="BE593" i="3" s="1"/>
  <c r="K517" i="3"/>
  <c r="C518" i="3"/>
  <c r="AA518" i="3"/>
  <c r="BC541" i="3"/>
  <c r="BC542" i="3" s="1"/>
  <c r="BC544" i="3" s="1"/>
  <c r="AS558" i="3"/>
  <c r="AS559" i="3" s="1"/>
  <c r="AC575" i="3"/>
  <c r="AC576" i="3" s="1"/>
  <c r="L517" i="3"/>
  <c r="D518" i="3"/>
  <c r="AB518" i="3"/>
  <c r="BD541" i="3"/>
  <c r="BD542" i="3" s="1"/>
  <c r="U543" i="3"/>
  <c r="U544" i="3" s="1"/>
  <c r="AT558" i="3"/>
  <c r="AT559" i="3" s="1"/>
  <c r="AG575" i="3"/>
  <c r="AG576" i="3" s="1"/>
  <c r="AK594" i="3"/>
  <c r="AK595" i="3" s="1"/>
  <c r="M517" i="3"/>
  <c r="E518" i="3"/>
  <c r="AC518" i="3"/>
  <c r="BE541" i="3"/>
  <c r="BE542" i="3" s="1"/>
  <c r="AU558" i="3"/>
  <c r="AU559" i="3" s="1"/>
  <c r="F518" i="3"/>
  <c r="AD518" i="3"/>
  <c r="AV558" i="3"/>
  <c r="AV559" i="3" s="1"/>
  <c r="G518" i="3"/>
  <c r="AE518" i="3"/>
  <c r="AK543" i="3"/>
  <c r="AK544" i="3" s="1"/>
  <c r="AW558" i="3"/>
  <c r="AW559" i="3" s="1"/>
  <c r="H518" i="3"/>
  <c r="AF518" i="3"/>
  <c r="BA558" i="3"/>
  <c r="BA559" i="3" s="1"/>
  <c r="BB558" i="3"/>
  <c r="BB559" i="3" s="1"/>
  <c r="BC558" i="3"/>
  <c r="BC559" i="3" s="1"/>
  <c r="BC561" i="3" s="1"/>
  <c r="AS575" i="3"/>
  <c r="AS576" i="3" s="1"/>
  <c r="AC592" i="3"/>
  <c r="AC593" i="3" s="1"/>
  <c r="BD558" i="3"/>
  <c r="BD559" i="3" s="1"/>
  <c r="AT575" i="3"/>
  <c r="AT576" i="3" s="1"/>
  <c r="AG592" i="3"/>
  <c r="AG593" i="3" s="1"/>
  <c r="S290" i="4" l="1"/>
  <c r="S287" i="4"/>
  <c r="S292" i="4"/>
  <c r="S288" i="4"/>
  <c r="S293" i="4"/>
  <c r="S289" i="4"/>
  <c r="S284" i="4"/>
  <c r="S294" i="4"/>
  <c r="L32" i="4"/>
  <c r="S285" i="4"/>
  <c r="S286" i="4"/>
  <c r="S291" i="4"/>
  <c r="M32" i="4"/>
  <c r="L31" i="4"/>
  <c r="O284" i="4"/>
  <c r="O289" i="4"/>
  <c r="O285" i="4"/>
  <c r="O290" i="4"/>
  <c r="O302" i="4"/>
  <c r="O307" i="4"/>
  <c r="R31" i="4"/>
  <c r="O303" i="4"/>
  <c r="O308" i="4"/>
  <c r="O304" i="4"/>
  <c r="O309" i="4"/>
  <c r="O305" i="4"/>
  <c r="O310" i="4"/>
  <c r="O300" i="4"/>
  <c r="O301" i="4"/>
  <c r="O306" i="4"/>
  <c r="C286" i="4"/>
  <c r="C291" i="4"/>
  <c r="C304" i="4"/>
  <c r="C309" i="4"/>
  <c r="C300" i="4"/>
  <c r="C305" i="4"/>
  <c r="C310" i="4"/>
  <c r="C301" i="4"/>
  <c r="C306" i="4"/>
  <c r="G293" i="4"/>
  <c r="G288" i="4"/>
  <c r="G284" i="4"/>
  <c r="G289" i="4"/>
  <c r="G294" i="4"/>
  <c r="L29" i="4"/>
  <c r="G285" i="4"/>
  <c r="G290" i="4"/>
  <c r="G286" i="4"/>
  <c r="L30" i="4"/>
  <c r="K293" i="4"/>
  <c r="AW544" i="1"/>
  <c r="AC526" i="1"/>
  <c r="AC527" i="1" s="1"/>
  <c r="AC594" i="1"/>
  <c r="AC595" i="1" s="1"/>
  <c r="AW561" i="1"/>
  <c r="AS526" i="1"/>
  <c r="AS527" i="1" s="1"/>
  <c r="AS594" i="1"/>
  <c r="AS595" i="1" s="1"/>
  <c r="I43" i="4" s="1"/>
  <c r="K28" i="4" s="1"/>
  <c r="BC594" i="1"/>
  <c r="BC595" i="1" s="1"/>
  <c r="P43" i="4" s="1"/>
  <c r="Q30" i="4" s="1"/>
  <c r="AV544" i="1"/>
  <c r="BC561" i="1"/>
  <c r="BD544" i="1"/>
  <c r="AS561" i="1"/>
  <c r="BB561" i="1"/>
  <c r="AT561" i="1"/>
  <c r="AG561" i="1"/>
  <c r="BA594" i="1"/>
  <c r="BA595" i="1" s="1"/>
  <c r="N43" i="4" s="1"/>
  <c r="Q28" i="4" s="1"/>
  <c r="AC561" i="1"/>
  <c r="AU561" i="1"/>
  <c r="AV594" i="1"/>
  <c r="AV595" i="1" s="1"/>
  <c r="L43" i="4" s="1"/>
  <c r="K31" i="4" s="1"/>
  <c r="BD526" i="1"/>
  <c r="BD527" i="1" s="1"/>
  <c r="BB594" i="1"/>
  <c r="BB595" i="1" s="1"/>
  <c r="O43" i="4" s="1"/>
  <c r="Q29" i="4" s="1"/>
  <c r="BC544" i="1"/>
  <c r="BA544" i="1"/>
  <c r="BB578" i="1"/>
  <c r="BB526" i="1"/>
  <c r="BB527" i="1" s="1"/>
  <c r="BA526" i="1"/>
  <c r="BA527" i="1" s="1"/>
  <c r="AG526" i="1"/>
  <c r="AG527" i="1" s="1"/>
  <c r="AU526" i="1"/>
  <c r="AU527" i="1" s="1"/>
  <c r="AT544" i="1"/>
  <c r="BB544" i="1"/>
  <c r="AG544" i="1"/>
  <c r="AG578" i="2"/>
  <c r="BD526" i="2"/>
  <c r="BD527" i="2" s="1"/>
  <c r="AG526" i="2"/>
  <c r="AG527" i="2" s="1"/>
  <c r="BB526" i="2"/>
  <c r="BB527" i="2" s="1"/>
  <c r="BA526" i="2"/>
  <c r="BA527" i="2" s="1"/>
  <c r="BD578" i="2"/>
  <c r="AT578" i="2"/>
  <c r="BA578" i="2"/>
  <c r="AC578" i="2"/>
  <c r="BA561" i="2"/>
  <c r="AT526" i="2"/>
  <c r="AT527" i="2" s="1"/>
  <c r="AS526" i="2"/>
  <c r="AS527" i="2" s="1"/>
  <c r="AC526" i="2"/>
  <c r="AC527" i="2" s="1"/>
  <c r="BB561" i="2"/>
  <c r="BA544" i="2"/>
  <c r="AC595" i="2"/>
  <c r="AC544" i="2"/>
  <c r="AG561" i="2"/>
  <c r="AW578" i="2"/>
  <c r="AS544" i="2"/>
  <c r="BB595" i="2"/>
  <c r="O52" i="4" s="1"/>
  <c r="AG544" i="2"/>
  <c r="AU561" i="2"/>
  <c r="AU544" i="2"/>
  <c r="BC594" i="2"/>
  <c r="BC595" i="2" s="1"/>
  <c r="P52" i="4" s="1"/>
  <c r="AG594" i="2"/>
  <c r="AG595" i="2" s="1"/>
  <c r="AS561" i="2"/>
  <c r="BE595" i="2"/>
  <c r="R52" i="4" s="1"/>
  <c r="BE526" i="2"/>
  <c r="BE527" i="2" s="1"/>
  <c r="AT561" i="2"/>
  <c r="BE526" i="3"/>
  <c r="BE527" i="3" s="1"/>
  <c r="BA594" i="3"/>
  <c r="BA595" i="3" s="1"/>
  <c r="N61" i="4" s="1"/>
  <c r="BE544" i="3"/>
  <c r="BB594" i="3"/>
  <c r="BB595" i="3" s="1"/>
  <c r="O61" i="4" s="1"/>
  <c r="AC595" i="3"/>
  <c r="AC578" i="3"/>
  <c r="AV578" i="3"/>
  <c r="AT595" i="3"/>
  <c r="J61" i="4" s="1"/>
  <c r="M29" i="4" s="1"/>
  <c r="AV544" i="3"/>
  <c r="BD526" i="3"/>
  <c r="BD527" i="3" s="1"/>
  <c r="AG578" i="3"/>
  <c r="BB578" i="3"/>
  <c r="AT544" i="3"/>
  <c r="AV595" i="3"/>
  <c r="L61" i="4" s="1"/>
  <c r="M31" i="4" s="1"/>
  <c r="AC544" i="3"/>
  <c r="AG561" i="3"/>
  <c r="AS544" i="3"/>
  <c r="BA561" i="3"/>
  <c r="AW544" i="3"/>
  <c r="AS578" i="3"/>
  <c r="BB561" i="3"/>
  <c r="BD578" i="3"/>
  <c r="BD595" i="3"/>
  <c r="Q61" i="4" s="1"/>
  <c r="S31" i="4" s="1"/>
  <c r="BA544" i="3"/>
  <c r="BD561" i="3"/>
  <c r="AC526" i="3"/>
  <c r="AC527" i="3" s="1"/>
  <c r="AW526" i="3"/>
  <c r="AW527" i="3" s="1"/>
  <c r="BB544" i="3"/>
  <c r="BD544" i="3"/>
  <c r="BB526" i="3"/>
  <c r="BB527" i="3" s="1"/>
  <c r="BA526" i="3"/>
  <c r="BA527" i="3" s="1"/>
  <c r="AG526" i="3"/>
  <c r="AG527" i="3" s="1"/>
  <c r="AT578" i="3"/>
  <c r="AU526" i="3"/>
  <c r="AU527" i="3" s="1"/>
  <c r="AU544" i="3"/>
  <c r="AU595" i="3"/>
  <c r="K61" i="4" s="1"/>
  <c r="M30" i="4" s="1"/>
  <c r="K302" i="4" l="1"/>
  <c r="K307" i="4"/>
  <c r="K303" i="4"/>
  <c r="K308" i="4"/>
  <c r="K304" i="4"/>
  <c r="K305" i="4"/>
  <c r="K309" i="4"/>
  <c r="K300" i="4"/>
  <c r="K310" i="4"/>
  <c r="K301" i="4"/>
  <c r="K306" i="4"/>
  <c r="R30" i="4"/>
  <c r="C290" i="4"/>
  <c r="C285" i="4"/>
  <c r="C294" i="4"/>
  <c r="O294" i="4"/>
  <c r="C289" i="4"/>
  <c r="O293" i="4"/>
  <c r="G302" i="4"/>
  <c r="G307" i="4"/>
  <c r="G303" i="4"/>
  <c r="G310" i="4"/>
  <c r="G308" i="4"/>
  <c r="G304" i="4"/>
  <c r="G309" i="4"/>
  <c r="R29" i="4"/>
  <c r="G300" i="4"/>
  <c r="G305" i="4"/>
  <c r="G301" i="4"/>
  <c r="G306" i="4"/>
  <c r="C284" i="4"/>
  <c r="C293" i="4"/>
  <c r="O288" i="4"/>
  <c r="C288" i="4"/>
  <c r="O292" i="4"/>
  <c r="M28" i="4"/>
  <c r="G292" i="4"/>
  <c r="L28" i="4"/>
  <c r="O287" i="4"/>
  <c r="S30" i="4"/>
  <c r="K291" i="4"/>
  <c r="K286" i="4"/>
  <c r="K290" i="4"/>
  <c r="K285" i="4"/>
  <c r="K294" i="4"/>
  <c r="S29" i="4"/>
  <c r="K289" i="4"/>
  <c r="C308" i="4"/>
  <c r="K284" i="4"/>
  <c r="C303" i="4"/>
  <c r="S28" i="4"/>
  <c r="K288" i="4"/>
  <c r="R28" i="4"/>
  <c r="K292" i="4"/>
  <c r="C307" i="4"/>
  <c r="K287" i="4"/>
  <c r="C302" i="4"/>
  <c r="G287" i="4"/>
  <c r="C292" i="4"/>
  <c r="O291" i="4"/>
  <c r="S306" i="4"/>
  <c r="S307" i="4"/>
  <c r="S302" i="4"/>
  <c r="S303" i="4"/>
  <c r="S308" i="4"/>
  <c r="S304" i="4"/>
  <c r="S309" i="4"/>
  <c r="R32" i="4"/>
  <c r="S300" i="4"/>
  <c r="S305" i="4"/>
  <c r="S310" i="4"/>
  <c r="S301" i="4"/>
  <c r="G291" i="4"/>
  <c r="C287" i="4"/>
  <c r="O286" i="4"/>
</calcChain>
</file>

<file path=xl/sharedStrings.xml><?xml version="1.0" encoding="utf-8"?>
<sst xmlns="http://schemas.openxmlformats.org/spreadsheetml/2006/main" count="2795" uniqueCount="143">
  <si>
    <t>Date</t>
  </si>
  <si>
    <t>CHADBOURNE SLOUGH AT SUNRISE DUCK CLUB</t>
  </si>
  <si>
    <t>MONTEZUMA SLOUGH AT NATIONAL STEEL</t>
  </si>
  <si>
    <t>MONTEZUMA SLOUGH NEAR BELDENS LANDING</t>
  </si>
  <si>
    <t>SUISUN SLOUGH 300' SOUTH OF VOLANTI SLOUGH</t>
  </si>
  <si>
    <t>HONKER BAY</t>
  </si>
  <si>
    <t>SUISUN BAY AT VAN SICKLE ISLAND</t>
  </si>
  <si>
    <t>SUISUN BAY WEST REACH</t>
  </si>
  <si>
    <t>GRIZZLY BAY BUOY</t>
  </si>
  <si>
    <t>DUTCH SL BELOW JERSEY ISLAND</t>
  </si>
  <si>
    <t>FALSE RIVER NEAR OAKLEY</t>
  </si>
  <si>
    <t>OLD RIVER AT FRANKS TRACT</t>
  </si>
  <si>
    <t>PITTSBURG</t>
  </si>
  <si>
    <t>SACRAMENTO RIVER AT EMMATON</t>
  </si>
  <si>
    <t>SAN ANDREAS LANDING</t>
  </si>
  <si>
    <t>SAN JOAQUIN RIVER AT JERSEY POINT</t>
  </si>
  <si>
    <t>SUISUN BAY AT CHANNEL MARKER 5 AT COLLINSVILLE</t>
  </si>
  <si>
    <t>BRANNAN MARINAS AT SAN JOAQUIN RIVER</t>
  </si>
  <si>
    <t>LIBERTY CUT AT FIVE POINTS</t>
  </si>
  <si>
    <t>CACHE SLOUGH ABOVE RYER ISLAND FERRY</t>
  </si>
  <si>
    <t>DELTA CROSS CHANNEL NEAR WALNUT GROVE</t>
  </si>
  <si>
    <t>SACRAMENTO RIVER DOWNSTREAM OF ISLETON</t>
  </si>
  <si>
    <t>COURTLAND AT SACRAMENTO RIVER</t>
  </si>
  <si>
    <t>VIERAS RESORT AT SACRAMENTO RIVER</t>
  </si>
  <si>
    <t>GRANT LINE CANAL NEAR CLIFTON COURT FORE</t>
  </si>
  <si>
    <t>LITTLE POTATO SLOUGH AT TERMINOUS</t>
  </si>
  <si>
    <t>MIDDLE RIVER AT MILDRED ISLAND</t>
  </si>
  <si>
    <t>OLD RIVER AT CLIFTON COURT</t>
  </si>
  <si>
    <t>SAN JOAQUIN RIVER AT BRANDT BRIDGE</t>
  </si>
  <si>
    <t>SAN JOAQUIN RIVER AT PRISONERS POINT</t>
  </si>
  <si>
    <t>SAN JOAQUIN RIVER NEAR VERNALIS</t>
  </si>
  <si>
    <t>SAN JOAQUIN RVER AT ROUGH AND READY ISLAND</t>
  </si>
  <si>
    <t>VICTORIA CANAL BEFORE CLIFTON COURT FORE</t>
  </si>
  <si>
    <t>Suisun</t>
  </si>
  <si>
    <t>Central Delta</t>
  </si>
  <si>
    <t>North Delta</t>
  </si>
  <si>
    <t>South Delta</t>
  </si>
  <si>
    <t>TOTAL EXCEEDANCES</t>
  </si>
  <si>
    <t>WET 1</t>
  </si>
  <si>
    <t>WET 2</t>
  </si>
  <si>
    <t>DRY 1</t>
  </si>
  <si>
    <t>DRY 2</t>
  </si>
  <si>
    <t>ALL WET</t>
  </si>
  <si>
    <t>ALL DRY</t>
  </si>
  <si>
    <t>SP DAY USE &amp; BOATING</t>
  </si>
  <si>
    <t>WET SEASON</t>
  </si>
  <si>
    <t>TOTAL RUN</t>
  </si>
  <si>
    <t>WET SEASONS</t>
  </si>
  <si>
    <t>DRY SEASONS</t>
  </si>
  <si>
    <t>Delta-Wide</t>
  </si>
  <si>
    <t>OCTOBER 1 - MARCH 31</t>
  </si>
  <si>
    <t>DRY SEASON</t>
  </si>
  <si>
    <t>Total points</t>
  </si>
  <si>
    <t>WET SEASON 1</t>
  </si>
  <si>
    <t>APRIL 1 - SEPTEMBER 30</t>
  </si>
  <si>
    <t>Days in run</t>
  </si>
  <si>
    <t>WET SEASON 2</t>
  </si>
  <si>
    <t>DRY SEASON 1</t>
  </si>
  <si>
    <t>Total measurements</t>
  </si>
  <si>
    <t>DENOMINATOR FOR EXCEEDANCE %</t>
  </si>
  <si>
    <t>WET SEASON 3</t>
  </si>
  <si>
    <t>DRY SEASON 2</t>
  </si>
  <si>
    <t>Measurements &gt;= 1000</t>
  </si>
  <si>
    <t>NUMERATOR FOR EXCEEDANCE %</t>
  </si>
  <si>
    <t>% Total Run Exceedances</t>
  </si>
  <si>
    <t>% WET Exceedances</t>
  </si>
  <si>
    <t>% DRY Exceedances</t>
  </si>
  <si>
    <t>BIRDING</t>
  </si>
  <si>
    <t>ANGLING</t>
  </si>
  <si>
    <t>SP DAY USE</t>
  </si>
  <si>
    <t>Day Use &amp; Boating 19C</t>
  </si>
  <si>
    <t>Birding 20C</t>
  </si>
  <si>
    <t>Waterfowl 23C</t>
  </si>
  <si>
    <t>Angling 18.42C</t>
  </si>
  <si>
    <t>Day Use &lt;18C</t>
  </si>
  <si>
    <t>Measurements &gt;= 19C</t>
  </si>
  <si>
    <t>Measurements &gt;= 20C</t>
  </si>
  <si>
    <t>THRESHOLD: 20C</t>
  </si>
  <si>
    <t>THRESHOLD: 19C</t>
  </si>
  <si>
    <t>THRESHOLD: 23C</t>
  </si>
  <si>
    <t>Measurements &gt;= 23C</t>
  </si>
  <si>
    <t>THRESHOLD: 18.42C</t>
  </si>
  <si>
    <t>Measurements &gt;= 18.42C</t>
  </si>
  <si>
    <t>THRESHOLD:&lt;18C</t>
  </si>
  <si>
    <t>Measurements &lt;18C</t>
  </si>
  <si>
    <t>Measurements&lt;18C</t>
  </si>
  <si>
    <t>RUN 15 % EXCEEDANCES</t>
  </si>
  <si>
    <t>Total Run</t>
  </si>
  <si>
    <t>Wet Seasons</t>
  </si>
  <si>
    <t>Dry Seasons</t>
  </si>
  <si>
    <t>Day Use &amp; Boating</t>
  </si>
  <si>
    <t>Birding</t>
  </si>
  <si>
    <t>Waterfowl</t>
  </si>
  <si>
    <t>Angling</t>
  </si>
  <si>
    <t>RUN 16 % EXCEEDANCES</t>
  </si>
  <si>
    <t>WATERFOWL</t>
  </si>
  <si>
    <t>DAY USE</t>
  </si>
  <si>
    <t>Results</t>
  </si>
  <si>
    <t>Ranking</t>
  </si>
  <si>
    <t>Scale</t>
  </si>
  <si>
    <t xml:space="preserve">greater than or equal to 5% less </t>
  </si>
  <si>
    <t>4% less</t>
  </si>
  <si>
    <t>3% less</t>
  </si>
  <si>
    <t>2% less</t>
  </si>
  <si>
    <t>1% less</t>
  </si>
  <si>
    <t>No change from baseline</t>
  </si>
  <si>
    <t>1% more than baseline</t>
  </si>
  <si>
    <t>2% more</t>
  </si>
  <si>
    <t>3% more</t>
  </si>
  <si>
    <t>4% more</t>
  </si>
  <si>
    <t>greater than or equal to 5% more</t>
  </si>
  <si>
    <t>TOTAL RUN SCORES</t>
  </si>
  <si>
    <t>WET SEASON SCORES</t>
  </si>
  <si>
    <t>DRY SEASON SCORES</t>
  </si>
  <si>
    <t>REGION</t>
  </si>
  <si>
    <t>Central</t>
  </si>
  <si>
    <t>North</t>
  </si>
  <si>
    <t>South</t>
  </si>
  <si>
    <t>+30% Outflow
-10% Outflow</t>
  </si>
  <si>
    <t>Historic Baseline (37%)</t>
  </si>
  <si>
    <t>+30% Outflow</t>
  </si>
  <si>
    <t>Historic Baseline (44%),
+30% Outflow,
-10% Outflow</t>
  </si>
  <si>
    <t>Historic Baseline (9%),
+30% Outflow,
-10% Outflow</t>
  </si>
  <si>
    <t>-10% Outflow</t>
  </si>
  <si>
    <t>Historic Baseline (11%),
+30% Outflow,
-10% Outflow</t>
  </si>
  <si>
    <t>Historical Baseline</t>
  </si>
  <si>
    <t>Day Use</t>
  </si>
  <si>
    <t>Historic Baseline (5%)</t>
  </si>
  <si>
    <t>Historic Baseline (41%),
+30% Outflow,
-10% Outflow</t>
  </si>
  <si>
    <t>Historic Baseline (43%),
+30% Outflow,
-10% Outflow</t>
  </si>
  <si>
    <t>Historic Baseline (40%),
+30% Outflow,
-10% Outflow</t>
  </si>
  <si>
    <t>Historic Baseline (8%),
+30% Outflow,
-10% Outflow</t>
  </si>
  <si>
    <t>RUN 17 % EXCEEDANCES</t>
  </si>
  <si>
    <r>
      <rPr>
        <b/>
        <sz val="11"/>
        <color rgb="FF000000"/>
        <rFont val="Calibri"/>
        <family val="2"/>
        <scheme val="minor"/>
      </rPr>
      <t>Notes:</t>
    </r>
    <r>
      <rPr>
        <sz val="11"/>
        <color rgb="FF000000"/>
        <rFont val="Calibri"/>
        <family val="2"/>
        <scheme val="minor"/>
      </rPr>
      <t xml:space="preserve">
1. Exceedances are lowest in Suisun and highest in the South Delta during dry-season activity windows: Day Use and Boating. Angling has the highest dry-season exceedance rate (83% Delta-wide) and Waterfowl the lowest (28%). 
2. Scenario rankings (-5 to 5 vs. Historical Baseline) stay between -2 and +2, with most region and activity combinations scoring 0. Suisun shows the most movement: over the total run, both +30% and -10% Outflow score -1 (about 1% more exceedances than baseline) for Day Use and Boating, Birding, and Angling, while Day Use improves (+1 under both). +30% Outflow deviates from baseline more often than -10% Outflow, particularly in dry seasons, where it scores -1 Delta-wide for Day Use and Boating, Birding, and Angling. Waterfowl's only total-run shift is a +1 for +30% Outflow in the South Delta.
3. Under seasonality analysis, dry seasons exceed thresholds far more often than wet seasons for Day Use and Boating (80% vs. 9% Delta-wide), Birding (71% vs. 5%), Waterfowl (28% vs. &lt;1%), and Angling (83% vs. 11%). Day Use is again inverted, exceeding 88% of the time in wet seasons vs. 14% in dry seasons. </t>
    </r>
  </si>
  <si>
    <t>10/1/20 - 3/31/21</t>
  </si>
  <si>
    <t>10/1/21 - 1/1/22</t>
  </si>
  <si>
    <t>N/A (outside run period)</t>
  </si>
  <si>
    <t>8/11/20 - 9/30/20</t>
  </si>
  <si>
    <t>4/1/21 - 9/30/21</t>
  </si>
  <si>
    <t>OCTOBER 2020 - MARCH 2021</t>
  </si>
  <si>
    <t>OCTOBER 2021 - JANUARY 2022</t>
  </si>
  <si>
    <t>AUGUST 2020 - SEPTEMBER 2020</t>
  </si>
  <si>
    <t>APRIL 2021 - SEPTEMBER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</si>
</sst>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E52F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9">
    <xf numFmtId="0" fontId="0" fillId="0" borderId="0" xfId="0"/>
    <xf numFmtId="14" fontId="1" fillId="0" borderId="0" xfId="0" applyNumberFormat="1" applyFont="1"/>
    <xf numFmtId="0" fontId="0" fillId="0" borderId="4" xfId="0" applyBorder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8" borderId="5" xfId="0" applyFill="1" applyBorder="1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0" fillId="0" borderId="4" xfId="0" quotePrefix="1" applyBorder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quotePrefix="1" applyFont="1" applyAlignment="1">
      <alignment horizontal="center" vertical="center"/>
    </xf>
    <xf numFmtId="0" fontId="4" fillId="0" borderId="5" xfId="0" quotePrefix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20" xfId="0" applyBorder="1"/>
    <xf numFmtId="0" fontId="0" fillId="0" borderId="17" xfId="0" applyBorder="1"/>
    <xf numFmtId="0" fontId="0" fillId="0" borderId="21" xfId="0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/>
    </xf>
    <xf numFmtId="0" fontId="5" fillId="12" borderId="10" xfId="0" applyFont="1" applyFill="1" applyBorder="1" applyAlignment="1">
      <alignment horizontal="center" vertical="center"/>
    </xf>
    <xf numFmtId="0" fontId="5" fillId="12" borderId="12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0" borderId="22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9" fontId="0" fillId="13" borderId="0" xfId="1" applyFont="1" applyFill="1" applyBorder="1"/>
    <xf numFmtId="9" fontId="0" fillId="13" borderId="5" xfId="1" applyFont="1" applyFill="1" applyBorder="1"/>
    <xf numFmtId="9" fontId="0" fillId="13" borderId="7" xfId="1" applyFont="1" applyFill="1" applyBorder="1"/>
    <xf numFmtId="9" fontId="0" fillId="13" borderId="8" xfId="1" applyFont="1" applyFill="1" applyBorder="1"/>
    <xf numFmtId="0" fontId="5" fillId="0" borderId="4" xfId="0" applyFont="1" applyBorder="1"/>
    <xf numFmtId="0" fontId="5" fillId="0" borderId="6" xfId="0" applyFont="1" applyBorder="1"/>
  </cellXfs>
  <cellStyles count="2">
    <cellStyle name="Normal" xfId="0" builtinId="0"/>
    <cellStyle name="Percent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7335FCF-94DB-424E-B55A-6666FD308F6C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d27215fb-d678-4359-abc7-5b80b389a78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8173-BA9B-4813-9A1C-565B984B78CB}">
  <dimension ref="C1:AI310"/>
  <sheetViews>
    <sheetView tabSelected="1" topLeftCell="A31" workbookViewId="0">
      <selection activeCell="AA48" sqref="AA48"/>
    </sheetView>
  </sheetViews>
  <sheetFormatPr defaultRowHeight="15" x14ac:dyDescent="0.25"/>
  <cols>
    <col min="8" max="8" width="9.140625" customWidth="1"/>
  </cols>
  <sheetData>
    <row r="1" spans="3:35" ht="15.75" thickBot="1" x14ac:dyDescent="0.3">
      <c r="Y1" s="104" t="s">
        <v>133</v>
      </c>
      <c r="Z1" s="105"/>
      <c r="AA1" s="105"/>
      <c r="AB1" s="105"/>
      <c r="AC1" s="105"/>
      <c r="AD1" s="105"/>
      <c r="AE1" s="105"/>
      <c r="AF1" s="105"/>
      <c r="AG1" s="105"/>
      <c r="AH1" s="105"/>
      <c r="AI1" s="106"/>
    </row>
    <row r="2" spans="3:35" x14ac:dyDescent="0.25">
      <c r="C2" s="69" t="s">
        <v>111</v>
      </c>
      <c r="D2" s="70"/>
      <c r="E2" s="70"/>
      <c r="F2" s="70"/>
      <c r="G2" s="71"/>
      <c r="H2" s="41"/>
      <c r="I2" s="69" t="s">
        <v>112</v>
      </c>
      <c r="J2" s="70"/>
      <c r="K2" s="70"/>
      <c r="L2" s="70"/>
      <c r="M2" s="71"/>
      <c r="N2" s="41"/>
      <c r="O2" s="66" t="s">
        <v>113</v>
      </c>
      <c r="P2" s="67"/>
      <c r="Q2" s="67"/>
      <c r="R2" s="67"/>
      <c r="S2" s="68"/>
      <c r="T2" s="38"/>
      <c r="Y2" s="107"/>
      <c r="Z2" s="108"/>
      <c r="AA2" s="108"/>
      <c r="AB2" s="108"/>
      <c r="AC2" s="108"/>
      <c r="AD2" s="108"/>
      <c r="AE2" s="108"/>
      <c r="AF2" s="108"/>
      <c r="AG2" s="108"/>
      <c r="AH2" s="108"/>
      <c r="AI2" s="109"/>
    </row>
    <row r="3" spans="3:35" ht="30" x14ac:dyDescent="0.25">
      <c r="C3" s="28"/>
      <c r="D3" s="27" t="s">
        <v>114</v>
      </c>
      <c r="E3" s="27" t="s">
        <v>125</v>
      </c>
      <c r="F3" s="39" t="s">
        <v>120</v>
      </c>
      <c r="G3" s="40" t="s">
        <v>123</v>
      </c>
      <c r="H3" s="27"/>
      <c r="I3" s="28"/>
      <c r="J3" s="27" t="s">
        <v>114</v>
      </c>
      <c r="K3" s="27" t="s">
        <v>125</v>
      </c>
      <c r="L3" s="39" t="s">
        <v>120</v>
      </c>
      <c r="M3" s="40" t="s">
        <v>123</v>
      </c>
      <c r="N3" s="42"/>
      <c r="O3" s="29"/>
      <c r="P3" s="37" t="s">
        <v>114</v>
      </c>
      <c r="Q3" s="27" t="s">
        <v>125</v>
      </c>
      <c r="R3" s="39" t="s">
        <v>120</v>
      </c>
      <c r="S3" s="40" t="s">
        <v>123</v>
      </c>
      <c r="Y3" s="107"/>
      <c r="Z3" s="108"/>
      <c r="AA3" s="108"/>
      <c r="AB3" s="108"/>
      <c r="AC3" s="108"/>
      <c r="AD3" s="108"/>
      <c r="AE3" s="108"/>
      <c r="AF3" s="108"/>
      <c r="AG3" s="108"/>
      <c r="AH3" s="108"/>
      <c r="AI3" s="109"/>
    </row>
    <row r="4" spans="3:35" x14ac:dyDescent="0.25">
      <c r="C4" s="57" t="s">
        <v>44</v>
      </c>
      <c r="D4" s="7" t="s">
        <v>49</v>
      </c>
      <c r="E4" s="7">
        <f>-MAX(-5,MIN(5,ROUND((D$39-D$39)*100,0)))</f>
        <v>0</v>
      </c>
      <c r="F4" s="7">
        <f>-MAX(-5,MIN(5,ROUND((D$48-D$39)*100,0)))</f>
        <v>0</v>
      </c>
      <c r="G4" s="11">
        <f>-MAX(-5,MIN(5,ROUND((D$57-D$39)*100,0)))</f>
        <v>0</v>
      </c>
      <c r="H4" s="7"/>
      <c r="I4" s="57" t="s">
        <v>44</v>
      </c>
      <c r="J4" s="7" t="s">
        <v>49</v>
      </c>
      <c r="K4" s="7">
        <f>-MAX(-5,MIN(5,ROUND((I$39-I$39)*100,0)))</f>
        <v>0</v>
      </c>
      <c r="L4" s="7">
        <f>-MAX(-5,MIN(5,ROUND((I$48-I$39)*100,0)))</f>
        <v>0</v>
      </c>
      <c r="M4" s="11">
        <f>-MAX(-5,MIN(5,ROUND((I$57-I$39)*100,0)))</f>
        <v>0</v>
      </c>
      <c r="O4" s="59" t="s">
        <v>44</v>
      </c>
      <c r="P4" s="17" t="s">
        <v>49</v>
      </c>
      <c r="Q4" s="17">
        <f>-MAX(-5,MIN(5,ROUND((N$39-N$39)*100,0)))</f>
        <v>0</v>
      </c>
      <c r="R4" s="17">
        <f>-MAX(-5,MIN(5,ROUND((N$48-N$39)*100,0)))</f>
        <v>-1</v>
      </c>
      <c r="S4" s="21">
        <f>-MAX(-5,MIN(5,ROUND((N$57-N$39)*100,0)))</f>
        <v>0</v>
      </c>
      <c r="Y4" s="107"/>
      <c r="Z4" s="108"/>
      <c r="AA4" s="108"/>
      <c r="AB4" s="108"/>
      <c r="AC4" s="108"/>
      <c r="AD4" s="108"/>
      <c r="AE4" s="108"/>
      <c r="AF4" s="108"/>
      <c r="AG4" s="108"/>
      <c r="AH4" s="108"/>
      <c r="AI4" s="109"/>
    </row>
    <row r="5" spans="3:35" x14ac:dyDescent="0.25">
      <c r="C5" s="57"/>
      <c r="D5" s="7" t="s">
        <v>33</v>
      </c>
      <c r="E5" s="7">
        <f>-MAX(-5,MIN(5,ROUND((E$39-E$39)*100,0)))</f>
        <v>0</v>
      </c>
      <c r="F5" s="7">
        <f>-MAX(-5,MIN(5,ROUND((E$48-E$39)*100,0)))</f>
        <v>-1</v>
      </c>
      <c r="G5" s="11">
        <f>-MAX(-5,MIN(5,ROUND((E$57-E$39)*100,0)))</f>
        <v>-1</v>
      </c>
      <c r="H5" s="7"/>
      <c r="I5" s="57"/>
      <c r="J5" s="7" t="s">
        <v>33</v>
      </c>
      <c r="K5" s="7">
        <f>-MAX(-5,MIN(5,ROUND((J$39-J$39)*100,0)))</f>
        <v>0</v>
      </c>
      <c r="L5" s="7">
        <f>-MAX(-5,MIN(5,ROUND((J$48-J$39)*100,0)))</f>
        <v>0</v>
      </c>
      <c r="M5" s="11">
        <f>-MAX(-5,MIN(5,ROUND((J$57-J$39)*100,0)))</f>
        <v>0</v>
      </c>
      <c r="O5" s="59"/>
      <c r="P5" s="17" t="s">
        <v>33</v>
      </c>
      <c r="Q5" s="17">
        <f>-MAX(-5,MIN(5,ROUND((O$39-O$39)*100,0)))</f>
        <v>0</v>
      </c>
      <c r="R5" s="17">
        <f>-MAX(-5,MIN(5,ROUND((O$48-O$39)*100,0)))</f>
        <v>-2</v>
      </c>
      <c r="S5" s="21">
        <f>-MAX(-5,MIN(5,ROUND((O$57-O$39)*100,0)))</f>
        <v>-1</v>
      </c>
      <c r="Y5" s="107"/>
      <c r="Z5" s="108"/>
      <c r="AA5" s="108"/>
      <c r="AB5" s="108"/>
      <c r="AC5" s="108"/>
      <c r="AD5" s="108"/>
      <c r="AE5" s="108"/>
      <c r="AF5" s="108"/>
      <c r="AG5" s="108"/>
      <c r="AH5" s="108"/>
      <c r="AI5" s="109"/>
    </row>
    <row r="6" spans="3:35" x14ac:dyDescent="0.25">
      <c r="C6" s="57"/>
      <c r="D6" s="7" t="s">
        <v>115</v>
      </c>
      <c r="E6" s="7">
        <f>-MAX(-5,MIN(5,ROUND((F$39-F$39)*100,0)))</f>
        <v>0</v>
      </c>
      <c r="F6" s="7">
        <f>-MAX(-5,MIN(5,ROUND((F$48-F$39)*100,0)))</f>
        <v>0</v>
      </c>
      <c r="G6" s="11">
        <f>-MAX(-5,MIN(5,ROUND((F$57-F$39)*100,0)))</f>
        <v>0</v>
      </c>
      <c r="H6" s="7"/>
      <c r="I6" s="57"/>
      <c r="J6" s="7" t="s">
        <v>115</v>
      </c>
      <c r="K6" s="7">
        <f>-MAX(-5,MIN(5,ROUND((K$39-K$39)*100,0)))</f>
        <v>0</v>
      </c>
      <c r="L6" s="7">
        <f>-MAX(-5,MIN(5,ROUND((K$48-K$39)*100,0)))</f>
        <v>0</v>
      </c>
      <c r="M6" s="11">
        <f>-MAX(-5,MIN(5,ROUND((K$57-K$39)*100,0)))</f>
        <v>0</v>
      </c>
      <c r="O6" s="59"/>
      <c r="P6" s="17" t="s">
        <v>115</v>
      </c>
      <c r="Q6" s="17">
        <f>-MAX(-5,MIN(5,ROUND((P$39-P$39)*100,0)))</f>
        <v>0</v>
      </c>
      <c r="R6" s="17">
        <f>-MAX(-5,MIN(5,ROUND((P$48-P$39)*100,0)))</f>
        <v>-1</v>
      </c>
      <c r="S6" s="21">
        <f>-MAX(-5,MIN(5,ROUND((P$57-P$39)*100,0)))</f>
        <v>0</v>
      </c>
      <c r="Y6" s="107"/>
      <c r="Z6" s="108"/>
      <c r="AA6" s="108"/>
      <c r="AB6" s="108"/>
      <c r="AC6" s="108"/>
      <c r="AD6" s="108"/>
      <c r="AE6" s="108"/>
      <c r="AF6" s="108"/>
      <c r="AG6" s="108"/>
      <c r="AH6" s="108"/>
      <c r="AI6" s="109"/>
    </row>
    <row r="7" spans="3:35" x14ac:dyDescent="0.25">
      <c r="C7" s="57"/>
      <c r="D7" s="7" t="s">
        <v>116</v>
      </c>
      <c r="E7" s="7">
        <f>-MAX(-5,MIN(5,ROUND((G$39-G$39)*100,0)))</f>
        <v>0</v>
      </c>
      <c r="F7" s="7">
        <f>-MAX(-5,MIN(5,ROUND((G$48-G$39)*100,0)))</f>
        <v>0</v>
      </c>
      <c r="G7" s="11">
        <f>-MAX(-5,MIN(5,ROUND((G$57-G$39)*100,0)))</f>
        <v>0</v>
      </c>
      <c r="H7" s="7"/>
      <c r="I7" s="57"/>
      <c r="J7" s="7" t="s">
        <v>116</v>
      </c>
      <c r="K7" s="7">
        <f>-MAX(-5,MIN(5,ROUND((L$39-L$39)*100,0)))</f>
        <v>0</v>
      </c>
      <c r="L7" s="7">
        <f>-MAX(-5,MIN(5,ROUND((L$48-L$39)*100,0)))</f>
        <v>1</v>
      </c>
      <c r="M7" s="11">
        <f>-MAX(-5,MIN(5,ROUND((L$57-L$39)*100,0)))</f>
        <v>-1</v>
      </c>
      <c r="O7" s="59"/>
      <c r="P7" s="17" t="s">
        <v>116</v>
      </c>
      <c r="Q7" s="7">
        <f>-MAX(-5,MIN(5,ROUND((Q$39-Q$39)*100,0)))</f>
        <v>0</v>
      </c>
      <c r="R7" s="7">
        <f>-MAX(-5,MIN(5,ROUND((Q$48-Q$39)*100,0)))</f>
        <v>0</v>
      </c>
      <c r="S7" s="11">
        <f>-MAX(-5,MIN(5,ROUND((Q$57-Q$39)*100,0)))</f>
        <v>0</v>
      </c>
      <c r="Y7" s="107"/>
      <c r="Z7" s="108"/>
      <c r="AA7" s="108"/>
      <c r="AB7" s="108"/>
      <c r="AC7" s="108"/>
      <c r="AD7" s="108"/>
      <c r="AE7" s="108"/>
      <c r="AF7" s="108"/>
      <c r="AG7" s="108"/>
      <c r="AH7" s="108"/>
      <c r="AI7" s="109"/>
    </row>
    <row r="8" spans="3:35" x14ac:dyDescent="0.25">
      <c r="C8" s="64"/>
      <c r="D8" s="30" t="s">
        <v>117</v>
      </c>
      <c r="E8" s="30">
        <f>-MAX(-5,MIN(5,ROUND((H$39-H$39)*100,0)))</f>
        <v>0</v>
      </c>
      <c r="F8" s="30">
        <f>-MAX(-5,MIN(5,ROUND((H$48-H$39)*100,0)))</f>
        <v>0</v>
      </c>
      <c r="G8" s="44">
        <f>-MAX(-5,MIN(5,ROUND((H$57-H$39)*100,0)))</f>
        <v>0</v>
      </c>
      <c r="H8" s="7"/>
      <c r="I8" s="64"/>
      <c r="J8" s="30" t="s">
        <v>117</v>
      </c>
      <c r="K8" s="30">
        <f>-MAX(-5,MIN(5,ROUND((M$39-M$39)*100,0)))</f>
        <v>0</v>
      </c>
      <c r="L8" s="30">
        <f>-MAX(-5,MIN(5,ROUND((M$48-M$39)*100,0)))</f>
        <v>0</v>
      </c>
      <c r="M8" s="44">
        <f>-MAX(-5,MIN(5,ROUND((M$57-M$39)*100,0)))</f>
        <v>0</v>
      </c>
      <c r="O8" s="65"/>
      <c r="P8" s="31" t="s">
        <v>117</v>
      </c>
      <c r="Q8" s="30">
        <f>-MAX(-5,MIN(5,ROUND((R$39-R$39)*100,0)))</f>
        <v>0</v>
      </c>
      <c r="R8" s="30">
        <f>-MAX(-5,MIN(5,ROUND((R$48-R$39)*100,0)))</f>
        <v>0</v>
      </c>
      <c r="S8" s="44">
        <f>-MAX(-5,MIN(5,ROUND((R$57-R$39)*100,0)))</f>
        <v>0</v>
      </c>
      <c r="Y8" s="107"/>
      <c r="Z8" s="108"/>
      <c r="AA8" s="108"/>
      <c r="AB8" s="108"/>
      <c r="AC8" s="108"/>
      <c r="AD8" s="108"/>
      <c r="AE8" s="108"/>
      <c r="AF8" s="108"/>
      <c r="AG8" s="108"/>
      <c r="AH8" s="108"/>
      <c r="AI8" s="109"/>
    </row>
    <row r="9" spans="3:35" ht="30" x14ac:dyDescent="0.25">
      <c r="C9" s="32"/>
      <c r="D9" s="27" t="s">
        <v>114</v>
      </c>
      <c r="E9" s="27" t="s">
        <v>125</v>
      </c>
      <c r="F9" s="39" t="s">
        <v>120</v>
      </c>
      <c r="G9" s="40" t="s">
        <v>123</v>
      </c>
      <c r="H9" s="27"/>
      <c r="I9" s="32"/>
      <c r="J9" s="27" t="s">
        <v>114</v>
      </c>
      <c r="K9" s="27" t="s">
        <v>125</v>
      </c>
      <c r="L9" s="39" t="s">
        <v>120</v>
      </c>
      <c r="M9" s="40" t="s">
        <v>123</v>
      </c>
      <c r="O9" s="29"/>
      <c r="P9" s="37" t="s">
        <v>114</v>
      </c>
      <c r="Q9" s="27" t="s">
        <v>125</v>
      </c>
      <c r="R9" s="39" t="s">
        <v>120</v>
      </c>
      <c r="S9" s="40" t="s">
        <v>123</v>
      </c>
      <c r="Y9" s="107"/>
      <c r="Z9" s="108"/>
      <c r="AA9" s="108"/>
      <c r="AB9" s="108"/>
      <c r="AC9" s="108"/>
      <c r="AD9" s="108"/>
      <c r="AE9" s="108"/>
      <c r="AF9" s="108"/>
      <c r="AG9" s="108"/>
      <c r="AH9" s="108"/>
      <c r="AI9" s="109"/>
    </row>
    <row r="10" spans="3:35" x14ac:dyDescent="0.25">
      <c r="C10" s="57" t="s">
        <v>67</v>
      </c>
      <c r="D10" s="7" t="s">
        <v>49</v>
      </c>
      <c r="E10" s="7">
        <f>-MAX(-5,MIN(5,ROUND((D$40-D$40)*100,0)))</f>
        <v>0</v>
      </c>
      <c r="F10" s="7">
        <f>-MAX(-5,MIN(5,ROUND((D$49-D$40)*100,0)))</f>
        <v>0</v>
      </c>
      <c r="G10" s="11">
        <f>-MAX(-5,MIN(5,ROUND((D$58-D$40)*100,0)))</f>
        <v>0</v>
      </c>
      <c r="H10" s="7"/>
      <c r="I10" s="57" t="s">
        <v>67</v>
      </c>
      <c r="J10" s="7" t="s">
        <v>49</v>
      </c>
      <c r="K10" s="7">
        <f>-MAX(-5,MIN(5,ROUND((I$40-I$40)*100,0)))</f>
        <v>0</v>
      </c>
      <c r="L10" s="7">
        <f>-MAX(-5,MIN(5,ROUND((I$49-I$40)*100,0)))</f>
        <v>0</v>
      </c>
      <c r="M10" s="11">
        <f>-MAX(-5,MIN(5,ROUND((I$58-I$40)*100,0)))</f>
        <v>0</v>
      </c>
      <c r="O10" s="59" t="s">
        <v>67</v>
      </c>
      <c r="P10" s="17" t="s">
        <v>49</v>
      </c>
      <c r="Q10" s="17">
        <f>-MAX(-5,MIN(5,ROUND((N$40-N$40)*100,0)))</f>
        <v>0</v>
      </c>
      <c r="R10" s="17">
        <f>-MAX(-5,MIN(5,ROUND((N$49-N$40)*100,0)))</f>
        <v>-1</v>
      </c>
      <c r="S10" s="21">
        <f>-MAX(-5,MIN(5,ROUND((N$58-N$40)*100,0)))</f>
        <v>0</v>
      </c>
      <c r="Y10" s="107"/>
      <c r="Z10" s="108"/>
      <c r="AA10" s="108"/>
      <c r="AB10" s="108"/>
      <c r="AC10" s="108"/>
      <c r="AD10" s="108"/>
      <c r="AE10" s="108"/>
      <c r="AF10" s="108"/>
      <c r="AG10" s="108"/>
      <c r="AH10" s="108"/>
      <c r="AI10" s="109"/>
    </row>
    <row r="11" spans="3:35" x14ac:dyDescent="0.25">
      <c r="C11" s="57"/>
      <c r="D11" s="7" t="s">
        <v>33</v>
      </c>
      <c r="E11" s="7">
        <f>-MAX(-5,MIN(5,ROUND((E$40-E$40)*100,0)))</f>
        <v>0</v>
      </c>
      <c r="F11" s="7">
        <f>-MAX(-5,MIN(5,ROUND((E$49-E$40)*100,0)))</f>
        <v>-1</v>
      </c>
      <c r="G11" s="11">
        <f>-MAX(-5,MIN(5,ROUND((E$58-E$40)*100,0)))</f>
        <v>-1</v>
      </c>
      <c r="H11" s="7"/>
      <c r="I11" s="57"/>
      <c r="J11" s="7" t="s">
        <v>33</v>
      </c>
      <c r="K11" s="7">
        <f>-MAX(-5,MIN(5,ROUND((J$40-J$40)*100,0)))</f>
        <v>0</v>
      </c>
      <c r="L11" s="7">
        <f>-MAX(-5,MIN(5,ROUND((J$49-J$40)*100,0)))</f>
        <v>0</v>
      </c>
      <c r="M11" s="11">
        <f>-MAX(-5,MIN(5,ROUND((J$58-J$40)*100,0)))</f>
        <v>0</v>
      </c>
      <c r="O11" s="59"/>
      <c r="P11" s="17" t="s">
        <v>33</v>
      </c>
      <c r="Q11" s="17">
        <f>-MAX(-5,MIN(5,ROUND((O$40-O$40)*100,0)))</f>
        <v>0</v>
      </c>
      <c r="R11" s="17">
        <f>-MAX(-5,MIN(5,ROUND((O$49-O$40)*100,0)))</f>
        <v>-2</v>
      </c>
      <c r="S11" s="21">
        <f>-MAX(-5,MIN(5,ROUND((O$58-O$40)*100,0)))</f>
        <v>-2</v>
      </c>
      <c r="X11" s="43"/>
      <c r="Y11" s="107"/>
      <c r="Z11" s="108"/>
      <c r="AA11" s="108"/>
      <c r="AB11" s="108"/>
      <c r="AC11" s="108"/>
      <c r="AD11" s="108"/>
      <c r="AE11" s="108"/>
      <c r="AF11" s="108"/>
      <c r="AG11" s="108"/>
      <c r="AH11" s="108"/>
      <c r="AI11" s="109"/>
    </row>
    <row r="12" spans="3:35" x14ac:dyDescent="0.25">
      <c r="C12" s="57"/>
      <c r="D12" s="7" t="s">
        <v>115</v>
      </c>
      <c r="E12" s="7">
        <f>-MAX(-5,MIN(5,ROUND((F$40-F$40)*100,0)))</f>
        <v>0</v>
      </c>
      <c r="F12" s="7">
        <f>-MAX(-5,MIN(5,ROUND((F$49-F$40)*100,0)))</f>
        <v>0</v>
      </c>
      <c r="G12" s="11">
        <f>-MAX(-5,MIN(5,ROUND((F$58-F$40)*100,0)))</f>
        <v>0</v>
      </c>
      <c r="H12" s="7"/>
      <c r="I12" s="57"/>
      <c r="J12" s="7" t="s">
        <v>115</v>
      </c>
      <c r="K12" s="7">
        <f>-MAX(-5,MIN(5,ROUND((K$40-K$40)*100,0)))</f>
        <v>0</v>
      </c>
      <c r="L12" s="7">
        <f>-MAX(-5,MIN(5,ROUND((K$49-K$40)*100,0)))</f>
        <v>1</v>
      </c>
      <c r="M12" s="11">
        <f>-MAX(-5,MIN(5,ROUND((K$58-K$40)*100,0)))</f>
        <v>0</v>
      </c>
      <c r="O12" s="59"/>
      <c r="P12" s="17" t="s">
        <v>115</v>
      </c>
      <c r="Q12" s="17">
        <f>-MAX(-5,MIN(5,ROUND((P$40-P$40)*100,0)))</f>
        <v>0</v>
      </c>
      <c r="R12" s="17">
        <f>-MAX(-5,MIN(5,ROUND((P$49-P$40)*100,0)))</f>
        <v>0</v>
      </c>
      <c r="S12" s="21">
        <f>-MAX(-5,MIN(5,ROUND((P$58-P$40)*100,0)))</f>
        <v>0</v>
      </c>
      <c r="Y12" s="107"/>
      <c r="Z12" s="108"/>
      <c r="AA12" s="108"/>
      <c r="AB12" s="108"/>
      <c r="AC12" s="108"/>
      <c r="AD12" s="108"/>
      <c r="AE12" s="108"/>
      <c r="AF12" s="108"/>
      <c r="AG12" s="108"/>
      <c r="AH12" s="108"/>
      <c r="AI12" s="109"/>
    </row>
    <row r="13" spans="3:35" x14ac:dyDescent="0.25">
      <c r="C13" s="57"/>
      <c r="D13" s="7" t="s">
        <v>116</v>
      </c>
      <c r="E13" s="7">
        <f>-MAX(-5,MIN(5,ROUND((G$40-G$40)*100,0)))</f>
        <v>0</v>
      </c>
      <c r="F13" s="7">
        <f>-MAX(-5,MIN(5,ROUND((G$49-G$40)*100,0)))</f>
        <v>0</v>
      </c>
      <c r="G13" s="11">
        <f>-MAX(-5,MIN(5,ROUND((G$58-G$40)*100,0)))</f>
        <v>0</v>
      </c>
      <c r="H13" s="7"/>
      <c r="I13" s="57"/>
      <c r="J13" s="7" t="s">
        <v>116</v>
      </c>
      <c r="K13" s="7">
        <f>-MAX(-5,MIN(5,ROUND((L$40-L$40)*100,0)))</f>
        <v>0</v>
      </c>
      <c r="L13" s="7">
        <f>-MAX(-5,MIN(5,ROUND((L$49-L$40)*100,0)))</f>
        <v>0</v>
      </c>
      <c r="M13" s="11">
        <f>-MAX(-5,MIN(5,ROUND((L$58-L$40)*100,0)))</f>
        <v>0</v>
      </c>
      <c r="O13" s="59"/>
      <c r="P13" s="17" t="s">
        <v>116</v>
      </c>
      <c r="Q13" s="7">
        <f>-MAX(-5,MIN(5,ROUND((Q$40-Q$40)*100,0)))</f>
        <v>0</v>
      </c>
      <c r="R13" s="7">
        <f>-MAX(-5,MIN(5,ROUND((Q$49-Q$40)*100,0)))</f>
        <v>0</v>
      </c>
      <c r="S13" s="11">
        <f>-MAX(-5,MIN(5,ROUND((Q$58-Q$40)*100,0)))</f>
        <v>0</v>
      </c>
      <c r="Y13" s="107"/>
      <c r="Z13" s="108"/>
      <c r="AA13" s="108"/>
      <c r="AB13" s="108"/>
      <c r="AC13" s="108"/>
      <c r="AD13" s="108"/>
      <c r="AE13" s="108"/>
      <c r="AF13" s="108"/>
      <c r="AG13" s="108"/>
      <c r="AH13" s="108"/>
      <c r="AI13" s="109"/>
    </row>
    <row r="14" spans="3:35" x14ac:dyDescent="0.25">
      <c r="C14" s="64"/>
      <c r="D14" s="30" t="s">
        <v>117</v>
      </c>
      <c r="E14" s="30">
        <f>-MAX(-5,MIN(5,ROUND((H$40-H$40)*100,0)))</f>
        <v>0</v>
      </c>
      <c r="F14" s="30">
        <f>-MAX(-5,MIN(5,ROUND((H$49-H$40)*100,0)))</f>
        <v>0</v>
      </c>
      <c r="G14" s="44">
        <f>-MAX(-5,MIN(5,ROUND((H$58-H$40)*100,0)))</f>
        <v>0</v>
      </c>
      <c r="H14" s="7"/>
      <c r="I14" s="64"/>
      <c r="J14" s="30" t="s">
        <v>117</v>
      </c>
      <c r="K14" s="30">
        <f>-MAX(-5,MIN(5,ROUND((M$40-M$40)*100,0)))</f>
        <v>0</v>
      </c>
      <c r="L14" s="30">
        <f>-MAX(-5,MIN(5,ROUND((M$49-M$40)*100,0)))</f>
        <v>0</v>
      </c>
      <c r="M14" s="44">
        <f>-MAX(-5,MIN(5,ROUND((M$58-M$40)*100,0)))</f>
        <v>0</v>
      </c>
      <c r="O14" s="65"/>
      <c r="P14" s="31" t="s">
        <v>117</v>
      </c>
      <c r="Q14" s="30">
        <f>-MAX(-5,MIN(5,ROUND((R$40-R$40)*100,0)))</f>
        <v>0</v>
      </c>
      <c r="R14" s="30">
        <f>-MAX(-5,MIN(5,ROUND((R$49-R$40)*100,0)))</f>
        <v>0</v>
      </c>
      <c r="S14" s="44">
        <f>-MAX(-5,MIN(5,ROUND((R$58-R$40)*100,0)))</f>
        <v>0</v>
      </c>
      <c r="Y14" s="107"/>
      <c r="Z14" s="108"/>
      <c r="AA14" s="108"/>
      <c r="AB14" s="108"/>
      <c r="AC14" s="108"/>
      <c r="AD14" s="108"/>
      <c r="AE14" s="108"/>
      <c r="AF14" s="108"/>
      <c r="AG14" s="108"/>
      <c r="AH14" s="108"/>
      <c r="AI14" s="109"/>
    </row>
    <row r="15" spans="3:35" ht="30" x14ac:dyDescent="0.25">
      <c r="C15" s="32"/>
      <c r="D15" s="27" t="s">
        <v>114</v>
      </c>
      <c r="E15" s="27" t="s">
        <v>125</v>
      </c>
      <c r="F15" s="39" t="s">
        <v>120</v>
      </c>
      <c r="G15" s="40" t="s">
        <v>123</v>
      </c>
      <c r="H15" s="27"/>
      <c r="I15" s="32"/>
      <c r="J15" s="27" t="s">
        <v>114</v>
      </c>
      <c r="K15" s="27" t="s">
        <v>125</v>
      </c>
      <c r="L15" s="39" t="s">
        <v>120</v>
      </c>
      <c r="M15" s="40" t="s">
        <v>123</v>
      </c>
      <c r="O15" s="29"/>
      <c r="P15" s="37" t="s">
        <v>114</v>
      </c>
      <c r="Q15" s="27" t="s">
        <v>125</v>
      </c>
      <c r="R15" s="39" t="s">
        <v>120</v>
      </c>
      <c r="S15" s="40" t="s">
        <v>123</v>
      </c>
      <c r="Y15" s="107"/>
      <c r="Z15" s="108"/>
      <c r="AA15" s="108"/>
      <c r="AB15" s="108"/>
      <c r="AC15" s="108"/>
      <c r="AD15" s="108"/>
      <c r="AE15" s="108"/>
      <c r="AF15" s="108"/>
      <c r="AG15" s="108"/>
      <c r="AH15" s="108"/>
      <c r="AI15" s="109"/>
    </row>
    <row r="16" spans="3:35" x14ac:dyDescent="0.25">
      <c r="C16" s="57" t="s">
        <v>95</v>
      </c>
      <c r="D16" s="7" t="s">
        <v>49</v>
      </c>
      <c r="E16" s="7">
        <f>-MAX(-5,MIN(5,ROUND((D$41-D$41)*100,0)))</f>
        <v>0</v>
      </c>
      <c r="F16" s="7">
        <f>-MAX(-5,MIN(5,ROUND((D$50-D$41)*100,0)))</f>
        <v>0</v>
      </c>
      <c r="G16" s="11">
        <f>-MAX(-5,MIN(5,ROUND((D$59-D$41)*100,0)))</f>
        <v>0</v>
      </c>
      <c r="H16" s="7"/>
      <c r="I16" s="57" t="s">
        <v>95</v>
      </c>
      <c r="J16" s="7" t="s">
        <v>49</v>
      </c>
      <c r="K16" s="7">
        <f>-MAX(-5,MIN(5,ROUND((I$41-I$41)*100,0)))</f>
        <v>0</v>
      </c>
      <c r="L16" s="7">
        <f>-MAX(-5,MIN(5,ROUND((I$50-I$41)*100,0)))</f>
        <v>0</v>
      </c>
      <c r="M16" s="11">
        <f>-MAX(-5,MIN(5,ROUND((I$59-I$41)*100,0)))</f>
        <v>0</v>
      </c>
      <c r="O16" s="59" t="s">
        <v>95</v>
      </c>
      <c r="P16" s="17" t="s">
        <v>49</v>
      </c>
      <c r="Q16" s="17">
        <f>-MAX(-5,MIN(5,ROUND((N$41-N$41)*100,0)))</f>
        <v>0</v>
      </c>
      <c r="R16" s="17">
        <f>-MAX(-5,MIN(5,ROUND((N$50-N$41)*100,0)))</f>
        <v>0</v>
      </c>
      <c r="S16" s="21">
        <f>-MAX(-5,MIN(5,ROUND((N$59-N$41)*100,0)))</f>
        <v>0</v>
      </c>
      <c r="Y16" s="107"/>
      <c r="Z16" s="108"/>
      <c r="AA16" s="108"/>
      <c r="AB16" s="108"/>
      <c r="AC16" s="108"/>
      <c r="AD16" s="108"/>
      <c r="AE16" s="108"/>
      <c r="AF16" s="108"/>
      <c r="AG16" s="108"/>
      <c r="AH16" s="108"/>
      <c r="AI16" s="109"/>
    </row>
    <row r="17" spans="3:35" x14ac:dyDescent="0.25">
      <c r="C17" s="57"/>
      <c r="D17" s="7" t="s">
        <v>33</v>
      </c>
      <c r="E17" s="7">
        <f>-MAX(-5,MIN(5,ROUND((E$41-E$41)*100,0)))</f>
        <v>0</v>
      </c>
      <c r="F17" s="7">
        <f>-MAX(-5,MIN(5,ROUND((E$50-E$41)*100,0)))</f>
        <v>0</v>
      </c>
      <c r="G17" s="11">
        <f>-MAX(-5,MIN(5,ROUND((E$59-E$41)*100,0)))</f>
        <v>0</v>
      </c>
      <c r="H17" s="7"/>
      <c r="I17" s="57"/>
      <c r="J17" s="7" t="s">
        <v>33</v>
      </c>
      <c r="K17" s="7">
        <f>-MAX(-5,MIN(5,ROUND((J$41-J$41)*100,0)))</f>
        <v>0</v>
      </c>
      <c r="L17" s="7">
        <f>-MAX(-5,MIN(5,ROUND((J$50-J$41)*100,0)))</f>
        <v>0</v>
      </c>
      <c r="M17" s="11">
        <f>-MAX(-5,MIN(5,ROUND((J$59-J$41)*100,0)))</f>
        <v>0</v>
      </c>
      <c r="O17" s="59"/>
      <c r="P17" s="17" t="s">
        <v>33</v>
      </c>
      <c r="Q17" s="17">
        <f>-MAX(-5,MIN(5,ROUND((O$41-O$41)*100,0)))</f>
        <v>0</v>
      </c>
      <c r="R17" s="17">
        <f>-MAX(-5,MIN(5,ROUND((O$50-O$41)*100,0)))</f>
        <v>0</v>
      </c>
      <c r="S17" s="21">
        <f>-MAX(-5,MIN(5,ROUND((O$59-O$41)*100,0)))</f>
        <v>0</v>
      </c>
      <c r="Y17" s="107"/>
      <c r="Z17" s="108"/>
      <c r="AA17" s="108"/>
      <c r="AB17" s="108"/>
      <c r="AC17" s="108"/>
      <c r="AD17" s="108"/>
      <c r="AE17" s="108"/>
      <c r="AF17" s="108"/>
      <c r="AG17" s="108"/>
      <c r="AH17" s="108"/>
      <c r="AI17" s="109"/>
    </row>
    <row r="18" spans="3:35" x14ac:dyDescent="0.25">
      <c r="C18" s="57"/>
      <c r="D18" s="7" t="s">
        <v>115</v>
      </c>
      <c r="E18" s="7">
        <f>-MAX(-5,MIN(5,ROUND((F$41-F$41)*100,0)))</f>
        <v>0</v>
      </c>
      <c r="F18" s="7">
        <f>-MAX(-5,MIN(5,ROUND((F$50-F$41)*100,0)))</f>
        <v>0</v>
      </c>
      <c r="G18" s="11">
        <f>-MAX(-5,MIN(5,ROUND((F$59-F$41)*100,0)))</f>
        <v>0</v>
      </c>
      <c r="H18" s="7"/>
      <c r="I18" s="57"/>
      <c r="J18" s="7" t="s">
        <v>115</v>
      </c>
      <c r="K18" s="7">
        <f>-MAX(-5,MIN(5,ROUND((K$41-K$41)*100,0)))</f>
        <v>0</v>
      </c>
      <c r="L18" s="7">
        <f>-MAX(-5,MIN(5,ROUND((K$50-K$41)*100,0)))</f>
        <v>0</v>
      </c>
      <c r="M18" s="11">
        <f>-MAX(-5,MIN(5,ROUND((K$59-K$41)*100,0)))</f>
        <v>0</v>
      </c>
      <c r="O18" s="59"/>
      <c r="P18" s="17" t="s">
        <v>115</v>
      </c>
      <c r="Q18" s="17">
        <f>-MAX(-5,MIN(5,ROUND((P$41-P$41)*100,0)))</f>
        <v>0</v>
      </c>
      <c r="R18" s="17">
        <f>-MAX(-5,MIN(5,ROUND((P$50-P$41)*100,0)))</f>
        <v>0</v>
      </c>
      <c r="S18" s="21">
        <f>-MAX(-5,MIN(5,ROUND((P$59-P$41)*100,0)))</f>
        <v>0</v>
      </c>
      <c r="Y18" s="107"/>
      <c r="Z18" s="108"/>
      <c r="AA18" s="108"/>
      <c r="AB18" s="108"/>
      <c r="AC18" s="108"/>
      <c r="AD18" s="108"/>
      <c r="AE18" s="108"/>
      <c r="AF18" s="108"/>
      <c r="AG18" s="108"/>
      <c r="AH18" s="108"/>
      <c r="AI18" s="109"/>
    </row>
    <row r="19" spans="3:35" x14ac:dyDescent="0.25">
      <c r="C19" s="57"/>
      <c r="D19" s="7" t="s">
        <v>116</v>
      </c>
      <c r="E19" s="7">
        <f>-MAX(-5,MIN(5,ROUND((G$41-G$41)*100,0)))</f>
        <v>0</v>
      </c>
      <c r="F19" s="7">
        <f>-MAX(-5,MIN(5,ROUND((G$50-G$41)*100,0)))</f>
        <v>0</v>
      </c>
      <c r="G19" s="11">
        <f>-MAX(-5,MIN(5,ROUND((G$59-G$41)*100,0)))</f>
        <v>0</v>
      </c>
      <c r="H19" s="7"/>
      <c r="I19" s="57"/>
      <c r="J19" s="7" t="s">
        <v>116</v>
      </c>
      <c r="K19" s="7">
        <f>-MAX(-5,MIN(5,ROUND((L$41-L$41)*100,0)))</f>
        <v>0</v>
      </c>
      <c r="L19" s="7">
        <f>-MAX(-5,MIN(5,ROUND((L$50-L$41)*100,0)))</f>
        <v>0</v>
      </c>
      <c r="M19" s="11">
        <f>-MAX(-5,MIN(5,ROUND((L$59-L$41)*100,0)))</f>
        <v>0</v>
      </c>
      <c r="O19" s="59"/>
      <c r="P19" s="17" t="s">
        <v>116</v>
      </c>
      <c r="Q19" s="7">
        <f>-MAX(-5,MIN(5,ROUND((Q$41-Q$41)*100,0)))</f>
        <v>0</v>
      </c>
      <c r="R19" s="7">
        <f>-MAX(-5,MIN(5,ROUND((Q$50-Q$41)*100,0)))</f>
        <v>0</v>
      </c>
      <c r="S19" s="11">
        <f>-MAX(-5,MIN(5,ROUND((Q$59-Q$41)*100,0)))</f>
        <v>1</v>
      </c>
      <c r="Y19" s="107"/>
      <c r="Z19" s="108"/>
      <c r="AA19" s="108"/>
      <c r="AB19" s="108"/>
      <c r="AC19" s="108"/>
      <c r="AD19" s="108"/>
      <c r="AE19" s="108"/>
      <c r="AF19" s="108"/>
      <c r="AG19" s="108"/>
      <c r="AH19" s="108"/>
      <c r="AI19" s="109"/>
    </row>
    <row r="20" spans="3:35" x14ac:dyDescent="0.25">
      <c r="C20" s="64"/>
      <c r="D20" s="30" t="s">
        <v>117</v>
      </c>
      <c r="E20" s="30">
        <f>-MAX(-5,MIN(5,ROUND((H$41-H$41)*100,0)))</f>
        <v>0</v>
      </c>
      <c r="F20" s="30">
        <f>-MAX(-5,MIN(5,ROUND((H$50-H$41)*100,0)))</f>
        <v>1</v>
      </c>
      <c r="G20" s="44">
        <f>-MAX(-5,MIN(5,ROUND((H$59-H$41)*100,0)))</f>
        <v>0</v>
      </c>
      <c r="H20" s="7"/>
      <c r="I20" s="64"/>
      <c r="J20" s="30" t="s">
        <v>117</v>
      </c>
      <c r="K20" s="30">
        <f>-MAX(-5,MIN(5,ROUND((M$41-M$41)*100,0)))</f>
        <v>0</v>
      </c>
      <c r="L20" s="30">
        <f>-MAX(-5,MIN(5,ROUND((M$50-M$41)*100,0)))</f>
        <v>0</v>
      </c>
      <c r="M20" s="44">
        <f>-MAX(-5,MIN(5,ROUND((M$59-M$41)*100,0)))</f>
        <v>0</v>
      </c>
      <c r="O20" s="65"/>
      <c r="P20" s="31" t="s">
        <v>117</v>
      </c>
      <c r="Q20" s="30">
        <f>-MAX(-5,MIN(5,ROUND((R$41-R$41)*100,0)))</f>
        <v>0</v>
      </c>
      <c r="R20" s="30">
        <f>-MAX(-5,MIN(5,ROUND((R$50-R$41)*100,0)))</f>
        <v>1</v>
      </c>
      <c r="S20" s="44">
        <f>-MAX(-5,MIN(5,ROUND((R$59-R$41)*100,0)))</f>
        <v>0</v>
      </c>
      <c r="Y20" s="107"/>
      <c r="Z20" s="108"/>
      <c r="AA20" s="108"/>
      <c r="AB20" s="108"/>
      <c r="AC20" s="108"/>
      <c r="AD20" s="108"/>
      <c r="AE20" s="108"/>
      <c r="AF20" s="108"/>
      <c r="AG20" s="108"/>
      <c r="AH20" s="108"/>
      <c r="AI20" s="109"/>
    </row>
    <row r="21" spans="3:35" ht="30" x14ac:dyDescent="0.25">
      <c r="C21" s="32"/>
      <c r="D21" s="27" t="s">
        <v>114</v>
      </c>
      <c r="E21" s="27" t="s">
        <v>125</v>
      </c>
      <c r="F21" s="39" t="s">
        <v>120</v>
      </c>
      <c r="G21" s="40" t="s">
        <v>123</v>
      </c>
      <c r="H21" s="27"/>
      <c r="I21" s="32"/>
      <c r="J21" s="27" t="s">
        <v>114</v>
      </c>
      <c r="K21" s="27" t="s">
        <v>125</v>
      </c>
      <c r="L21" s="39" t="s">
        <v>120</v>
      </c>
      <c r="M21" s="40" t="s">
        <v>123</v>
      </c>
      <c r="O21" s="29"/>
      <c r="P21" s="37" t="s">
        <v>114</v>
      </c>
      <c r="Q21" s="27" t="s">
        <v>125</v>
      </c>
      <c r="R21" s="39" t="s">
        <v>120</v>
      </c>
      <c r="S21" s="40" t="s">
        <v>123</v>
      </c>
      <c r="Y21" s="107"/>
      <c r="Z21" s="108"/>
      <c r="AA21" s="108"/>
      <c r="AB21" s="108"/>
      <c r="AC21" s="108"/>
      <c r="AD21" s="108"/>
      <c r="AE21" s="108"/>
      <c r="AF21" s="108"/>
      <c r="AG21" s="108"/>
      <c r="AH21" s="108"/>
      <c r="AI21" s="109"/>
    </row>
    <row r="22" spans="3:35" x14ac:dyDescent="0.25">
      <c r="C22" s="57" t="s">
        <v>68</v>
      </c>
      <c r="D22" s="7" t="s">
        <v>49</v>
      </c>
      <c r="E22" s="7">
        <f>-MAX(-5,MIN(5,ROUND((D$42-D$42)*100,0)))</f>
        <v>0</v>
      </c>
      <c r="F22" s="7">
        <f>-MAX(-5,MIN(5,ROUND((D$51-D$42)*100,0)))</f>
        <v>0</v>
      </c>
      <c r="G22" s="11">
        <f>-MAX(-5,MIN(5,ROUND((D$60-D$42)*100,0)))</f>
        <v>0</v>
      </c>
      <c r="H22" s="7"/>
      <c r="I22" s="57" t="s">
        <v>68</v>
      </c>
      <c r="J22" s="7" t="s">
        <v>49</v>
      </c>
      <c r="K22" s="7">
        <f>-MAX(-5,MIN(5,ROUND((I$42-I$42)*100,0)))</f>
        <v>0</v>
      </c>
      <c r="L22" s="7">
        <f>-MAX(-5,MIN(5,ROUND((I$51-I$42)*100,0)))</f>
        <v>0</v>
      </c>
      <c r="M22" s="11">
        <f>-MAX(-5,MIN(5,ROUND((I$60-I$42)*100,0)))</f>
        <v>0</v>
      </c>
      <c r="O22" s="59" t="s">
        <v>68</v>
      </c>
      <c r="P22" s="17" t="s">
        <v>49</v>
      </c>
      <c r="Q22" s="17">
        <f>-MAX(-5,MIN(5,ROUND((N$42-N$42)*100,0)))</f>
        <v>0</v>
      </c>
      <c r="R22" s="17">
        <f>-MAX(-5,MIN(5,ROUND((N$51-N$42)*100,0)))</f>
        <v>-1</v>
      </c>
      <c r="S22" s="21">
        <f>-MAX(-5,MIN(5,ROUND((N$60-N$42)*100,0)))</f>
        <v>0</v>
      </c>
      <c r="Y22" s="107"/>
      <c r="Z22" s="108"/>
      <c r="AA22" s="108"/>
      <c r="AB22" s="108"/>
      <c r="AC22" s="108"/>
      <c r="AD22" s="108"/>
      <c r="AE22" s="108"/>
      <c r="AF22" s="108"/>
      <c r="AG22" s="108"/>
      <c r="AH22" s="108"/>
      <c r="AI22" s="109"/>
    </row>
    <row r="23" spans="3:35" x14ac:dyDescent="0.25">
      <c r="C23" s="57"/>
      <c r="D23" s="7" t="s">
        <v>33</v>
      </c>
      <c r="E23" s="7">
        <f>-MAX(-5,MIN(5,ROUND((E$42-E$42)*100,0)))</f>
        <v>0</v>
      </c>
      <c r="F23" s="7">
        <f>-MAX(-5,MIN(5,ROUND((E$51-E$42)*100,0)))</f>
        <v>-1</v>
      </c>
      <c r="G23" s="11">
        <f>-MAX(-5,MIN(5,ROUND((E$60-E$42)*100,0)))</f>
        <v>-1</v>
      </c>
      <c r="H23" s="7"/>
      <c r="I23" s="57"/>
      <c r="J23" s="7" t="s">
        <v>33</v>
      </c>
      <c r="K23" s="7">
        <f>-MAX(-5,MIN(5,ROUND((J$42-J$42)*100,0)))</f>
        <v>0</v>
      </c>
      <c r="L23" s="7">
        <f>-MAX(-5,MIN(5,ROUND((J$51-J$42)*100,0)))</f>
        <v>0</v>
      </c>
      <c r="M23" s="11">
        <f>-MAX(-5,MIN(5,ROUND((J$60-J$42)*100,0)))</f>
        <v>0</v>
      </c>
      <c r="O23" s="59"/>
      <c r="P23" s="17" t="s">
        <v>33</v>
      </c>
      <c r="Q23" s="17">
        <f>-MAX(-5,MIN(5,ROUND((O$42-O$42)*100,0)))</f>
        <v>0</v>
      </c>
      <c r="R23" s="17">
        <f>-MAX(-5,MIN(5,ROUND((O$51-O$42)*100,0)))</f>
        <v>-1</v>
      </c>
      <c r="S23" s="21">
        <f>-MAX(-5,MIN(5,ROUND((O$60-O$42)*100,0)))</f>
        <v>-1</v>
      </c>
      <c r="Y23" s="107"/>
      <c r="Z23" s="108"/>
      <c r="AA23" s="108"/>
      <c r="AB23" s="108"/>
      <c r="AC23" s="108"/>
      <c r="AD23" s="108"/>
      <c r="AE23" s="108"/>
      <c r="AF23" s="108"/>
      <c r="AG23" s="108"/>
      <c r="AH23" s="108"/>
      <c r="AI23" s="109"/>
    </row>
    <row r="24" spans="3:35" x14ac:dyDescent="0.25">
      <c r="C24" s="57"/>
      <c r="D24" s="7" t="s">
        <v>115</v>
      </c>
      <c r="E24" s="7">
        <f>-MAX(-5,MIN(5,ROUND((F$42-F$42)*100,0)))</f>
        <v>0</v>
      </c>
      <c r="F24" s="7">
        <f>-MAX(-5,MIN(5,ROUND((F$51-F$42)*100,0)))</f>
        <v>0</v>
      </c>
      <c r="G24" s="11">
        <f>-MAX(-5,MIN(5,ROUND((F$60-F$42)*100,0)))</f>
        <v>0</v>
      </c>
      <c r="H24" s="7"/>
      <c r="I24" s="57"/>
      <c r="J24" s="7" t="s">
        <v>115</v>
      </c>
      <c r="K24" s="7">
        <f>-MAX(-5,MIN(5,ROUND((K$42-K$42)*100,0)))</f>
        <v>0</v>
      </c>
      <c r="L24" s="7">
        <f>-MAX(-5,MIN(5,ROUND((K$51-K$42)*100,0)))</f>
        <v>0</v>
      </c>
      <c r="M24" s="11">
        <f>-MAX(-5,MIN(5,ROUND((K$60-K$42)*100,0)))</f>
        <v>0</v>
      </c>
      <c r="O24" s="59"/>
      <c r="P24" s="17" t="s">
        <v>115</v>
      </c>
      <c r="Q24" s="17">
        <f>-MAX(-5,MIN(5,ROUND((P$42-P$42)*100,0)))</f>
        <v>0</v>
      </c>
      <c r="R24" s="17">
        <f>-MAX(-5,MIN(5,ROUND((P$51-P$42)*100,0)))</f>
        <v>-1</v>
      </c>
      <c r="S24" s="21">
        <f>-MAX(-5,MIN(5,ROUND((P$60-P$42)*100,0)))</f>
        <v>0</v>
      </c>
      <c r="Y24" s="107"/>
      <c r="Z24" s="108"/>
      <c r="AA24" s="108"/>
      <c r="AB24" s="108"/>
      <c r="AC24" s="108"/>
      <c r="AD24" s="108"/>
      <c r="AE24" s="108"/>
      <c r="AF24" s="108"/>
      <c r="AG24" s="108"/>
      <c r="AH24" s="108"/>
      <c r="AI24" s="109"/>
    </row>
    <row r="25" spans="3:35" x14ac:dyDescent="0.25">
      <c r="C25" s="57"/>
      <c r="D25" s="7" t="s">
        <v>116</v>
      </c>
      <c r="E25" s="7">
        <f>-MAX(-5,MIN(5,ROUND((G$42-G$42)*100,0)))</f>
        <v>0</v>
      </c>
      <c r="F25" s="7">
        <f>-MAX(-5,MIN(5,ROUND((G$51-G$42)*100,0)))</f>
        <v>0</v>
      </c>
      <c r="G25" s="11">
        <f>-MAX(-5,MIN(5,ROUND((G$60-G$42)*100,0)))</f>
        <v>0</v>
      </c>
      <c r="H25" s="7"/>
      <c r="I25" s="57"/>
      <c r="J25" s="7" t="s">
        <v>116</v>
      </c>
      <c r="K25" s="7">
        <f>-MAX(-5,MIN(5,ROUND((L$42-L$42)*100,0)))</f>
        <v>0</v>
      </c>
      <c r="L25" s="7">
        <f>-MAX(-5,MIN(5,ROUND((L$51-L$42)*100,0)))</f>
        <v>1</v>
      </c>
      <c r="M25" s="11">
        <f>-MAX(-5,MIN(5,ROUND((L$60-L$42)*100,0)))</f>
        <v>0</v>
      </c>
      <c r="O25" s="59"/>
      <c r="P25" s="17" t="s">
        <v>116</v>
      </c>
      <c r="Q25" s="7">
        <f>-MAX(-5,MIN(5,ROUND((Q$42-Q$42)*100,0)))</f>
        <v>0</v>
      </c>
      <c r="R25" s="7">
        <f>-MAX(-5,MIN(5,ROUND((Q$51-Q$42)*100,0)))</f>
        <v>-1</v>
      </c>
      <c r="S25" s="11">
        <f>-MAX(-5,MIN(5,ROUND((Q$60-Q$42)*100,0)))</f>
        <v>0</v>
      </c>
      <c r="Y25" s="107"/>
      <c r="Z25" s="108"/>
      <c r="AA25" s="108"/>
      <c r="AB25" s="108"/>
      <c r="AC25" s="108"/>
      <c r="AD25" s="108"/>
      <c r="AE25" s="108"/>
      <c r="AF25" s="108"/>
      <c r="AG25" s="108"/>
      <c r="AH25" s="108"/>
      <c r="AI25" s="109"/>
    </row>
    <row r="26" spans="3:35" ht="15.75" thickBot="1" x14ac:dyDescent="0.3">
      <c r="C26" s="58"/>
      <c r="D26" s="14" t="s">
        <v>117</v>
      </c>
      <c r="E26" s="14">
        <f>-MAX(-5,MIN(5,ROUND((H$42-H$42)*100,0)))</f>
        <v>0</v>
      </c>
      <c r="F26" s="14">
        <f>-MAX(-5,MIN(5,ROUND((H$51-H$42)*100,0)))</f>
        <v>0</v>
      </c>
      <c r="G26" s="16">
        <f>-MAX(-5,MIN(5,ROUND((H$60-H$42)*100,0)))</f>
        <v>0</v>
      </c>
      <c r="H26" s="7"/>
      <c r="I26" s="58"/>
      <c r="J26" s="14" t="s">
        <v>117</v>
      </c>
      <c r="K26" s="14">
        <f>-MAX(-5,MIN(5,ROUND((M$42-M$42)*100,0)))</f>
        <v>0</v>
      </c>
      <c r="L26" s="14">
        <f>-MAX(-5,MIN(5,ROUND((M$51-M$42)*100,0)))</f>
        <v>0</v>
      </c>
      <c r="M26" s="16">
        <f>-MAX(-5,MIN(5,ROUND((M$60-M$42)*100,0)))</f>
        <v>0</v>
      </c>
      <c r="O26" s="60"/>
      <c r="P26" s="23" t="s">
        <v>117</v>
      </c>
      <c r="Q26" s="14">
        <f>-MAX(-5,MIN(5,ROUND((R$42-R$42)*100,0)))</f>
        <v>0</v>
      </c>
      <c r="R26" s="14">
        <f>-MAX(-5,MIN(5,ROUND((R$51-R$42)*100,0)))</f>
        <v>0</v>
      </c>
      <c r="S26" s="16">
        <f>-MAX(-5,MIN(5,ROUND((R$60-R$42)*100,0)))</f>
        <v>0</v>
      </c>
      <c r="Y26" s="110"/>
      <c r="Z26" s="111"/>
      <c r="AA26" s="111"/>
      <c r="AB26" s="111"/>
      <c r="AC26" s="111"/>
      <c r="AD26" s="111"/>
      <c r="AE26" s="111"/>
      <c r="AF26" s="111"/>
      <c r="AG26" s="111"/>
      <c r="AH26" s="111"/>
      <c r="AI26" s="112"/>
    </row>
    <row r="27" spans="3:35" ht="30" x14ac:dyDescent="0.25">
      <c r="C27" s="32"/>
      <c r="D27" s="27" t="s">
        <v>114</v>
      </c>
      <c r="E27" s="27" t="s">
        <v>125</v>
      </c>
      <c r="F27" s="39" t="s">
        <v>120</v>
      </c>
      <c r="G27" s="40" t="s">
        <v>123</v>
      </c>
      <c r="H27" s="27"/>
      <c r="I27" s="32"/>
      <c r="J27" s="27" t="s">
        <v>114</v>
      </c>
      <c r="K27" s="27" t="s">
        <v>125</v>
      </c>
      <c r="L27" s="39" t="s">
        <v>120</v>
      </c>
      <c r="M27" s="40" t="s">
        <v>123</v>
      </c>
      <c r="O27" s="29"/>
      <c r="P27" s="37" t="s">
        <v>114</v>
      </c>
      <c r="Q27" s="27" t="s">
        <v>125</v>
      </c>
      <c r="R27" s="39" t="s">
        <v>120</v>
      </c>
      <c r="S27" s="40" t="s">
        <v>123</v>
      </c>
    </row>
    <row r="28" spans="3:35" x14ac:dyDescent="0.25">
      <c r="C28" s="57" t="s">
        <v>96</v>
      </c>
      <c r="D28" s="7" t="s">
        <v>49</v>
      </c>
      <c r="E28" s="7">
        <f>-MAX(-5,MIN(5,ROUND((D$43-D$43)*100,0)))</f>
        <v>0</v>
      </c>
      <c r="F28" s="7">
        <f>-MAX(-5,MIN(5,ROUND((D$52-D$43)*100,0)))</f>
        <v>0</v>
      </c>
      <c r="G28" s="11">
        <f>-MAX(-5,MIN(5,ROUND((D$61-D$43)*100,0)))</f>
        <v>0</v>
      </c>
      <c r="H28" s="7"/>
      <c r="I28" s="57" t="s">
        <v>96</v>
      </c>
      <c r="J28" s="7" t="s">
        <v>49</v>
      </c>
      <c r="K28" s="7">
        <f>-MAX(-5,MIN(5,ROUND((I$43-I$43)*100,0)))</f>
        <v>0</v>
      </c>
      <c r="L28" s="7">
        <f>-MAX(-5,MIN(5,ROUND((I$52-I$43)*100,0)))</f>
        <v>0</v>
      </c>
      <c r="M28" s="11">
        <f>-MAX(-5,MIN(5,ROUND((I$61-I$43)*100,0)))</f>
        <v>0</v>
      </c>
      <c r="O28" s="59" t="s">
        <v>96</v>
      </c>
      <c r="P28" s="17" t="s">
        <v>49</v>
      </c>
      <c r="Q28" s="17">
        <f>-MAX(-5,MIN(5,ROUND((N$43-N$43)*100,0)))</f>
        <v>0</v>
      </c>
      <c r="R28" s="17">
        <f>-MAX(-5,MIN(5,ROUND((N$52-N$43)*100,0)))</f>
        <v>1</v>
      </c>
      <c r="S28" s="21">
        <f>-MAX(-5,MIN(5,ROUND((N$61-N$43)*100,0)))</f>
        <v>0</v>
      </c>
    </row>
    <row r="29" spans="3:35" x14ac:dyDescent="0.25">
      <c r="C29" s="57"/>
      <c r="D29" s="7" t="s">
        <v>33</v>
      </c>
      <c r="E29" s="7">
        <f>-MAX(-5,MIN(5,ROUND((E$43-E$43)*100,0)))</f>
        <v>0</v>
      </c>
      <c r="F29" s="7">
        <f>-MAX(-5,MIN(5,ROUND((E$52-E$43)*100,0)))</f>
        <v>1</v>
      </c>
      <c r="G29" s="11">
        <f>-MAX(-5,MIN(5,ROUND((E$61-E$43)*100,0)))</f>
        <v>1</v>
      </c>
      <c r="H29" s="7"/>
      <c r="I29" s="57"/>
      <c r="J29" s="7" t="s">
        <v>33</v>
      </c>
      <c r="K29" s="7">
        <f>-MAX(-5,MIN(5,ROUND((J$43-J$43)*100,0)))</f>
        <v>0</v>
      </c>
      <c r="L29" s="7">
        <f>-MAX(-5,MIN(5,ROUND((J$52-J$43)*100,0)))</f>
        <v>0</v>
      </c>
      <c r="M29" s="11">
        <f>-MAX(-5,MIN(5,ROUND((J$61-J$43)*100,0)))</f>
        <v>0</v>
      </c>
      <c r="O29" s="59"/>
      <c r="P29" s="17" t="s">
        <v>33</v>
      </c>
      <c r="Q29" s="17">
        <f>-MAX(-5,MIN(5,ROUND((O$43-O$43)*100,0)))</f>
        <v>0</v>
      </c>
      <c r="R29" s="17">
        <f>-MAX(-5,MIN(5,ROUND((O$52-O$43)*100,0)))</f>
        <v>2</v>
      </c>
      <c r="S29" s="21">
        <f>-MAX(-5,MIN(5,ROUND((O$61-O$43)*100,0)))</f>
        <v>1</v>
      </c>
    </row>
    <row r="30" spans="3:35" x14ac:dyDescent="0.25">
      <c r="C30" s="57"/>
      <c r="D30" s="7" t="s">
        <v>115</v>
      </c>
      <c r="E30" s="7">
        <f>-MAX(-5,MIN(5,ROUND((F$43-F$43)*100,0)))</f>
        <v>0</v>
      </c>
      <c r="F30" s="7">
        <f>-MAX(-5,MIN(5,ROUND((F$52-F$43)*100,0)))</f>
        <v>0</v>
      </c>
      <c r="G30" s="11">
        <f>-MAX(-5,MIN(5,ROUND((F$61-F$43)*100,0)))</f>
        <v>0</v>
      </c>
      <c r="H30" s="7"/>
      <c r="I30" s="57"/>
      <c r="J30" s="7" t="s">
        <v>115</v>
      </c>
      <c r="K30" s="7">
        <f>-MAX(-5,MIN(5,ROUND((K$43-K$43)*100,0)))</f>
        <v>0</v>
      </c>
      <c r="L30" s="7">
        <f>-MAX(-5,MIN(5,ROUND((K$52-K$43)*100,0)))</f>
        <v>0</v>
      </c>
      <c r="M30" s="11">
        <f>-MAX(-5,MIN(5,ROUND((K$61-K$43)*100,0)))</f>
        <v>0</v>
      </c>
      <c r="O30" s="59"/>
      <c r="P30" s="17" t="s">
        <v>115</v>
      </c>
      <c r="Q30" s="17">
        <f>-MAX(-5,MIN(5,ROUND((P$43-P$43)*100,0)))</f>
        <v>0</v>
      </c>
      <c r="R30" s="17">
        <f>-MAX(-5,MIN(5,ROUND((P$52-P$43)*100,0)))</f>
        <v>0</v>
      </c>
      <c r="S30" s="21">
        <f>-MAX(-5,MIN(5,ROUND((P$61-P$43)*100,0)))</f>
        <v>0</v>
      </c>
    </row>
    <row r="31" spans="3:35" x14ac:dyDescent="0.25">
      <c r="C31" s="57"/>
      <c r="D31" s="7" t="s">
        <v>116</v>
      </c>
      <c r="E31" s="7">
        <f>-MAX(-5,MIN(5,ROUND((G$43-G$43)*100,0)))</f>
        <v>0</v>
      </c>
      <c r="F31" s="7">
        <f>-MAX(-5,MIN(5,ROUND((G$52-G$43)*100,0)))</f>
        <v>0</v>
      </c>
      <c r="G31" s="11">
        <f>-MAX(-5,MIN(5,ROUND((G$61-G$43)*100,0)))</f>
        <v>0</v>
      </c>
      <c r="H31" s="7"/>
      <c r="I31" s="57"/>
      <c r="J31" s="7" t="s">
        <v>116</v>
      </c>
      <c r="K31" s="7">
        <f>-MAX(-5,MIN(5,ROUND((L$43-L$43)*100,0)))</f>
        <v>0</v>
      </c>
      <c r="L31" s="7">
        <f>-MAX(-5,MIN(5,ROUND((L$52-L$43)*100,0)))</f>
        <v>0</v>
      </c>
      <c r="M31" s="11">
        <f>-MAX(-5,MIN(5,ROUND((L$61-L$43)*100,0)))</f>
        <v>0</v>
      </c>
      <c r="O31" s="59"/>
      <c r="P31" s="17" t="s">
        <v>116</v>
      </c>
      <c r="Q31" s="7">
        <f>-MAX(-5,MIN(5,ROUND((Q$43-Q$43)*100,0)))</f>
        <v>0</v>
      </c>
      <c r="R31" s="7">
        <f>-MAX(-5,MIN(5,ROUND((Q$52-Q$43)*100,0)))</f>
        <v>1</v>
      </c>
      <c r="S31" s="11">
        <f>-MAX(-5,MIN(5,ROUND((Q$61-Q$43)*100,0)))</f>
        <v>0</v>
      </c>
    </row>
    <row r="32" spans="3:35" ht="15.75" thickBot="1" x14ac:dyDescent="0.3">
      <c r="C32" s="58"/>
      <c r="D32" s="14" t="s">
        <v>117</v>
      </c>
      <c r="E32" s="14">
        <f>-MAX(-5,MIN(5,ROUND((H$43-H$43)*100,0)))</f>
        <v>0</v>
      </c>
      <c r="F32" s="14">
        <f>-MAX(-5,MIN(5,ROUND((H$52-H$43)*100,0)))</f>
        <v>0</v>
      </c>
      <c r="G32" s="16">
        <f>-MAX(-5,MIN(5,ROUND((H$61-H$43)*100,0)))</f>
        <v>0</v>
      </c>
      <c r="H32" s="7"/>
      <c r="I32" s="58"/>
      <c r="J32" s="14" t="s">
        <v>117</v>
      </c>
      <c r="K32" s="14">
        <f>-MAX(-5,MIN(5,ROUND((M$43-M$43)*100,0)))</f>
        <v>0</v>
      </c>
      <c r="L32" s="14">
        <f>-MAX(-5,MIN(5,ROUND((M$52-M$43)*100,0)))</f>
        <v>0</v>
      </c>
      <c r="M32" s="16">
        <f>-MAX(-5,MIN(5,ROUND((M$61-M$43)*100,0)))</f>
        <v>0</v>
      </c>
      <c r="O32" s="60"/>
      <c r="P32" s="23" t="s">
        <v>117</v>
      </c>
      <c r="Q32" s="14">
        <f>-MAX(-5,MIN(5,ROUND((R$43-R$43)*100,0)))</f>
        <v>0</v>
      </c>
      <c r="R32" s="14">
        <f>-MAX(-5,MIN(5,ROUND((R$52-R$43)*100,0)))</f>
        <v>0</v>
      </c>
      <c r="S32" s="16">
        <f>-MAX(-5,MIN(5,ROUND((R$61-R$43)*100,0)))</f>
        <v>0</v>
      </c>
    </row>
    <row r="35" spans="3:18" ht="15.75" thickBot="1" x14ac:dyDescent="0.3"/>
    <row r="36" spans="3:18" ht="15.75" thickBot="1" x14ac:dyDescent="0.3">
      <c r="C36" s="97" t="s">
        <v>86</v>
      </c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9"/>
    </row>
    <row r="37" spans="3:18" x14ac:dyDescent="0.25">
      <c r="C37" s="2"/>
      <c r="D37" s="93" t="s">
        <v>87</v>
      </c>
      <c r="E37" s="93"/>
      <c r="F37" s="93"/>
      <c r="G37" s="93"/>
      <c r="H37" s="93"/>
      <c r="I37" s="94" t="s">
        <v>88</v>
      </c>
      <c r="J37" s="94"/>
      <c r="K37" s="94"/>
      <c r="L37" s="94"/>
      <c r="M37" s="94"/>
      <c r="N37" s="95" t="s">
        <v>89</v>
      </c>
      <c r="O37" s="95"/>
      <c r="P37" s="95"/>
      <c r="Q37" s="95"/>
      <c r="R37" s="96"/>
    </row>
    <row r="38" spans="3:18" x14ac:dyDescent="0.25">
      <c r="C38" s="2"/>
      <c r="D38" s="3" t="s">
        <v>49</v>
      </c>
      <c r="E38" s="3" t="s">
        <v>33</v>
      </c>
      <c r="F38" s="3" t="s">
        <v>34</v>
      </c>
      <c r="G38" s="3" t="s">
        <v>35</v>
      </c>
      <c r="H38" s="3" t="s">
        <v>36</v>
      </c>
      <c r="I38" s="4" t="s">
        <v>49</v>
      </c>
      <c r="J38" s="4" t="s">
        <v>33</v>
      </c>
      <c r="K38" s="4" t="s">
        <v>34</v>
      </c>
      <c r="L38" s="4" t="s">
        <v>35</v>
      </c>
      <c r="M38" s="4" t="s">
        <v>36</v>
      </c>
      <c r="N38" s="5" t="s">
        <v>49</v>
      </c>
      <c r="O38" s="5" t="s">
        <v>33</v>
      </c>
      <c r="P38" s="5" t="s">
        <v>34</v>
      </c>
      <c r="Q38" s="5" t="s">
        <v>35</v>
      </c>
      <c r="R38" s="6" t="s">
        <v>36</v>
      </c>
    </row>
    <row r="39" spans="3:18" x14ac:dyDescent="0.25">
      <c r="C39" s="117" t="s">
        <v>90</v>
      </c>
      <c r="D39" s="113">
        <f>'Run 15 Temp'!AK527</f>
        <v>0.4144155206286837</v>
      </c>
      <c r="E39" s="113">
        <f>'Run 15 Temp'!AL527</f>
        <v>0.37033398821218072</v>
      </c>
      <c r="F39" s="113">
        <f>'Run 15 Temp'!AM527</f>
        <v>0.43418467583497056</v>
      </c>
      <c r="G39" s="113">
        <f>'Run 15 Temp'!AN527</f>
        <v>0.39980353634577603</v>
      </c>
      <c r="H39" s="113">
        <f>'Run 15 Temp'!AO527</f>
        <v>0.44357127264789348</v>
      </c>
      <c r="I39" s="113">
        <f>'Run 15 Temp'!AS527</f>
        <v>9.0568181818181812E-2</v>
      </c>
      <c r="J39" s="113">
        <f>'Run 15 Temp'!AT527</f>
        <v>8.4545454545454549E-2</v>
      </c>
      <c r="K39" s="113">
        <f>'Run 15 Temp'!AU527</f>
        <v>0.11070707070707071</v>
      </c>
      <c r="L39" s="113">
        <f>'Run 15 Temp'!AV527</f>
        <v>4.6666666666666669E-2</v>
      </c>
      <c r="M39" s="113">
        <f>'Run 15 Temp'!AW527</f>
        <v>0.10505050505050505</v>
      </c>
      <c r="N39" s="113">
        <f>'Run 15 Temp'!BA527</f>
        <v>0.79500534188034189</v>
      </c>
      <c r="O39" s="113">
        <f>'Run 15 Temp'!BB527</f>
        <v>0.70619658119658124</v>
      </c>
      <c r="P39" s="113">
        <f>'Run 15 Temp'!BC527</f>
        <v>0.81433998100664773</v>
      </c>
      <c r="Q39" s="113">
        <f>'Run 15 Temp'!BD527</f>
        <v>0.81481481481481477</v>
      </c>
      <c r="R39" s="114">
        <f>'Run 15 Temp'!BE527</f>
        <v>0.84140550807217473</v>
      </c>
    </row>
    <row r="40" spans="3:18" x14ac:dyDescent="0.25">
      <c r="C40" s="117" t="s">
        <v>91</v>
      </c>
      <c r="D40" s="113">
        <f>'Run 15 Temp'!AK544</f>
        <v>0.35025785854616898</v>
      </c>
      <c r="E40" s="113">
        <f>'Run 15 Temp'!AL544</f>
        <v>0.27946954813359526</v>
      </c>
      <c r="F40" s="113">
        <f>'Run 15 Temp'!AM544</f>
        <v>0.37349923597467805</v>
      </c>
      <c r="G40" s="113">
        <f>'Run 15 Temp'!AN544</f>
        <v>0.33791748526522591</v>
      </c>
      <c r="H40" s="113">
        <f>'Run 15 Temp'!AO544</f>
        <v>0.39816633922724298</v>
      </c>
      <c r="I40" s="113">
        <f>'Run 15 Temp'!AS544</f>
        <v>4.6363636363636364E-2</v>
      </c>
      <c r="J40" s="113">
        <f>'Run 15 Temp'!AT544</f>
        <v>2.5454545454545455E-2</v>
      </c>
      <c r="K40" s="113">
        <f>'Run 15 Temp'!AU544</f>
        <v>5.4949494949494949E-2</v>
      </c>
      <c r="L40" s="113">
        <f>'Run 15 Temp'!AV544</f>
        <v>1.6969696969696971E-2</v>
      </c>
      <c r="M40" s="113">
        <f>'Run 15 Temp'!AW544</f>
        <v>7.5959595959595963E-2</v>
      </c>
      <c r="N40" s="113">
        <f>'Run 15 Temp'!BA544</f>
        <v>0.70739850427350426</v>
      </c>
      <c r="O40" s="113">
        <f>'Run 15 Temp'!BB544</f>
        <v>0.57799145299145294</v>
      </c>
      <c r="P40" s="113">
        <f>'Run 15 Temp'!BC544</f>
        <v>0.74786324786324787</v>
      </c>
      <c r="Q40" s="113">
        <f>'Run 15 Temp'!BD544</f>
        <v>0.71509971509971515</v>
      </c>
      <c r="R40" s="114">
        <f>'Run 15 Temp'!BE544</f>
        <v>0.77682811016144349</v>
      </c>
    </row>
    <row r="41" spans="3:18" x14ac:dyDescent="0.25">
      <c r="C41" s="117" t="s">
        <v>92</v>
      </c>
      <c r="D41" s="113">
        <f>'Run 15 Temp'!AK561</f>
        <v>0.12794695481335952</v>
      </c>
      <c r="E41" s="113">
        <f>'Run 15 Temp'!AL561</f>
        <v>1.4734774066797643E-2</v>
      </c>
      <c r="F41" s="113">
        <f>'Run 15 Temp'!AM561</f>
        <v>0.11831477843265663</v>
      </c>
      <c r="G41" s="113">
        <f>'Run 15 Temp'!AN561</f>
        <v>0.11198428290766209</v>
      </c>
      <c r="H41" s="113">
        <f>'Run 15 Temp'!AO561</f>
        <v>0.24885396201702684</v>
      </c>
      <c r="I41" s="113">
        <f>'Run 15 Temp'!AS561</f>
        <v>1.9318181818181819E-3</v>
      </c>
      <c r="J41" s="113">
        <f>'Run 15 Temp'!AT561</f>
        <v>0</v>
      </c>
      <c r="K41" s="113">
        <f>'Run 15 Temp'!AU561</f>
        <v>0</v>
      </c>
      <c r="L41" s="113">
        <f>'Run 15 Temp'!AV561</f>
        <v>0</v>
      </c>
      <c r="M41" s="113">
        <f>'Run 15 Temp'!AW561</f>
        <v>6.8686868686868687E-3</v>
      </c>
      <c r="N41" s="113">
        <f>'Run 15 Temp'!BA561</f>
        <v>0.27604166666666669</v>
      </c>
      <c r="O41" s="113">
        <f>'Run 15 Temp'!BB561</f>
        <v>3.2051282051282048E-2</v>
      </c>
      <c r="P41" s="113">
        <f>'Run 15 Temp'!BC561</f>
        <v>0.25735992402659069</v>
      </c>
      <c r="Q41" s="113">
        <f>'Run 15 Temp'!BD561</f>
        <v>0.24358974358974358</v>
      </c>
      <c r="R41" s="114">
        <f>'Run 15 Temp'!BE561</f>
        <v>0.53323836657169987</v>
      </c>
    </row>
    <row r="42" spans="3:18" x14ac:dyDescent="0.25">
      <c r="C42" s="117" t="s">
        <v>93</v>
      </c>
      <c r="D42" s="113">
        <f>'Run 15 Temp'!AK578</f>
        <v>0.44106090373280943</v>
      </c>
      <c r="E42" s="113">
        <f>'Run 15 Temp'!AL578</f>
        <v>0.40643418467583498</v>
      </c>
      <c r="F42" s="113">
        <f>'Run 15 Temp'!AM578</f>
        <v>0.45426762715564289</v>
      </c>
      <c r="G42" s="113">
        <f>'Run 15 Temp'!AN578</f>
        <v>0.43123772102161101</v>
      </c>
      <c r="H42" s="113">
        <f>'Run 15 Temp'!AO578</f>
        <v>0.46518227461253003</v>
      </c>
      <c r="I42" s="113">
        <f>'Run 15 Temp'!AS578</f>
        <v>0.10613636363636364</v>
      </c>
      <c r="J42" s="113">
        <f>'Run 15 Temp'!AT578</f>
        <v>9.9545454545454548E-2</v>
      </c>
      <c r="K42" s="113">
        <f>'Run 15 Temp'!AU578</f>
        <v>0.12121212121212122</v>
      </c>
      <c r="L42" s="113">
        <f>'Run 15 Temp'!AV578</f>
        <v>7.8181818181818186E-2</v>
      </c>
      <c r="M42" s="113">
        <f>'Run 15 Temp'!AW578</f>
        <v>0.11555555555555555</v>
      </c>
      <c r="N42" s="113">
        <f>'Run 15 Temp'!BA578</f>
        <v>0.83466880341880345</v>
      </c>
      <c r="O42" s="113">
        <f>'Run 15 Temp'!BB578</f>
        <v>0.76709401709401714</v>
      </c>
      <c r="P42" s="113">
        <f>'Run 15 Temp'!BC578</f>
        <v>0.84567901234567899</v>
      </c>
      <c r="Q42" s="113">
        <f>'Run 15 Temp'!BD578</f>
        <v>0.84615384615384615</v>
      </c>
      <c r="R42" s="114">
        <f>'Run 15 Temp'!BE578</f>
        <v>0.87606837606837606</v>
      </c>
    </row>
    <row r="43" spans="3:18" ht="15.75" thickBot="1" x14ac:dyDescent="0.3">
      <c r="C43" s="118" t="s">
        <v>126</v>
      </c>
      <c r="D43" s="115">
        <f>'Run 15 Temp'!AK595</f>
        <v>0.54236247544204319</v>
      </c>
      <c r="E43" s="115">
        <f>'Run 15 Temp'!AL595</f>
        <v>0.5729371316306483</v>
      </c>
      <c r="F43" s="115">
        <f>'Run 15 Temp'!AM595</f>
        <v>0.5328530888452303</v>
      </c>
      <c r="G43" s="115">
        <f>'Run 15 Temp'!AN595</f>
        <v>0.54813359528487227</v>
      </c>
      <c r="H43" s="115">
        <f>'Run 15 Temp'!AO595</f>
        <v>0.52084697664265445</v>
      </c>
      <c r="I43" s="115">
        <f>'Run 15 Temp'!AS595</f>
        <v>0.88477272727272727</v>
      </c>
      <c r="J43" s="115">
        <f>'Run 15 Temp'!AT595</f>
        <v>0.88863636363636367</v>
      </c>
      <c r="K43" s="115">
        <f>'Run 15 Temp'!AU595</f>
        <v>0.87555555555555553</v>
      </c>
      <c r="L43" s="115">
        <f>'Run 15 Temp'!AV595</f>
        <v>0.90363636363636368</v>
      </c>
      <c r="M43" s="115">
        <f>'Run 15 Temp'!AW595</f>
        <v>0.87797979797979797</v>
      </c>
      <c r="N43" s="115">
        <f>'Run 15 Temp'!BA595</f>
        <v>0.13995726495726496</v>
      </c>
      <c r="O43" s="115">
        <f>'Run 15 Temp'!BB595</f>
        <v>0.20192307692307693</v>
      </c>
      <c r="P43" s="115">
        <f>'Run 15 Temp'!BC595</f>
        <v>0.13010446343779677</v>
      </c>
      <c r="Q43" s="115">
        <f>'Run 15 Temp'!BD595</f>
        <v>0.13034188034188035</v>
      </c>
      <c r="R43" s="116">
        <f>'Run 15 Temp'!BE595</f>
        <v>0.10113960113960115</v>
      </c>
    </row>
    <row r="44" spans="3:18" ht="15.75" thickBot="1" x14ac:dyDescent="0.3"/>
    <row r="45" spans="3:18" ht="15.75" thickBot="1" x14ac:dyDescent="0.3">
      <c r="C45" s="97" t="s">
        <v>94</v>
      </c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9"/>
    </row>
    <row r="46" spans="3:18" x14ac:dyDescent="0.25">
      <c r="C46" s="2"/>
      <c r="D46" s="93" t="s">
        <v>87</v>
      </c>
      <c r="E46" s="93"/>
      <c r="F46" s="93"/>
      <c r="G46" s="93"/>
      <c r="H46" s="93"/>
      <c r="I46" s="94" t="s">
        <v>88</v>
      </c>
      <c r="J46" s="94"/>
      <c r="K46" s="94"/>
      <c r="L46" s="94"/>
      <c r="M46" s="94"/>
      <c r="N46" s="95" t="s">
        <v>89</v>
      </c>
      <c r="O46" s="95"/>
      <c r="P46" s="95"/>
      <c r="Q46" s="95"/>
      <c r="R46" s="96"/>
    </row>
    <row r="47" spans="3:18" x14ac:dyDescent="0.25">
      <c r="C47" s="2"/>
      <c r="D47" s="3" t="s">
        <v>49</v>
      </c>
      <c r="E47" s="3" t="s">
        <v>33</v>
      </c>
      <c r="F47" s="3" t="s">
        <v>34</v>
      </c>
      <c r="G47" s="3" t="s">
        <v>35</v>
      </c>
      <c r="H47" s="3" t="s">
        <v>36</v>
      </c>
      <c r="I47" s="4" t="s">
        <v>49</v>
      </c>
      <c r="J47" s="4" t="s">
        <v>33</v>
      </c>
      <c r="K47" s="4" t="s">
        <v>34</v>
      </c>
      <c r="L47" s="4" t="s">
        <v>35</v>
      </c>
      <c r="M47" s="4" t="s">
        <v>36</v>
      </c>
      <c r="N47" s="5" t="s">
        <v>49</v>
      </c>
      <c r="O47" s="5" t="s">
        <v>33</v>
      </c>
      <c r="P47" s="5" t="s">
        <v>34</v>
      </c>
      <c r="Q47" s="5" t="s">
        <v>35</v>
      </c>
      <c r="R47" s="6" t="s">
        <v>36</v>
      </c>
    </row>
    <row r="48" spans="3:18" x14ac:dyDescent="0.25">
      <c r="C48" s="117" t="s">
        <v>90</v>
      </c>
      <c r="D48" s="113">
        <f>'Run 16 Temp'!AK527</f>
        <v>0.4163187622789784</v>
      </c>
      <c r="E48" s="113">
        <f>'Run 16 Temp'!AL527</f>
        <v>0.37942043222003929</v>
      </c>
      <c r="F48" s="113">
        <f>'Run 16 Temp'!AM527</f>
        <v>0.43680419122462344</v>
      </c>
      <c r="G48" s="113">
        <f>'Run 16 Temp'!AN527</f>
        <v>0.39489194499017682</v>
      </c>
      <c r="H48" s="113">
        <f>'Run 16 Temp'!AO527</f>
        <v>0.44291639380048026</v>
      </c>
      <c r="I48" s="113">
        <f>'Run 16 Temp'!AS527</f>
        <v>8.8409090909090909E-2</v>
      </c>
      <c r="J48" s="113">
        <f>'Run 16 Temp'!AT527</f>
        <v>8.5000000000000006E-2</v>
      </c>
      <c r="K48" s="113">
        <f>'Run 16 Temp'!AU527</f>
        <v>0.10909090909090909</v>
      </c>
      <c r="L48" s="113">
        <f>'Run 16 Temp'!AV527</f>
        <v>3.7575757575757575E-2</v>
      </c>
      <c r="M48" s="113">
        <f>'Run 16 Temp'!AW527</f>
        <v>0.10464646464646464</v>
      </c>
      <c r="N48" s="113">
        <f>'Run 16 Temp'!BA527</f>
        <v>0.80168269230769229</v>
      </c>
      <c r="O48" s="113">
        <f>'Run 16 Temp'!BB527</f>
        <v>0.7254273504273504</v>
      </c>
      <c r="P48" s="113">
        <f>'Run 16 Temp'!BC527</f>
        <v>0.82193732193732194</v>
      </c>
      <c r="Q48" s="113">
        <f>'Run 16 Temp'!BD527</f>
        <v>0.81481481481481477</v>
      </c>
      <c r="R48" s="114">
        <f>'Run 16 Temp'!BE527</f>
        <v>0.84045584045584043</v>
      </c>
    </row>
    <row r="49" spans="3:21" x14ac:dyDescent="0.25">
      <c r="C49" s="117" t="s">
        <v>91</v>
      </c>
      <c r="D49" s="113">
        <f>'Run 16 Temp'!AK544</f>
        <v>0.35099459724950882</v>
      </c>
      <c r="E49" s="113">
        <f>'Run 16 Temp'!AL544</f>
        <v>0.29002946954813358</v>
      </c>
      <c r="F49" s="113">
        <f>'Run 16 Temp'!AM544</f>
        <v>0.37087972058502511</v>
      </c>
      <c r="G49" s="113">
        <f>'Run 16 Temp'!AN544</f>
        <v>0.3343156516044532</v>
      </c>
      <c r="H49" s="113">
        <f>'Run 16 Temp'!AO544</f>
        <v>0.39641999563414104</v>
      </c>
      <c r="I49" s="113">
        <f>'Run 16 Temp'!AS544</f>
        <v>4.2272727272727274E-2</v>
      </c>
      <c r="J49" s="113">
        <f>'Run 16 Temp'!AT544</f>
        <v>2.5000000000000001E-2</v>
      </c>
      <c r="K49" s="113">
        <f>'Run 16 Temp'!AU544</f>
        <v>4.6868686868686872E-2</v>
      </c>
      <c r="L49" s="113">
        <f>'Run 16 Temp'!AV544</f>
        <v>1.3333333333333334E-2</v>
      </c>
      <c r="M49" s="113">
        <f>'Run 16 Temp'!AW544</f>
        <v>7.2323232323232317E-2</v>
      </c>
      <c r="N49" s="113">
        <f>'Run 16 Temp'!BA544</f>
        <v>0.71380876068376065</v>
      </c>
      <c r="O49" s="113">
        <f>'Run 16 Temp'!BB544</f>
        <v>0.60149572649572647</v>
      </c>
      <c r="P49" s="113">
        <f>'Run 16 Temp'!BC544</f>
        <v>0.75166191832858498</v>
      </c>
      <c r="Q49" s="113">
        <f>'Run 16 Temp'!BD544</f>
        <v>0.71153846153846156</v>
      </c>
      <c r="R49" s="114">
        <f>'Run 16 Temp'!BE544</f>
        <v>0.77730294396961064</v>
      </c>
    </row>
    <row r="50" spans="3:21" x14ac:dyDescent="0.25">
      <c r="C50" s="117" t="s">
        <v>92</v>
      </c>
      <c r="D50" s="113">
        <f>'Run 16 Temp'!AK561</f>
        <v>0.12653487229862476</v>
      </c>
      <c r="E50" s="113">
        <f>'Run 16 Temp'!AL561</f>
        <v>1.5717092337917484E-2</v>
      </c>
      <c r="F50" s="113">
        <f>'Run 16 Temp'!AM561</f>
        <v>0.11765989958524339</v>
      </c>
      <c r="G50" s="113">
        <f>'Run 16 Temp'!AN561</f>
        <v>0.11165684348395546</v>
      </c>
      <c r="H50" s="113">
        <f>'Run 16 Temp'!AO561</f>
        <v>0.24383322418685877</v>
      </c>
      <c r="I50" s="113">
        <f>'Run 16 Temp'!AS561</f>
        <v>1.3636363636363637E-3</v>
      </c>
      <c r="J50" s="113">
        <f>'Run 16 Temp'!AT561</f>
        <v>0</v>
      </c>
      <c r="K50" s="113">
        <f>'Run 16 Temp'!AU561</f>
        <v>0</v>
      </c>
      <c r="L50" s="113">
        <f>'Run 16 Temp'!AV561</f>
        <v>0</v>
      </c>
      <c r="M50" s="113">
        <f>'Run 16 Temp'!AW561</f>
        <v>4.8484848484848485E-3</v>
      </c>
      <c r="N50" s="113">
        <f>'Run 16 Temp'!BA561</f>
        <v>0.27363782051282054</v>
      </c>
      <c r="O50" s="113">
        <f>'Run 16 Temp'!BB561</f>
        <v>3.4188034188034191E-2</v>
      </c>
      <c r="P50" s="113">
        <f>'Run 16 Temp'!BC561</f>
        <v>0.25593542260208929</v>
      </c>
      <c r="Q50" s="113">
        <f>'Run 16 Temp'!BD561</f>
        <v>0.24287749287749288</v>
      </c>
      <c r="R50" s="114">
        <f>'Run 16 Temp'!BE561</f>
        <v>0.52469135802469136</v>
      </c>
    </row>
    <row r="51" spans="3:21" x14ac:dyDescent="0.25">
      <c r="C51" s="117" t="s">
        <v>93</v>
      </c>
      <c r="D51" s="113">
        <f>'Run 16 Temp'!AK578</f>
        <v>0.4430869351669941</v>
      </c>
      <c r="E51" s="113">
        <f>'Run 16 Temp'!AL578</f>
        <v>0.41380157170923382</v>
      </c>
      <c r="F51" s="113">
        <f>'Run 16 Temp'!AM578</f>
        <v>0.45710543549443355</v>
      </c>
      <c r="G51" s="113">
        <f>'Run 16 Temp'!AN578</f>
        <v>0.42861820563195807</v>
      </c>
      <c r="H51" s="113">
        <f>'Run 16 Temp'!AO578</f>
        <v>0.46474568871425453</v>
      </c>
      <c r="I51" s="113">
        <f>'Run 16 Temp'!AS578</f>
        <v>0.10477272727272727</v>
      </c>
      <c r="J51" s="113">
        <f>'Run 16 Temp'!AT578</f>
        <v>0.10227272727272728</v>
      </c>
      <c r="K51" s="113">
        <f>'Run 16 Temp'!AU578</f>
        <v>0.12121212121212122</v>
      </c>
      <c r="L51" s="113">
        <f>'Run 16 Temp'!AV578</f>
        <v>6.8484848484848482E-2</v>
      </c>
      <c r="M51" s="113">
        <f>'Run 16 Temp'!AW578</f>
        <v>0.11474747474747475</v>
      </c>
      <c r="N51" s="113">
        <f>'Run 16 Temp'!BA578</f>
        <v>0.84067841880341876</v>
      </c>
      <c r="O51" s="113">
        <f>'Run 16 Temp'!BB578</f>
        <v>0.77991452991452992</v>
      </c>
      <c r="P51" s="113">
        <f>'Run 16 Temp'!BC578</f>
        <v>0.85185185185185186</v>
      </c>
      <c r="Q51" s="113">
        <f>'Run 16 Temp'!BD578</f>
        <v>0.85185185185185186</v>
      </c>
      <c r="R51" s="114">
        <f>'Run 16 Temp'!BE578</f>
        <v>0.87606837606837606</v>
      </c>
    </row>
    <row r="52" spans="3:21" ht="15.75" thickBot="1" x14ac:dyDescent="0.3">
      <c r="C52" s="118" t="s">
        <v>126</v>
      </c>
      <c r="D52" s="115">
        <f>'Run 16 Temp'!AK595</f>
        <v>0.53923133595284878</v>
      </c>
      <c r="E52" s="115">
        <f>'Run 16 Temp'!AL595</f>
        <v>0.56409626719056971</v>
      </c>
      <c r="F52" s="115">
        <f>'Run 16 Temp'!AM595</f>
        <v>0.53110674525212831</v>
      </c>
      <c r="G52" s="115">
        <f>'Run 16 Temp'!AN595</f>
        <v>0.5461689587426326</v>
      </c>
      <c r="H52" s="115">
        <f>'Run 16 Temp'!AO595</f>
        <v>0.52062868369351667</v>
      </c>
      <c r="I52" s="115">
        <f>'Run 16 Temp'!AS595</f>
        <v>0.88545454545454549</v>
      </c>
      <c r="J52" s="115">
        <f>'Run 16 Temp'!AT595</f>
        <v>0.8877272727272727</v>
      </c>
      <c r="K52" s="115">
        <f>'Run 16 Temp'!AU595</f>
        <v>0.87595959595959594</v>
      </c>
      <c r="L52" s="115">
        <f>'Run 16 Temp'!AV595</f>
        <v>0.90727272727272723</v>
      </c>
      <c r="M52" s="115">
        <f>'Run 16 Temp'!AW595</f>
        <v>0.87838383838383838</v>
      </c>
      <c r="N52" s="115">
        <f>'Run 16 Temp'!BA595</f>
        <v>0.13234508547008547</v>
      </c>
      <c r="O52" s="115">
        <f>'Run 16 Temp'!BB595</f>
        <v>0.18376068376068377</v>
      </c>
      <c r="P52" s="115">
        <f>'Run 16 Temp'!BC595</f>
        <v>0.12583095916429249</v>
      </c>
      <c r="Q52" s="115">
        <f>'Run 16 Temp'!BD595</f>
        <v>0.12179487179487179</v>
      </c>
      <c r="R52" s="116">
        <f>'Run 16 Temp'!BE595</f>
        <v>0.10018993352326686</v>
      </c>
    </row>
    <row r="53" spans="3:21" ht="15.75" thickBot="1" x14ac:dyDescent="0.3"/>
    <row r="54" spans="3:21" ht="15.75" thickBot="1" x14ac:dyDescent="0.3">
      <c r="C54" s="97" t="s">
        <v>132</v>
      </c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9"/>
    </row>
    <row r="55" spans="3:21" x14ac:dyDescent="0.25">
      <c r="C55" s="2"/>
      <c r="D55" s="93" t="s">
        <v>87</v>
      </c>
      <c r="E55" s="93"/>
      <c r="F55" s="93"/>
      <c r="G55" s="93"/>
      <c r="H55" s="93"/>
      <c r="I55" s="94" t="s">
        <v>88</v>
      </c>
      <c r="J55" s="94"/>
      <c r="K55" s="94"/>
      <c r="L55" s="94"/>
      <c r="M55" s="94"/>
      <c r="N55" s="95" t="s">
        <v>89</v>
      </c>
      <c r="O55" s="95"/>
      <c r="P55" s="95"/>
      <c r="Q55" s="95"/>
      <c r="R55" s="96"/>
    </row>
    <row r="56" spans="3:21" x14ac:dyDescent="0.25">
      <c r="C56" s="2"/>
      <c r="D56" s="3" t="s">
        <v>49</v>
      </c>
      <c r="E56" s="3" t="s">
        <v>33</v>
      </c>
      <c r="F56" s="3" t="s">
        <v>34</v>
      </c>
      <c r="G56" s="3" t="s">
        <v>35</v>
      </c>
      <c r="H56" s="3" t="s">
        <v>36</v>
      </c>
      <c r="I56" s="4" t="s">
        <v>49</v>
      </c>
      <c r="J56" s="4" t="s">
        <v>33</v>
      </c>
      <c r="K56" s="4" t="s">
        <v>34</v>
      </c>
      <c r="L56" s="4" t="s">
        <v>35</v>
      </c>
      <c r="M56" s="4" t="s">
        <v>36</v>
      </c>
      <c r="N56" s="5" t="s">
        <v>49</v>
      </c>
      <c r="O56" s="5" t="s">
        <v>33</v>
      </c>
      <c r="P56" s="5" t="s">
        <v>34</v>
      </c>
      <c r="Q56" s="5" t="s">
        <v>35</v>
      </c>
      <c r="R56" s="6" t="s">
        <v>36</v>
      </c>
    </row>
    <row r="57" spans="3:21" x14ac:dyDescent="0.25">
      <c r="C57" s="117" t="s">
        <v>90</v>
      </c>
      <c r="D57" s="113">
        <f>'Run 17 Temp'!AK527</f>
        <v>0.41674852652259331</v>
      </c>
      <c r="E57" s="113">
        <f>'Run 17 Temp'!AL527</f>
        <v>0.37721021611001965</v>
      </c>
      <c r="F57" s="113">
        <f>'Run 17 Temp'!AM527</f>
        <v>0.43527614058065922</v>
      </c>
      <c r="G57" s="113">
        <f>'Run 17 Temp'!AN527</f>
        <v>0.40275049115913558</v>
      </c>
      <c r="H57" s="113">
        <f>'Run 17 Temp'!AO527</f>
        <v>0.44269810085134248</v>
      </c>
      <c r="I57" s="113">
        <f>'Run 17 Temp'!AS527</f>
        <v>9.2159090909090913E-2</v>
      </c>
      <c r="J57" s="113">
        <f>'Run 17 Temp'!AT527</f>
        <v>8.6818181818181822E-2</v>
      </c>
      <c r="K57" s="113">
        <f>'Run 17 Temp'!AU527</f>
        <v>0.11070707070707071</v>
      </c>
      <c r="L57" s="113">
        <f>'Run 17 Temp'!AV527</f>
        <v>5.2727272727272727E-2</v>
      </c>
      <c r="M57" s="113">
        <f>'Run 17 Temp'!AW527</f>
        <v>0.10464646464646464</v>
      </c>
      <c r="N57" s="113">
        <f>'Run 17 Temp'!BA527</f>
        <v>0.79821047008547008</v>
      </c>
      <c r="O57" s="113">
        <f>'Run 17 Temp'!BB527</f>
        <v>0.71848290598290598</v>
      </c>
      <c r="P57" s="113">
        <f>'Run 17 Temp'!BC527</f>
        <v>0.81671415004748338</v>
      </c>
      <c r="Q57" s="113">
        <f>'Run 17 Temp'!BD527</f>
        <v>0.8141025641025641</v>
      </c>
      <c r="R57" s="114">
        <f>'Run 17 Temp'!BE527</f>
        <v>0.83998100664767328</v>
      </c>
    </row>
    <row r="58" spans="3:21" x14ac:dyDescent="0.25">
      <c r="C58" s="117" t="s">
        <v>91</v>
      </c>
      <c r="D58" s="113">
        <f>'Run 17 Temp'!AK544</f>
        <v>0.3526522593320236</v>
      </c>
      <c r="E58" s="113">
        <f>'Run 17 Temp'!AL544</f>
        <v>0.28781925343811393</v>
      </c>
      <c r="F58" s="113">
        <f>'Run 17 Temp'!AM544</f>
        <v>0.37371752892381577</v>
      </c>
      <c r="G58" s="113">
        <f>'Run 17 Temp'!AN544</f>
        <v>0.3388998035363458</v>
      </c>
      <c r="H58" s="113">
        <f>'Run 17 Temp'!AO544</f>
        <v>0.3983846321763807</v>
      </c>
      <c r="I58" s="113">
        <f>'Run 17 Temp'!AS544</f>
        <v>4.7840909090909094E-2</v>
      </c>
      <c r="J58" s="113">
        <f>'Run 17 Temp'!AT544</f>
        <v>2.5454545454545455E-2</v>
      </c>
      <c r="K58" s="113">
        <f>'Run 17 Temp'!AU544</f>
        <v>5.7777777777777775E-2</v>
      </c>
      <c r="L58" s="113">
        <f>'Run 17 Temp'!AV544</f>
        <v>1.9393939393939394E-2</v>
      </c>
      <c r="M58" s="113">
        <f>'Run 17 Temp'!AW544</f>
        <v>7.6767676767676762E-2</v>
      </c>
      <c r="N58" s="113">
        <f>'Run 17 Temp'!BA544</f>
        <v>0.71087072649572647</v>
      </c>
      <c r="O58" s="113">
        <f>'Run 17 Temp'!BB544</f>
        <v>0.59615384615384615</v>
      </c>
      <c r="P58" s="113">
        <f>'Run 17 Temp'!BC544</f>
        <v>0.74501424501424507</v>
      </c>
      <c r="Q58" s="113">
        <f>'Run 17 Temp'!BD544</f>
        <v>0.71438746438746437</v>
      </c>
      <c r="R58" s="114">
        <f>'Run 17 Temp'!BE544</f>
        <v>0.77635327635327633</v>
      </c>
    </row>
    <row r="59" spans="3:21" x14ac:dyDescent="0.25">
      <c r="C59" s="117" t="s">
        <v>92</v>
      </c>
      <c r="D59" s="113">
        <f>'Run 17 Temp'!AK561</f>
        <v>0.12721021611001965</v>
      </c>
      <c r="E59" s="113">
        <f>'Run 17 Temp'!AL561</f>
        <v>1.4980353634577602E-2</v>
      </c>
      <c r="F59" s="113">
        <f>'Run 17 Temp'!AM561</f>
        <v>0.11722331368696791</v>
      </c>
      <c r="G59" s="113">
        <f>'Run 17 Temp'!AN561</f>
        <v>0.10936476751800916</v>
      </c>
      <c r="H59" s="113">
        <f>'Run 17 Temp'!AO561</f>
        <v>0.24885396201702684</v>
      </c>
      <c r="I59" s="113">
        <f>'Run 17 Temp'!AS561</f>
        <v>2.0454545454545456E-3</v>
      </c>
      <c r="J59" s="113">
        <f>'Run 17 Temp'!AT561</f>
        <v>0</v>
      </c>
      <c r="K59" s="113">
        <f>'Run 17 Temp'!AU561</f>
        <v>0</v>
      </c>
      <c r="L59" s="113">
        <f>'Run 17 Temp'!AV561</f>
        <v>0</v>
      </c>
      <c r="M59" s="113">
        <f>'Run 17 Temp'!AW561</f>
        <v>7.2727272727272727E-3</v>
      </c>
      <c r="N59" s="113">
        <f>'Run 17 Temp'!BA561</f>
        <v>0.27430555555555558</v>
      </c>
      <c r="O59" s="113">
        <f>'Run 17 Temp'!BB561</f>
        <v>3.2585470085470088E-2</v>
      </c>
      <c r="P59" s="113">
        <f>'Run 17 Temp'!BC561</f>
        <v>0.25498575498575499</v>
      </c>
      <c r="Q59" s="113">
        <f>'Run 17 Temp'!BD561</f>
        <v>0.2378917378917379</v>
      </c>
      <c r="R59" s="114">
        <f>'Run 17 Temp'!BE561</f>
        <v>0.53276353276353272</v>
      </c>
    </row>
    <row r="60" spans="3:21" x14ac:dyDescent="0.25">
      <c r="C60" s="117" t="s">
        <v>93</v>
      </c>
      <c r="D60" s="113">
        <f>'Run 17 Temp'!AK578</f>
        <v>0.44222740667976423</v>
      </c>
      <c r="E60" s="113">
        <f>'Run 17 Temp'!AL578</f>
        <v>0.412573673870334</v>
      </c>
      <c r="F60" s="113">
        <f>'Run 17 Temp'!AM578</f>
        <v>0.4538310412573674</v>
      </c>
      <c r="G60" s="113">
        <f>'Run 17 Temp'!AN578</f>
        <v>0.43222003929273084</v>
      </c>
      <c r="H60" s="113">
        <f>'Run 17 Temp'!AO578</f>
        <v>0.46365422396856582</v>
      </c>
      <c r="I60" s="113">
        <f>'Run 17 Temp'!AS578</f>
        <v>0.10704545454545454</v>
      </c>
      <c r="J60" s="113">
        <f>'Run 17 Temp'!AT578</f>
        <v>0.10272727272727272</v>
      </c>
      <c r="K60" s="113">
        <f>'Run 17 Temp'!AU578</f>
        <v>0.12121212121212122</v>
      </c>
      <c r="L60" s="113">
        <f>'Run 17 Temp'!AV578</f>
        <v>8.2424242424242428E-2</v>
      </c>
      <c r="M60" s="113">
        <f>'Run 17 Temp'!AW578</f>
        <v>0.11313131313131314</v>
      </c>
      <c r="N60" s="113">
        <f>'Run 17 Temp'!BA578</f>
        <v>0.83613782051282048</v>
      </c>
      <c r="O60" s="113">
        <f>'Run 17 Temp'!BB578</f>
        <v>0.77670940170940173</v>
      </c>
      <c r="P60" s="113">
        <f>'Run 17 Temp'!BC578</f>
        <v>0.84472934472934469</v>
      </c>
      <c r="Q60" s="113">
        <f>'Run 17 Temp'!BD578</f>
        <v>0.84330484330484334</v>
      </c>
      <c r="R60" s="114">
        <f>'Run 17 Temp'!BE578</f>
        <v>0.87559354226020891</v>
      </c>
    </row>
    <row r="61" spans="3:21" ht="15.75" thickBot="1" x14ac:dyDescent="0.3">
      <c r="C61" s="118" t="s">
        <v>126</v>
      </c>
      <c r="D61" s="115">
        <f>'Run 17 Temp'!AK595</f>
        <v>0.54150294695481338</v>
      </c>
      <c r="E61" s="115">
        <f>'Run 17 Temp'!AL595</f>
        <v>0.56728880157170924</v>
      </c>
      <c r="F61" s="115">
        <f>'Run 17 Temp'!AM595</f>
        <v>0.53307138179436808</v>
      </c>
      <c r="G61" s="115">
        <f>'Run 17 Temp'!AN595</f>
        <v>0.54846103470857888</v>
      </c>
      <c r="H61" s="115">
        <f>'Run 17 Temp'!AO595</f>
        <v>0.52237502728661867</v>
      </c>
      <c r="I61" s="115">
        <f>'Run 17 Temp'!AS595</f>
        <v>0.88443181818181815</v>
      </c>
      <c r="J61" s="115">
        <f>'Run 17 Temp'!AT595</f>
        <v>0.88818181818181818</v>
      </c>
      <c r="K61" s="115">
        <f>'Run 17 Temp'!AU595</f>
        <v>0.87515151515151512</v>
      </c>
      <c r="L61" s="115">
        <f>'Run 17 Temp'!AV595</f>
        <v>0.90181818181818185</v>
      </c>
      <c r="M61" s="115">
        <f>'Run 17 Temp'!AW595</f>
        <v>0.87878787878787878</v>
      </c>
      <c r="N61" s="115">
        <f>'Run 17 Temp'!BA595</f>
        <v>0.13848824786324787</v>
      </c>
      <c r="O61" s="115">
        <f>'Run 17 Temp'!BB595</f>
        <v>0.19017094017094016</v>
      </c>
      <c r="P61" s="115">
        <f>'Run 17 Temp'!BC595</f>
        <v>0.13105413105413105</v>
      </c>
      <c r="Q61" s="115">
        <f>'Run 17 Temp'!BD595</f>
        <v>0.13319088319088318</v>
      </c>
      <c r="R61" s="116">
        <f>'Run 17 Temp'!BE595</f>
        <v>0.10351377018043685</v>
      </c>
    </row>
    <row r="63" spans="3:21" ht="15.75" thickBot="1" x14ac:dyDescent="0.3"/>
    <row r="64" spans="3:21" ht="15.75" thickBot="1" x14ac:dyDescent="0.3">
      <c r="C64" s="90" t="s">
        <v>90</v>
      </c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2"/>
    </row>
    <row r="65" spans="3:21" ht="15.75" thickBot="1" x14ac:dyDescent="0.3">
      <c r="C65" s="84" t="s">
        <v>87</v>
      </c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6"/>
    </row>
    <row r="66" spans="3:21" ht="15.75" thickBot="1" x14ac:dyDescent="0.3">
      <c r="C66" s="78" t="s">
        <v>49</v>
      </c>
      <c r="D66" s="79"/>
      <c r="E66" s="80"/>
      <c r="F66" s="7"/>
      <c r="G66" s="78" t="s">
        <v>33</v>
      </c>
      <c r="H66" s="79"/>
      <c r="I66" s="80"/>
      <c r="J66" s="7"/>
      <c r="K66" s="78" t="s">
        <v>34</v>
      </c>
      <c r="L66" s="79"/>
      <c r="M66" s="80"/>
      <c r="N66" s="7"/>
      <c r="O66" s="78" t="s">
        <v>35</v>
      </c>
      <c r="P66" s="79"/>
      <c r="Q66" s="80"/>
      <c r="R66" s="7"/>
      <c r="S66" s="78" t="s">
        <v>36</v>
      </c>
      <c r="T66" s="79"/>
      <c r="U66" s="80"/>
    </row>
    <row r="67" spans="3:21" x14ac:dyDescent="0.25">
      <c r="C67" s="8" t="s">
        <v>97</v>
      </c>
      <c r="D67" s="7" t="s">
        <v>98</v>
      </c>
      <c r="E67" s="7" t="s">
        <v>99</v>
      </c>
      <c r="F67" s="7"/>
      <c r="G67" s="7" t="s">
        <v>97</v>
      </c>
      <c r="H67" s="7" t="s">
        <v>98</v>
      </c>
      <c r="I67" s="7" t="s">
        <v>99</v>
      </c>
      <c r="J67" s="7"/>
      <c r="K67" s="7" t="s">
        <v>97</v>
      </c>
      <c r="L67" s="7" t="s">
        <v>98</v>
      </c>
      <c r="M67" s="7" t="s">
        <v>99</v>
      </c>
      <c r="N67" s="7"/>
      <c r="O67" s="7" t="s">
        <v>97</v>
      </c>
      <c r="P67" s="7" t="s">
        <v>98</v>
      </c>
      <c r="Q67" s="7" t="s">
        <v>99</v>
      </c>
      <c r="R67" s="7"/>
      <c r="S67" s="7" t="s">
        <v>97</v>
      </c>
      <c r="T67" s="7" t="s">
        <v>98</v>
      </c>
      <c r="U67" s="9" t="s">
        <v>99</v>
      </c>
    </row>
    <row r="68" spans="3:21" ht="60" x14ac:dyDescent="0.25">
      <c r="C68" s="8"/>
      <c r="D68" s="7">
        <v>5</v>
      </c>
      <c r="E68" s="10" t="s">
        <v>100</v>
      </c>
      <c r="F68" s="7"/>
      <c r="G68" s="10"/>
      <c r="H68" s="7">
        <v>5</v>
      </c>
      <c r="I68" s="10" t="s">
        <v>100</v>
      </c>
      <c r="J68" s="7"/>
      <c r="K68" s="7"/>
      <c r="L68" s="7">
        <v>5</v>
      </c>
      <c r="M68" s="10" t="s">
        <v>100</v>
      </c>
      <c r="N68" s="7"/>
      <c r="O68" s="7"/>
      <c r="P68" s="7">
        <v>5</v>
      </c>
      <c r="Q68" s="10" t="s">
        <v>100</v>
      </c>
      <c r="R68" s="7"/>
      <c r="S68" s="7"/>
      <c r="T68" s="7">
        <v>5</v>
      </c>
      <c r="U68" s="11" t="s">
        <v>100</v>
      </c>
    </row>
    <row r="69" spans="3:21" x14ac:dyDescent="0.25">
      <c r="C69" s="8"/>
      <c r="D69" s="7">
        <v>4</v>
      </c>
      <c r="E69" s="10" t="s">
        <v>101</v>
      </c>
      <c r="F69" s="7"/>
      <c r="G69" s="10"/>
      <c r="H69" s="7">
        <v>4</v>
      </c>
      <c r="I69" s="10" t="s">
        <v>101</v>
      </c>
      <c r="J69" s="7"/>
      <c r="K69" s="7"/>
      <c r="L69" s="7">
        <v>4</v>
      </c>
      <c r="M69" s="10" t="s">
        <v>101</v>
      </c>
      <c r="N69" s="7"/>
      <c r="O69" s="7"/>
      <c r="P69" s="7">
        <v>4</v>
      </c>
      <c r="Q69" s="10" t="s">
        <v>101</v>
      </c>
      <c r="R69" s="7"/>
      <c r="S69" s="7"/>
      <c r="T69" s="7">
        <v>4</v>
      </c>
      <c r="U69" s="11" t="s">
        <v>101</v>
      </c>
    </row>
    <row r="70" spans="3:21" x14ac:dyDescent="0.25">
      <c r="C70" s="8"/>
      <c r="D70" s="7">
        <v>3</v>
      </c>
      <c r="E70" s="10" t="s">
        <v>102</v>
      </c>
      <c r="F70" s="7"/>
      <c r="G70" s="10"/>
      <c r="H70" s="7">
        <v>3</v>
      </c>
      <c r="I70" s="10" t="s">
        <v>102</v>
      </c>
      <c r="J70" s="7"/>
      <c r="K70" s="7"/>
      <c r="L70" s="7">
        <v>3</v>
      </c>
      <c r="M70" s="10" t="s">
        <v>102</v>
      </c>
      <c r="N70" s="7"/>
      <c r="O70" s="7"/>
      <c r="P70" s="7">
        <v>3</v>
      </c>
      <c r="Q70" s="10" t="s">
        <v>102</v>
      </c>
      <c r="R70" s="7"/>
      <c r="S70" s="7"/>
      <c r="T70" s="7">
        <v>3</v>
      </c>
      <c r="U70" s="11" t="s">
        <v>102</v>
      </c>
    </row>
    <row r="71" spans="3:21" x14ac:dyDescent="0.25">
      <c r="C71" s="8"/>
      <c r="D71" s="7">
        <v>2</v>
      </c>
      <c r="E71" s="10" t="s">
        <v>103</v>
      </c>
      <c r="F71" s="7"/>
      <c r="G71" s="10"/>
      <c r="H71" s="7">
        <v>2</v>
      </c>
      <c r="I71" s="10" t="s">
        <v>103</v>
      </c>
      <c r="J71" s="7"/>
      <c r="K71" s="7"/>
      <c r="L71" s="7">
        <v>2</v>
      </c>
      <c r="M71" s="10" t="s">
        <v>103</v>
      </c>
      <c r="N71" s="7"/>
      <c r="O71" s="7"/>
      <c r="P71" s="7">
        <v>2</v>
      </c>
      <c r="Q71" s="10" t="s">
        <v>103</v>
      </c>
      <c r="R71" s="7"/>
      <c r="S71" s="7"/>
      <c r="T71" s="7">
        <v>2</v>
      </c>
      <c r="U71" s="11" t="s">
        <v>103</v>
      </c>
    </row>
    <row r="72" spans="3:21" x14ac:dyDescent="0.25">
      <c r="C72" s="8"/>
      <c r="D72" s="7">
        <v>1</v>
      </c>
      <c r="E72" s="10" t="s">
        <v>104</v>
      </c>
      <c r="F72" s="7"/>
      <c r="G72" s="10"/>
      <c r="H72" s="7">
        <v>1</v>
      </c>
      <c r="I72" s="10" t="s">
        <v>104</v>
      </c>
      <c r="J72" s="7"/>
      <c r="K72" s="7"/>
      <c r="L72" s="7">
        <v>1</v>
      </c>
      <c r="M72" s="10" t="s">
        <v>104</v>
      </c>
      <c r="N72" s="7"/>
      <c r="O72" s="34"/>
      <c r="P72" s="7">
        <v>1</v>
      </c>
      <c r="Q72" s="10" t="s">
        <v>104</v>
      </c>
      <c r="R72" s="7"/>
      <c r="S72" s="7"/>
      <c r="T72" s="7">
        <v>1</v>
      </c>
      <c r="U72" s="11" t="s">
        <v>104</v>
      </c>
    </row>
    <row r="73" spans="3:21" ht="105" x14ac:dyDescent="0.25">
      <c r="C73" s="12" t="s">
        <v>128</v>
      </c>
      <c r="D73" s="7">
        <v>0</v>
      </c>
      <c r="E73" s="10" t="s">
        <v>105</v>
      </c>
      <c r="F73" s="7"/>
      <c r="G73" s="10" t="s">
        <v>119</v>
      </c>
      <c r="H73" s="7">
        <v>0</v>
      </c>
      <c r="I73" s="10" t="s">
        <v>105</v>
      </c>
      <c r="J73" s="7"/>
      <c r="K73" s="10" t="s">
        <v>129</v>
      </c>
      <c r="L73" s="7">
        <v>0</v>
      </c>
      <c r="M73" s="10" t="s">
        <v>105</v>
      </c>
      <c r="N73" s="7"/>
      <c r="O73" s="10" t="s">
        <v>130</v>
      </c>
      <c r="P73" s="7">
        <v>0</v>
      </c>
      <c r="Q73" s="10" t="s">
        <v>105</v>
      </c>
      <c r="R73" s="7"/>
      <c r="S73" s="10" t="s">
        <v>121</v>
      </c>
      <c r="T73" s="7">
        <v>0</v>
      </c>
      <c r="U73" s="11" t="s">
        <v>105</v>
      </c>
    </row>
    <row r="74" spans="3:21" ht="60" x14ac:dyDescent="0.25">
      <c r="C74" s="33"/>
      <c r="D74" s="7">
        <v>-1</v>
      </c>
      <c r="E74" s="10" t="s">
        <v>106</v>
      </c>
      <c r="F74" s="7"/>
      <c r="G74" s="34" t="s">
        <v>118</v>
      </c>
      <c r="H74" s="7">
        <v>-1</v>
      </c>
      <c r="I74" s="10" t="s">
        <v>106</v>
      </c>
      <c r="J74" s="7"/>
      <c r="K74" s="34"/>
      <c r="L74" s="7">
        <v>-1</v>
      </c>
      <c r="M74" s="10" t="s">
        <v>106</v>
      </c>
      <c r="N74" s="7"/>
      <c r="O74" s="7"/>
      <c r="P74" s="7">
        <v>-1</v>
      </c>
      <c r="Q74" s="10" t="s">
        <v>106</v>
      </c>
      <c r="R74" s="7"/>
      <c r="S74" s="7"/>
      <c r="T74" s="7">
        <v>-1</v>
      </c>
      <c r="U74" s="11" t="s">
        <v>106</v>
      </c>
    </row>
    <row r="75" spans="3:21" x14ac:dyDescent="0.25">
      <c r="C75" s="8"/>
      <c r="D75" s="7">
        <v>-2</v>
      </c>
      <c r="E75" s="10" t="s">
        <v>107</v>
      </c>
      <c r="F75" s="7"/>
      <c r="G75" s="10"/>
      <c r="H75" s="7">
        <v>-2</v>
      </c>
      <c r="I75" s="10" t="s">
        <v>107</v>
      </c>
      <c r="J75" s="7"/>
      <c r="K75" s="7"/>
      <c r="L75" s="7">
        <v>-2</v>
      </c>
      <c r="M75" s="10" t="s">
        <v>107</v>
      </c>
      <c r="N75" s="7"/>
      <c r="O75" s="7"/>
      <c r="P75" s="7">
        <v>-2</v>
      </c>
      <c r="Q75" s="10" t="s">
        <v>107</v>
      </c>
      <c r="R75" s="7"/>
      <c r="S75" s="7"/>
      <c r="T75" s="7">
        <v>-2</v>
      </c>
      <c r="U75" s="11" t="s">
        <v>107</v>
      </c>
    </row>
    <row r="76" spans="3:21" x14ac:dyDescent="0.25">
      <c r="C76" s="8"/>
      <c r="D76" s="7">
        <v>-3</v>
      </c>
      <c r="E76" s="10" t="s">
        <v>108</v>
      </c>
      <c r="F76" s="7"/>
      <c r="G76" s="10"/>
      <c r="H76" s="7">
        <v>-3</v>
      </c>
      <c r="I76" s="10" t="s">
        <v>108</v>
      </c>
      <c r="J76" s="7"/>
      <c r="K76" s="7"/>
      <c r="L76" s="7">
        <v>-3</v>
      </c>
      <c r="M76" s="10" t="s">
        <v>108</v>
      </c>
      <c r="N76" s="7"/>
      <c r="O76" s="7"/>
      <c r="P76" s="7">
        <v>-3</v>
      </c>
      <c r="Q76" s="10" t="s">
        <v>108</v>
      </c>
      <c r="R76" s="7"/>
      <c r="S76" s="7"/>
      <c r="T76" s="7">
        <v>-3</v>
      </c>
      <c r="U76" s="11" t="s">
        <v>108</v>
      </c>
    </row>
    <row r="77" spans="3:21" x14ac:dyDescent="0.25">
      <c r="C77" s="8"/>
      <c r="D77" s="7">
        <v>-4</v>
      </c>
      <c r="E77" s="10" t="s">
        <v>109</v>
      </c>
      <c r="F77" s="7"/>
      <c r="G77" s="10"/>
      <c r="H77" s="7">
        <v>-4</v>
      </c>
      <c r="I77" s="10" t="s">
        <v>109</v>
      </c>
      <c r="J77" s="7"/>
      <c r="K77" s="7"/>
      <c r="L77" s="7">
        <v>-4</v>
      </c>
      <c r="M77" s="10" t="s">
        <v>109</v>
      </c>
      <c r="N77" s="7"/>
      <c r="O77" s="7"/>
      <c r="P77" s="7">
        <v>-4</v>
      </c>
      <c r="Q77" s="10" t="s">
        <v>109</v>
      </c>
      <c r="R77" s="7"/>
      <c r="S77" s="7"/>
      <c r="T77" s="7">
        <v>-4</v>
      </c>
      <c r="U77" s="11" t="s">
        <v>109</v>
      </c>
    </row>
    <row r="78" spans="3:21" ht="60.75" thickBot="1" x14ac:dyDescent="0.3">
      <c r="C78" s="13"/>
      <c r="D78" s="14">
        <v>-5</v>
      </c>
      <c r="E78" s="15" t="s">
        <v>110</v>
      </c>
      <c r="F78" s="14"/>
      <c r="G78" s="15"/>
      <c r="H78" s="14">
        <v>-5</v>
      </c>
      <c r="I78" s="15" t="s">
        <v>110</v>
      </c>
      <c r="J78" s="14"/>
      <c r="K78" s="14"/>
      <c r="L78" s="14">
        <v>-5</v>
      </c>
      <c r="M78" s="15" t="s">
        <v>110</v>
      </c>
      <c r="N78" s="14"/>
      <c r="O78" s="14"/>
      <c r="P78" s="14">
        <v>-5</v>
      </c>
      <c r="Q78" s="15" t="s">
        <v>110</v>
      </c>
      <c r="R78" s="14"/>
      <c r="S78" s="14"/>
      <c r="T78" s="14">
        <v>-5</v>
      </c>
      <c r="U78" s="16" t="s">
        <v>110</v>
      </c>
    </row>
    <row r="79" spans="3:21" ht="15.75" thickBot="1" x14ac:dyDescent="0.3"/>
    <row r="80" spans="3:21" ht="15.75" thickBot="1" x14ac:dyDescent="0.3">
      <c r="C80" s="90" t="s">
        <v>90</v>
      </c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2"/>
    </row>
    <row r="81" spans="3:21" ht="15.75" thickBot="1" x14ac:dyDescent="0.3">
      <c r="C81" s="81" t="s">
        <v>88</v>
      </c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3"/>
    </row>
    <row r="82" spans="3:21" ht="15.75" thickBot="1" x14ac:dyDescent="0.3">
      <c r="C82" s="78" t="s">
        <v>49</v>
      </c>
      <c r="D82" s="79"/>
      <c r="E82" s="80"/>
      <c r="F82" s="7"/>
      <c r="G82" s="78" t="s">
        <v>33</v>
      </c>
      <c r="H82" s="79"/>
      <c r="I82" s="80"/>
      <c r="J82" s="7"/>
      <c r="K82" s="78" t="s">
        <v>34</v>
      </c>
      <c r="L82" s="79"/>
      <c r="M82" s="80"/>
      <c r="N82" s="7"/>
      <c r="O82" s="78" t="s">
        <v>35</v>
      </c>
      <c r="P82" s="79"/>
      <c r="Q82" s="80"/>
      <c r="R82" s="7"/>
      <c r="S82" s="78" t="s">
        <v>36</v>
      </c>
      <c r="T82" s="79"/>
      <c r="U82" s="80"/>
    </row>
    <row r="83" spans="3:21" x14ac:dyDescent="0.25">
      <c r="C83" s="8" t="s">
        <v>97</v>
      </c>
      <c r="D83" s="7" t="s">
        <v>98</v>
      </c>
      <c r="E83" s="7" t="s">
        <v>99</v>
      </c>
      <c r="F83" s="7"/>
      <c r="G83" s="7" t="s">
        <v>97</v>
      </c>
      <c r="H83" s="7" t="s">
        <v>98</v>
      </c>
      <c r="I83" s="7" t="s">
        <v>99</v>
      </c>
      <c r="J83" s="7"/>
      <c r="K83" s="7" t="s">
        <v>97</v>
      </c>
      <c r="L83" s="7" t="s">
        <v>98</v>
      </c>
      <c r="M83" s="7" t="s">
        <v>99</v>
      </c>
      <c r="N83" s="7"/>
      <c r="O83" s="7" t="s">
        <v>97</v>
      </c>
      <c r="P83" s="7" t="s">
        <v>98</v>
      </c>
      <c r="Q83" s="7" t="s">
        <v>99</v>
      </c>
      <c r="R83" s="7"/>
      <c r="S83" s="7" t="s">
        <v>97</v>
      </c>
      <c r="T83" s="7" t="s">
        <v>98</v>
      </c>
      <c r="U83" s="9" t="s">
        <v>99</v>
      </c>
    </row>
    <row r="84" spans="3:21" ht="60" x14ac:dyDescent="0.25">
      <c r="C84" s="8"/>
      <c r="D84" s="7">
        <v>5</v>
      </c>
      <c r="E84" s="10" t="s">
        <v>100</v>
      </c>
      <c r="F84" s="7"/>
      <c r="G84" s="10"/>
      <c r="H84" s="7">
        <v>5</v>
      </c>
      <c r="I84" s="10" t="s">
        <v>100</v>
      </c>
      <c r="J84" s="7"/>
      <c r="K84" s="7"/>
      <c r="L84" s="7">
        <v>5</v>
      </c>
      <c r="M84" s="10" t="s">
        <v>100</v>
      </c>
      <c r="N84" s="7"/>
      <c r="O84" s="7"/>
      <c r="P84" s="7">
        <v>5</v>
      </c>
      <c r="Q84" s="10" t="s">
        <v>100</v>
      </c>
      <c r="R84" s="7"/>
      <c r="S84" s="7"/>
      <c r="T84" s="7">
        <v>5</v>
      </c>
      <c r="U84" s="11" t="s">
        <v>100</v>
      </c>
    </row>
    <row r="85" spans="3:21" x14ac:dyDescent="0.25">
      <c r="C85" s="8"/>
      <c r="D85" s="7">
        <v>4</v>
      </c>
      <c r="E85" s="10" t="s">
        <v>101</v>
      </c>
      <c r="F85" s="7"/>
      <c r="G85" s="10"/>
      <c r="H85" s="7">
        <v>4</v>
      </c>
      <c r="I85" s="10" t="s">
        <v>101</v>
      </c>
      <c r="J85" s="7"/>
      <c r="K85" s="7"/>
      <c r="L85" s="7">
        <v>4</v>
      </c>
      <c r="M85" s="10" t="s">
        <v>101</v>
      </c>
      <c r="N85" s="7"/>
      <c r="O85" s="7"/>
      <c r="P85" s="7">
        <v>4</v>
      </c>
      <c r="Q85" s="10" t="s">
        <v>101</v>
      </c>
      <c r="R85" s="7"/>
      <c r="S85" s="7"/>
      <c r="T85" s="7">
        <v>4</v>
      </c>
      <c r="U85" s="11" t="s">
        <v>101</v>
      </c>
    </row>
    <row r="86" spans="3:21" x14ac:dyDescent="0.25">
      <c r="C86" s="8"/>
      <c r="D86" s="7">
        <v>3</v>
      </c>
      <c r="E86" s="10" t="s">
        <v>102</v>
      </c>
      <c r="F86" s="7"/>
      <c r="G86" s="10"/>
      <c r="H86" s="7">
        <v>3</v>
      </c>
      <c r="I86" s="10" t="s">
        <v>102</v>
      </c>
      <c r="J86" s="7"/>
      <c r="K86" s="7"/>
      <c r="L86" s="7">
        <v>3</v>
      </c>
      <c r="M86" s="10" t="s">
        <v>102</v>
      </c>
      <c r="N86" s="7"/>
      <c r="O86" s="7"/>
      <c r="P86" s="7">
        <v>3</v>
      </c>
      <c r="Q86" s="10" t="s">
        <v>102</v>
      </c>
      <c r="R86" s="7"/>
      <c r="S86" s="7"/>
      <c r="T86" s="7">
        <v>3</v>
      </c>
      <c r="U86" s="11" t="s">
        <v>102</v>
      </c>
    </row>
    <row r="87" spans="3:21" x14ac:dyDescent="0.25">
      <c r="C87" s="8"/>
      <c r="D87" s="7">
        <v>2</v>
      </c>
      <c r="E87" s="10" t="s">
        <v>103</v>
      </c>
      <c r="F87" s="7"/>
      <c r="G87" s="10"/>
      <c r="H87" s="7">
        <v>2</v>
      </c>
      <c r="I87" s="10" t="s">
        <v>103</v>
      </c>
      <c r="J87" s="7"/>
      <c r="K87" s="7"/>
      <c r="L87" s="7">
        <v>2</v>
      </c>
      <c r="M87" s="10" t="s">
        <v>103</v>
      </c>
      <c r="N87" s="7"/>
      <c r="O87" s="7"/>
      <c r="P87" s="7">
        <v>2</v>
      </c>
      <c r="Q87" s="10" t="s">
        <v>103</v>
      </c>
      <c r="R87" s="7"/>
      <c r="S87" s="7"/>
      <c r="T87" s="7">
        <v>2</v>
      </c>
      <c r="U87" s="11" t="s">
        <v>103</v>
      </c>
    </row>
    <row r="88" spans="3:21" ht="30" x14ac:dyDescent="0.25">
      <c r="C88" s="8"/>
      <c r="D88" s="7">
        <v>1</v>
      </c>
      <c r="E88" s="10" t="s">
        <v>104</v>
      </c>
      <c r="F88" s="7"/>
      <c r="G88" s="10"/>
      <c r="H88" s="7">
        <v>1</v>
      </c>
      <c r="I88" s="10" t="s">
        <v>104</v>
      </c>
      <c r="J88" s="7"/>
      <c r="K88" s="7"/>
      <c r="L88" s="7">
        <v>1</v>
      </c>
      <c r="M88" s="10" t="s">
        <v>104</v>
      </c>
      <c r="N88" s="7"/>
      <c r="O88" s="34" t="s">
        <v>120</v>
      </c>
      <c r="P88" s="7">
        <v>1</v>
      </c>
      <c r="Q88" s="10" t="s">
        <v>104</v>
      </c>
      <c r="R88" s="7"/>
      <c r="S88" s="34"/>
      <c r="T88" s="7">
        <v>1</v>
      </c>
      <c r="U88" s="11" t="s">
        <v>104</v>
      </c>
    </row>
    <row r="89" spans="3:21" ht="105" x14ac:dyDescent="0.25">
      <c r="C89" s="12" t="s">
        <v>122</v>
      </c>
      <c r="D89" s="7">
        <v>0</v>
      </c>
      <c r="E89" s="10" t="s">
        <v>105</v>
      </c>
      <c r="F89" s="7"/>
      <c r="G89" s="10" t="s">
        <v>131</v>
      </c>
      <c r="H89" s="7">
        <v>0</v>
      </c>
      <c r="I89" s="10" t="s">
        <v>105</v>
      </c>
      <c r="J89" s="7"/>
      <c r="K89" s="10" t="s">
        <v>124</v>
      </c>
      <c r="L89" s="7">
        <v>0</v>
      </c>
      <c r="M89" s="10" t="s">
        <v>105</v>
      </c>
      <c r="N89" s="7"/>
      <c r="O89" s="10" t="s">
        <v>127</v>
      </c>
      <c r="P89" s="7">
        <v>0</v>
      </c>
      <c r="Q89" s="10" t="s">
        <v>105</v>
      </c>
      <c r="R89" s="7"/>
      <c r="S89" s="12" t="s">
        <v>124</v>
      </c>
      <c r="T89" s="7">
        <v>0</v>
      </c>
      <c r="U89" s="11" t="s">
        <v>105</v>
      </c>
    </row>
    <row r="90" spans="3:21" ht="45" x14ac:dyDescent="0.25">
      <c r="C90" s="8"/>
      <c r="D90" s="7">
        <v>-1</v>
      </c>
      <c r="E90" s="10" t="s">
        <v>106</v>
      </c>
      <c r="F90" s="7"/>
      <c r="G90" s="34"/>
      <c r="H90" s="7">
        <v>-1</v>
      </c>
      <c r="I90" s="10" t="s">
        <v>106</v>
      </c>
      <c r="J90" s="7"/>
      <c r="K90" s="7"/>
      <c r="L90" s="7">
        <v>-1</v>
      </c>
      <c r="M90" s="10" t="s">
        <v>106</v>
      </c>
      <c r="N90" s="7"/>
      <c r="O90" s="7" t="s">
        <v>123</v>
      </c>
      <c r="P90" s="7">
        <v>-1</v>
      </c>
      <c r="Q90" s="10" t="s">
        <v>106</v>
      </c>
      <c r="R90" s="7"/>
      <c r="S90" s="7"/>
      <c r="T90" s="7">
        <v>-1</v>
      </c>
      <c r="U90" s="11" t="s">
        <v>106</v>
      </c>
    </row>
    <row r="91" spans="3:21" x14ac:dyDescent="0.25">
      <c r="C91" s="8"/>
      <c r="D91" s="7">
        <v>-2</v>
      </c>
      <c r="E91" s="10" t="s">
        <v>107</v>
      </c>
      <c r="F91" s="7"/>
      <c r="G91" s="10"/>
      <c r="H91" s="7">
        <v>-2</v>
      </c>
      <c r="I91" s="10" t="s">
        <v>107</v>
      </c>
      <c r="J91" s="7"/>
      <c r="K91" s="7"/>
      <c r="L91" s="7">
        <v>-2</v>
      </c>
      <c r="M91" s="10" t="s">
        <v>107</v>
      </c>
      <c r="N91" s="7"/>
      <c r="O91" s="7"/>
      <c r="P91" s="7">
        <v>-2</v>
      </c>
      <c r="Q91" s="10" t="s">
        <v>107</v>
      </c>
      <c r="R91" s="7"/>
      <c r="S91" s="7"/>
      <c r="T91" s="7">
        <v>-2</v>
      </c>
      <c r="U91" s="11" t="s">
        <v>107</v>
      </c>
    </row>
    <row r="92" spans="3:21" x14ac:dyDescent="0.25">
      <c r="C92" s="8"/>
      <c r="D92" s="7">
        <v>-3</v>
      </c>
      <c r="E92" s="10" t="s">
        <v>108</v>
      </c>
      <c r="F92" s="7"/>
      <c r="G92" s="10"/>
      <c r="H92" s="7">
        <v>-3</v>
      </c>
      <c r="I92" s="10" t="s">
        <v>108</v>
      </c>
      <c r="J92" s="7"/>
      <c r="K92" s="7"/>
      <c r="L92" s="7">
        <v>-3</v>
      </c>
      <c r="M92" s="10" t="s">
        <v>108</v>
      </c>
      <c r="N92" s="7"/>
      <c r="O92" s="7"/>
      <c r="P92" s="7">
        <v>-3</v>
      </c>
      <c r="Q92" s="10" t="s">
        <v>108</v>
      </c>
      <c r="R92" s="7"/>
      <c r="S92" s="7"/>
      <c r="T92" s="7">
        <v>-3</v>
      </c>
      <c r="U92" s="11" t="s">
        <v>108</v>
      </c>
    </row>
    <row r="93" spans="3:21" x14ac:dyDescent="0.25">
      <c r="C93" s="8"/>
      <c r="D93" s="7">
        <v>-4</v>
      </c>
      <c r="E93" s="10" t="s">
        <v>109</v>
      </c>
      <c r="F93" s="7"/>
      <c r="G93" s="10"/>
      <c r="H93" s="7">
        <v>-4</v>
      </c>
      <c r="I93" s="10" t="s">
        <v>109</v>
      </c>
      <c r="J93" s="7"/>
      <c r="K93" s="7"/>
      <c r="L93" s="7">
        <v>-4</v>
      </c>
      <c r="M93" s="10" t="s">
        <v>109</v>
      </c>
      <c r="N93" s="7"/>
      <c r="O93" s="7"/>
      <c r="P93" s="7">
        <v>-4</v>
      </c>
      <c r="Q93" s="10" t="s">
        <v>109</v>
      </c>
      <c r="R93" s="7"/>
      <c r="S93" s="7"/>
      <c r="T93" s="7">
        <v>-4</v>
      </c>
      <c r="U93" s="11" t="s">
        <v>109</v>
      </c>
    </row>
    <row r="94" spans="3:21" ht="60.75" thickBot="1" x14ac:dyDescent="0.3">
      <c r="C94" s="13"/>
      <c r="D94" s="14">
        <v>-5</v>
      </c>
      <c r="E94" s="15" t="s">
        <v>110</v>
      </c>
      <c r="F94" s="14"/>
      <c r="G94" s="15"/>
      <c r="H94" s="14">
        <v>-5</v>
      </c>
      <c r="I94" s="15" t="s">
        <v>110</v>
      </c>
      <c r="J94" s="14"/>
      <c r="K94" s="14"/>
      <c r="L94" s="14">
        <v>-5</v>
      </c>
      <c r="M94" s="15" t="s">
        <v>110</v>
      </c>
      <c r="N94" s="14"/>
      <c r="O94" s="14"/>
      <c r="P94" s="14">
        <v>-5</v>
      </c>
      <c r="Q94" s="15" t="s">
        <v>110</v>
      </c>
      <c r="R94" s="14"/>
      <c r="S94" s="14"/>
      <c r="T94" s="14">
        <v>-5</v>
      </c>
      <c r="U94" s="16" t="s">
        <v>110</v>
      </c>
    </row>
    <row r="95" spans="3:21" ht="15.75" thickBot="1" x14ac:dyDescent="0.3"/>
    <row r="96" spans="3:21" ht="15.75" thickBot="1" x14ac:dyDescent="0.3">
      <c r="C96" s="90" t="s">
        <v>90</v>
      </c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2"/>
    </row>
    <row r="97" spans="3:21" ht="15.75" thickBot="1" x14ac:dyDescent="0.3">
      <c r="C97" s="75" t="s">
        <v>89</v>
      </c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7"/>
    </row>
    <row r="98" spans="3:21" ht="15.75" thickBot="1" x14ac:dyDescent="0.3">
      <c r="C98" s="78" t="s">
        <v>49</v>
      </c>
      <c r="D98" s="79"/>
      <c r="E98" s="80"/>
      <c r="F98" s="7"/>
      <c r="G98" s="78" t="s">
        <v>33</v>
      </c>
      <c r="H98" s="79"/>
      <c r="I98" s="80"/>
      <c r="J98" s="7"/>
      <c r="K98" s="78" t="s">
        <v>34</v>
      </c>
      <c r="L98" s="79"/>
      <c r="M98" s="80"/>
      <c r="N98" s="7"/>
      <c r="O98" s="78" t="s">
        <v>35</v>
      </c>
      <c r="P98" s="79"/>
      <c r="Q98" s="80"/>
      <c r="R98" s="7"/>
      <c r="S98" s="78" t="s">
        <v>36</v>
      </c>
      <c r="T98" s="79"/>
      <c r="U98" s="80"/>
    </row>
    <row r="99" spans="3:21" x14ac:dyDescent="0.25">
      <c r="C99" s="8" t="s">
        <v>97</v>
      </c>
      <c r="D99" s="7" t="s">
        <v>98</v>
      </c>
      <c r="E99" s="7" t="s">
        <v>99</v>
      </c>
      <c r="F99" s="7"/>
      <c r="G99" s="7" t="s">
        <v>97</v>
      </c>
      <c r="H99" s="7" t="s">
        <v>98</v>
      </c>
      <c r="I99" s="7" t="s">
        <v>99</v>
      </c>
      <c r="J99" s="7"/>
      <c r="K99" s="7" t="s">
        <v>97</v>
      </c>
      <c r="L99" s="7" t="s">
        <v>98</v>
      </c>
      <c r="M99" s="7" t="s">
        <v>99</v>
      </c>
      <c r="N99" s="7"/>
      <c r="O99" s="7" t="s">
        <v>97</v>
      </c>
      <c r="P99" s="7" t="s">
        <v>98</v>
      </c>
      <c r="Q99" s="7" t="s">
        <v>99</v>
      </c>
      <c r="R99" s="7"/>
      <c r="S99" s="7" t="s">
        <v>97</v>
      </c>
      <c r="T99" s="7" t="s">
        <v>98</v>
      </c>
      <c r="U99" s="9" t="s">
        <v>99</v>
      </c>
    </row>
    <row r="100" spans="3:21" ht="60" x14ac:dyDescent="0.25">
      <c r="C100" s="12" t="str">
        <f t="shared" ref="C100:C110" si="0">_xlfn.TEXTJOIN(","&amp;CHAR(10),TRUE,IF(D100=0,"Historic Baseline ("&amp;TEXT(N$39,"0%")&amp;")",""),IF(-MAX(-5,MIN(5,ROUND((N$48-N$39)*100,0)))=D100,"+30% Outflow",""),IF(-MAX(-5,MIN(5,ROUND((N$57-N$39)*100,0)))=D100,"-10% Outflow",""))</f>
        <v/>
      </c>
      <c r="D100" s="7">
        <v>5</v>
      </c>
      <c r="E100" s="10" t="s">
        <v>100</v>
      </c>
      <c r="F100" s="7"/>
      <c r="G100" s="10" t="str">
        <f t="shared" ref="G100:G110" si="1">_xlfn.TEXTJOIN(","&amp;CHAR(10),TRUE,IF(H100=0,"Historic Baseline ("&amp;TEXT(O$39,"0%")&amp;")",""),IF(-MAX(-5,MIN(5,ROUND((O$48-O$39)*100,0)))=H100,"+30% Outflow",""),IF(-MAX(-5,MIN(5,ROUND((O$57-O$39)*100,0)))=H100,"-10% Outflow",""))</f>
        <v/>
      </c>
      <c r="H100" s="7">
        <v>5</v>
      </c>
      <c r="I100" s="10" t="s">
        <v>100</v>
      </c>
      <c r="J100" s="7"/>
      <c r="K100" s="10" t="str">
        <f t="shared" ref="K100:K110" si="2">_xlfn.TEXTJOIN(","&amp;CHAR(10),TRUE,IF(L100=0,"Historic Baseline ("&amp;TEXT(P$39,"0%")&amp;")",""),IF(-MAX(-5,MIN(5,ROUND((P$48-P$39)*100,0)))=L100,"+30% Outflow",""),IF(-MAX(-5,MIN(5,ROUND((P$57-P$39)*100,0)))=L100,"-10% Outflow",""))</f>
        <v/>
      </c>
      <c r="L100" s="7">
        <v>5</v>
      </c>
      <c r="M100" s="10" t="s">
        <v>100</v>
      </c>
      <c r="N100" s="7"/>
      <c r="O100" s="10" t="str">
        <f t="shared" ref="O100:O110" si="3">_xlfn.TEXTJOIN(","&amp;CHAR(10),TRUE,IF(P100=0,"Historic Baseline ("&amp;TEXT(Q$39,"0%")&amp;")",""),IF(-MAX(-5,MIN(5,ROUND((Q$48-Q$39)*100,0)))=P100,"+30% Outflow",""),IF(-MAX(-5,MIN(5,ROUND((Q$57-Q$39)*100,0)))=P100,"-10% Outflow",""))</f>
        <v/>
      </c>
      <c r="P100" s="7">
        <v>5</v>
      </c>
      <c r="Q100" s="10" t="s">
        <v>100</v>
      </c>
      <c r="R100" s="7"/>
      <c r="S100" s="10" t="str">
        <f t="shared" ref="S100:S110" si="4">_xlfn.TEXTJOIN(","&amp;CHAR(10),TRUE,IF(T100=0,"Historic Baseline ("&amp;TEXT(R$39,"0%")&amp;")",""),IF(-MAX(-5,MIN(5,ROUND((R$48-R$39)*100,0)))=T100,"+30% Outflow",""),IF(-MAX(-5,MIN(5,ROUND((R$57-R$39)*100,0)))=T100,"-10% Outflow",""))</f>
        <v/>
      </c>
      <c r="T100" s="7">
        <v>5</v>
      </c>
      <c r="U100" s="11" t="s">
        <v>100</v>
      </c>
    </row>
    <row r="101" spans="3:21" x14ac:dyDescent="0.25">
      <c r="C101" s="12" t="str">
        <f t="shared" si="0"/>
        <v/>
      </c>
      <c r="D101" s="7">
        <v>4</v>
      </c>
      <c r="E101" s="10" t="s">
        <v>101</v>
      </c>
      <c r="F101" s="7"/>
      <c r="G101" s="10" t="str">
        <f t="shared" si="1"/>
        <v/>
      </c>
      <c r="H101" s="7">
        <v>4</v>
      </c>
      <c r="I101" s="10" t="s">
        <v>101</v>
      </c>
      <c r="J101" s="7"/>
      <c r="K101" s="10" t="str">
        <f t="shared" si="2"/>
        <v/>
      </c>
      <c r="L101" s="7">
        <v>4</v>
      </c>
      <c r="M101" s="10" t="s">
        <v>101</v>
      </c>
      <c r="N101" s="7"/>
      <c r="O101" s="10" t="str">
        <f t="shared" si="3"/>
        <v/>
      </c>
      <c r="P101" s="7">
        <v>4</v>
      </c>
      <c r="Q101" s="10" t="s">
        <v>101</v>
      </c>
      <c r="R101" s="7"/>
      <c r="S101" s="10" t="str">
        <f t="shared" si="4"/>
        <v/>
      </c>
      <c r="T101" s="7">
        <v>4</v>
      </c>
      <c r="U101" s="11" t="s">
        <v>101</v>
      </c>
    </row>
    <row r="102" spans="3:21" x14ac:dyDescent="0.25">
      <c r="C102" s="12" t="str">
        <f t="shared" si="0"/>
        <v/>
      </c>
      <c r="D102" s="7">
        <v>3</v>
      </c>
      <c r="E102" s="10" t="s">
        <v>102</v>
      </c>
      <c r="F102" s="7"/>
      <c r="G102" s="10" t="str">
        <f t="shared" si="1"/>
        <v/>
      </c>
      <c r="H102" s="7">
        <v>3</v>
      </c>
      <c r="I102" s="10" t="s">
        <v>102</v>
      </c>
      <c r="J102" s="7"/>
      <c r="K102" s="10" t="str">
        <f t="shared" si="2"/>
        <v/>
      </c>
      <c r="L102" s="7">
        <v>3</v>
      </c>
      <c r="M102" s="10" t="s">
        <v>102</v>
      </c>
      <c r="N102" s="7"/>
      <c r="O102" s="10" t="str">
        <f t="shared" si="3"/>
        <v/>
      </c>
      <c r="P102" s="7">
        <v>3</v>
      </c>
      <c r="Q102" s="10" t="s">
        <v>102</v>
      </c>
      <c r="R102" s="7"/>
      <c r="S102" s="10" t="str">
        <f t="shared" si="4"/>
        <v/>
      </c>
      <c r="T102" s="7">
        <v>3</v>
      </c>
      <c r="U102" s="11" t="s">
        <v>102</v>
      </c>
    </row>
    <row r="103" spans="3:21" x14ac:dyDescent="0.25">
      <c r="C103" s="12" t="str">
        <f t="shared" si="0"/>
        <v/>
      </c>
      <c r="D103" s="7">
        <v>2</v>
      </c>
      <c r="E103" s="10" t="s">
        <v>103</v>
      </c>
      <c r="F103" s="7"/>
      <c r="G103" s="10" t="str">
        <f t="shared" si="1"/>
        <v/>
      </c>
      <c r="H103" s="7">
        <v>2</v>
      </c>
      <c r="I103" s="10" t="s">
        <v>103</v>
      </c>
      <c r="J103" s="7"/>
      <c r="K103" s="10" t="str">
        <f t="shared" si="2"/>
        <v/>
      </c>
      <c r="L103" s="7">
        <v>2</v>
      </c>
      <c r="M103" s="10" t="s">
        <v>103</v>
      </c>
      <c r="N103" s="7"/>
      <c r="O103" s="10" t="str">
        <f t="shared" si="3"/>
        <v/>
      </c>
      <c r="P103" s="7">
        <v>2</v>
      </c>
      <c r="Q103" s="10" t="s">
        <v>103</v>
      </c>
      <c r="R103" s="7"/>
      <c r="S103" s="10" t="str">
        <f t="shared" si="4"/>
        <v/>
      </c>
      <c r="T103" s="7">
        <v>2</v>
      </c>
      <c r="U103" s="11" t="s">
        <v>103</v>
      </c>
    </row>
    <row r="104" spans="3:21" x14ac:dyDescent="0.25">
      <c r="C104" s="12" t="str">
        <f t="shared" si="0"/>
        <v/>
      </c>
      <c r="D104" s="7">
        <v>1</v>
      </c>
      <c r="E104" s="10" t="s">
        <v>104</v>
      </c>
      <c r="F104" s="7"/>
      <c r="G104" s="10" t="str">
        <f t="shared" si="1"/>
        <v/>
      </c>
      <c r="H104" s="7">
        <v>1</v>
      </c>
      <c r="I104" s="10" t="s">
        <v>104</v>
      </c>
      <c r="J104" s="7"/>
      <c r="K104" s="10" t="str">
        <f t="shared" si="2"/>
        <v/>
      </c>
      <c r="L104" s="7">
        <v>1</v>
      </c>
      <c r="M104" s="10" t="s">
        <v>104</v>
      </c>
      <c r="N104" s="7"/>
      <c r="O104" s="10" t="str">
        <f t="shared" si="3"/>
        <v/>
      </c>
      <c r="P104" s="7">
        <v>1</v>
      </c>
      <c r="Q104" s="10" t="s">
        <v>104</v>
      </c>
      <c r="R104" s="7"/>
      <c r="S104" s="10" t="str">
        <f t="shared" si="4"/>
        <v/>
      </c>
      <c r="T104" s="7">
        <v>1</v>
      </c>
      <c r="U104" s="11" t="s">
        <v>104</v>
      </c>
    </row>
    <row r="105" spans="3:21" ht="105" x14ac:dyDescent="0.25">
      <c r="C105" s="12" t="str">
        <f t="shared" si="0"/>
        <v>Historic Baseline (80%),
-10% Outflow</v>
      </c>
      <c r="D105" s="7">
        <v>0</v>
      </c>
      <c r="E105" s="10" t="s">
        <v>105</v>
      </c>
      <c r="F105" s="7"/>
      <c r="G105" s="10" t="str">
        <f t="shared" si="1"/>
        <v>Historic Baseline (71%)</v>
      </c>
      <c r="H105" s="7">
        <v>0</v>
      </c>
      <c r="I105" s="10" t="s">
        <v>105</v>
      </c>
      <c r="J105" s="7"/>
      <c r="K105" s="10" t="str">
        <f t="shared" si="2"/>
        <v>Historic Baseline (81%),
-10% Outflow</v>
      </c>
      <c r="L105" s="7">
        <v>0</v>
      </c>
      <c r="M105" s="10" t="s">
        <v>105</v>
      </c>
      <c r="N105" s="7"/>
      <c r="O105" s="10" t="str">
        <f t="shared" si="3"/>
        <v>Historic Baseline (81%),
+30% Outflow,
-10% Outflow</v>
      </c>
      <c r="P105" s="7">
        <v>0</v>
      </c>
      <c r="Q105" s="10" t="s">
        <v>105</v>
      </c>
      <c r="R105" s="7"/>
      <c r="S105" s="10" t="str">
        <f t="shared" si="4"/>
        <v>Historic Baseline (84%),
+30% Outflow,
-10% Outflow</v>
      </c>
      <c r="T105" s="7">
        <v>0</v>
      </c>
      <c r="U105" s="11" t="s">
        <v>105</v>
      </c>
    </row>
    <row r="106" spans="3:21" ht="45" x14ac:dyDescent="0.25">
      <c r="C106" s="12" t="str">
        <f t="shared" si="0"/>
        <v>+30% Outflow</v>
      </c>
      <c r="D106" s="7">
        <v>-1</v>
      </c>
      <c r="E106" s="10" t="s">
        <v>106</v>
      </c>
      <c r="F106" s="7"/>
      <c r="G106" s="10" t="str">
        <f t="shared" si="1"/>
        <v>-10% Outflow</v>
      </c>
      <c r="H106" s="7">
        <v>-1</v>
      </c>
      <c r="I106" s="10" t="s">
        <v>106</v>
      </c>
      <c r="J106" s="7"/>
      <c r="K106" s="10" t="str">
        <f t="shared" si="2"/>
        <v>+30% Outflow</v>
      </c>
      <c r="L106" s="7">
        <v>-1</v>
      </c>
      <c r="M106" s="10" t="s">
        <v>106</v>
      </c>
      <c r="N106" s="7"/>
      <c r="O106" s="10" t="str">
        <f t="shared" si="3"/>
        <v/>
      </c>
      <c r="P106" s="7">
        <v>-1</v>
      </c>
      <c r="Q106" s="10" t="s">
        <v>106</v>
      </c>
      <c r="R106" s="7"/>
      <c r="S106" s="10" t="str">
        <f t="shared" si="4"/>
        <v/>
      </c>
      <c r="T106" s="7">
        <v>-1</v>
      </c>
      <c r="U106" s="11" t="s">
        <v>106</v>
      </c>
    </row>
    <row r="107" spans="3:21" ht="30" x14ac:dyDescent="0.25">
      <c r="C107" s="12" t="str">
        <f t="shared" si="0"/>
        <v/>
      </c>
      <c r="D107" s="7">
        <v>-2</v>
      </c>
      <c r="E107" s="10" t="s">
        <v>107</v>
      </c>
      <c r="F107" s="7"/>
      <c r="G107" s="10" t="str">
        <f t="shared" si="1"/>
        <v>+30% Outflow</v>
      </c>
      <c r="H107" s="7">
        <v>-2</v>
      </c>
      <c r="I107" s="10" t="s">
        <v>107</v>
      </c>
      <c r="J107" s="7"/>
      <c r="K107" s="10" t="str">
        <f t="shared" si="2"/>
        <v/>
      </c>
      <c r="L107" s="7">
        <v>-2</v>
      </c>
      <c r="M107" s="10" t="s">
        <v>107</v>
      </c>
      <c r="N107" s="7"/>
      <c r="O107" s="10" t="str">
        <f t="shared" si="3"/>
        <v/>
      </c>
      <c r="P107" s="7">
        <v>-2</v>
      </c>
      <c r="Q107" s="10" t="s">
        <v>107</v>
      </c>
      <c r="R107" s="7"/>
      <c r="S107" s="10" t="str">
        <f t="shared" si="4"/>
        <v/>
      </c>
      <c r="T107" s="7">
        <v>-2</v>
      </c>
      <c r="U107" s="11" t="s">
        <v>107</v>
      </c>
    </row>
    <row r="108" spans="3:21" x14ac:dyDescent="0.25">
      <c r="C108" s="12" t="str">
        <f t="shared" si="0"/>
        <v/>
      </c>
      <c r="D108" s="7">
        <v>-3</v>
      </c>
      <c r="E108" s="10" t="s">
        <v>108</v>
      </c>
      <c r="F108" s="7"/>
      <c r="G108" s="10" t="str">
        <f t="shared" si="1"/>
        <v/>
      </c>
      <c r="H108" s="7">
        <v>-3</v>
      </c>
      <c r="I108" s="10" t="s">
        <v>108</v>
      </c>
      <c r="J108" s="7"/>
      <c r="K108" s="10" t="str">
        <f t="shared" si="2"/>
        <v/>
      </c>
      <c r="L108" s="7">
        <v>-3</v>
      </c>
      <c r="M108" s="10" t="s">
        <v>108</v>
      </c>
      <c r="N108" s="7"/>
      <c r="O108" s="10" t="str">
        <f t="shared" si="3"/>
        <v/>
      </c>
      <c r="P108" s="7">
        <v>-3</v>
      </c>
      <c r="Q108" s="10" t="s">
        <v>108</v>
      </c>
      <c r="R108" s="7"/>
      <c r="S108" s="10" t="str">
        <f t="shared" si="4"/>
        <v/>
      </c>
      <c r="T108" s="7">
        <v>-3</v>
      </c>
      <c r="U108" s="11" t="s">
        <v>108</v>
      </c>
    </row>
    <row r="109" spans="3:21" x14ac:dyDescent="0.25">
      <c r="C109" s="12" t="str">
        <f t="shared" si="0"/>
        <v/>
      </c>
      <c r="D109" s="7">
        <v>-4</v>
      </c>
      <c r="E109" s="10" t="s">
        <v>109</v>
      </c>
      <c r="F109" s="7"/>
      <c r="G109" s="10" t="str">
        <f t="shared" si="1"/>
        <v/>
      </c>
      <c r="H109" s="7">
        <v>-4</v>
      </c>
      <c r="I109" s="10" t="s">
        <v>109</v>
      </c>
      <c r="J109" s="7"/>
      <c r="K109" s="10" t="str">
        <f t="shared" si="2"/>
        <v/>
      </c>
      <c r="L109" s="7">
        <v>-4</v>
      </c>
      <c r="M109" s="10" t="s">
        <v>109</v>
      </c>
      <c r="N109" s="7"/>
      <c r="O109" s="10" t="str">
        <f t="shared" si="3"/>
        <v/>
      </c>
      <c r="P109" s="7">
        <v>-4</v>
      </c>
      <c r="Q109" s="10" t="s">
        <v>109</v>
      </c>
      <c r="R109" s="7"/>
      <c r="S109" s="10" t="str">
        <f t="shared" si="4"/>
        <v/>
      </c>
      <c r="T109" s="7">
        <v>-4</v>
      </c>
      <c r="U109" s="11" t="s">
        <v>109</v>
      </c>
    </row>
    <row r="110" spans="3:21" ht="60.75" thickBot="1" x14ac:dyDescent="0.3">
      <c r="C110" s="35" t="str">
        <f t="shared" si="0"/>
        <v/>
      </c>
      <c r="D110" s="14">
        <v>-5</v>
      </c>
      <c r="E110" s="15" t="s">
        <v>110</v>
      </c>
      <c r="F110" s="14"/>
      <c r="G110" s="15" t="str">
        <f t="shared" si="1"/>
        <v/>
      </c>
      <c r="H110" s="14">
        <v>-5</v>
      </c>
      <c r="I110" s="15" t="s">
        <v>110</v>
      </c>
      <c r="J110" s="14"/>
      <c r="K110" s="15" t="str">
        <f t="shared" si="2"/>
        <v/>
      </c>
      <c r="L110" s="14">
        <v>-5</v>
      </c>
      <c r="M110" s="15" t="s">
        <v>110</v>
      </c>
      <c r="N110" s="14"/>
      <c r="O110" s="15" t="str">
        <f t="shared" si="3"/>
        <v/>
      </c>
      <c r="P110" s="14">
        <v>-5</v>
      </c>
      <c r="Q110" s="15" t="s">
        <v>110</v>
      </c>
      <c r="R110" s="14"/>
      <c r="S110" s="15" t="str">
        <f t="shared" si="4"/>
        <v/>
      </c>
      <c r="T110" s="14">
        <v>-5</v>
      </c>
      <c r="U110" s="16" t="s">
        <v>110</v>
      </c>
    </row>
    <row r="113" spans="3:21" ht="15.75" thickBot="1" x14ac:dyDescent="0.3"/>
    <row r="114" spans="3:21" ht="15.75" thickBot="1" x14ac:dyDescent="0.3">
      <c r="C114" s="87" t="s">
        <v>91</v>
      </c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9"/>
    </row>
    <row r="115" spans="3:21" ht="15.75" thickBot="1" x14ac:dyDescent="0.3">
      <c r="C115" s="84" t="s">
        <v>87</v>
      </c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6"/>
    </row>
    <row r="116" spans="3:21" ht="15.75" thickBot="1" x14ac:dyDescent="0.3">
      <c r="C116" s="78" t="s">
        <v>49</v>
      </c>
      <c r="D116" s="79"/>
      <c r="E116" s="80"/>
      <c r="F116" s="7"/>
      <c r="G116" s="78" t="s">
        <v>33</v>
      </c>
      <c r="H116" s="79"/>
      <c r="I116" s="80"/>
      <c r="J116" s="7"/>
      <c r="K116" s="78" t="s">
        <v>34</v>
      </c>
      <c r="L116" s="79"/>
      <c r="M116" s="80"/>
      <c r="N116" s="7"/>
      <c r="O116" s="78" t="s">
        <v>35</v>
      </c>
      <c r="P116" s="79"/>
      <c r="Q116" s="80"/>
      <c r="R116" s="7"/>
      <c r="S116" s="78" t="s">
        <v>36</v>
      </c>
      <c r="T116" s="79"/>
      <c r="U116" s="80"/>
    </row>
    <row r="117" spans="3:21" x14ac:dyDescent="0.25">
      <c r="C117" s="8" t="s">
        <v>97</v>
      </c>
      <c r="D117" s="7" t="s">
        <v>98</v>
      </c>
      <c r="E117" s="7" t="s">
        <v>99</v>
      </c>
      <c r="F117" s="7"/>
      <c r="G117" s="7" t="s">
        <v>97</v>
      </c>
      <c r="H117" s="7" t="s">
        <v>98</v>
      </c>
      <c r="I117" s="7" t="s">
        <v>99</v>
      </c>
      <c r="J117" s="7"/>
      <c r="K117" s="7" t="s">
        <v>97</v>
      </c>
      <c r="L117" s="7" t="s">
        <v>98</v>
      </c>
      <c r="M117" s="7" t="s">
        <v>99</v>
      </c>
      <c r="N117" s="7"/>
      <c r="O117" s="7" t="s">
        <v>97</v>
      </c>
      <c r="P117" s="7" t="s">
        <v>98</v>
      </c>
      <c r="Q117" s="7" t="s">
        <v>99</v>
      </c>
      <c r="R117" s="7"/>
      <c r="S117" s="7" t="s">
        <v>97</v>
      </c>
      <c r="T117" s="7" t="s">
        <v>98</v>
      </c>
      <c r="U117" s="9" t="s">
        <v>99</v>
      </c>
    </row>
    <row r="118" spans="3:21" ht="60" x14ac:dyDescent="0.25">
      <c r="C118" s="12" t="str">
        <f t="shared" ref="C118:C128" si="5">_xlfn.TEXTJOIN(","&amp;CHAR(10),TRUE,IF(D118=0,"Historic Baseline ("&amp;TEXT(D$40,"0%")&amp;")",""),IF(-MAX(-5,MIN(5,ROUND((D$49-D$40)*100,0)))=D118,"+30% Outflow",""),IF(-MAX(-5,MIN(5,ROUND((D$58-D$40)*100,0)))=D118,"-10% Outflow",""))</f>
        <v/>
      </c>
      <c r="D118" s="7">
        <v>5</v>
      </c>
      <c r="E118" s="10" t="s">
        <v>100</v>
      </c>
      <c r="F118" s="7"/>
      <c r="G118" s="10" t="str">
        <f t="shared" ref="G118:G128" si="6">_xlfn.TEXTJOIN(","&amp;CHAR(10),TRUE,IF(H118=0,"Historic Baseline ("&amp;TEXT(E$40,"0%")&amp;")",""),IF(-MAX(-5,MIN(5,ROUND((E$49-E$40)*100,0)))=H118,"+30% Outflow",""),IF(-MAX(-5,MIN(5,ROUND((E$58-E$40)*100,0)))=H118,"-10% Outflow",""))</f>
        <v/>
      </c>
      <c r="H118" s="7">
        <v>5</v>
      </c>
      <c r="I118" s="10" t="s">
        <v>100</v>
      </c>
      <c r="J118" s="7"/>
      <c r="K118" s="10" t="str">
        <f t="shared" ref="K118:K128" si="7">_xlfn.TEXTJOIN(","&amp;CHAR(10),TRUE,IF(L118=0,"Historic Baseline ("&amp;TEXT(F$40,"0%")&amp;")",""),IF(-MAX(-5,MIN(5,ROUND((F$49-F$40)*100,0)))=L118,"+30% Outflow",""),IF(-MAX(-5,MIN(5,ROUND((F$58-F$40)*100,0)))=L118,"-10% Outflow",""))</f>
        <v/>
      </c>
      <c r="L118" s="7">
        <v>5</v>
      </c>
      <c r="M118" s="10" t="s">
        <v>100</v>
      </c>
      <c r="N118" s="7"/>
      <c r="O118" s="10" t="str">
        <f t="shared" ref="O118:O128" si="8">_xlfn.TEXTJOIN(","&amp;CHAR(10),TRUE,IF(P118=0,"Historic Baseline ("&amp;TEXT(G$40,"0%")&amp;")",""),IF(-MAX(-5,MIN(5,ROUND((G$49-G$40)*100,0)))=P118,"+30% Outflow",""),IF(-MAX(-5,MIN(5,ROUND((G$58-G$40)*100,0)))=P118,"-10% Outflow",""))</f>
        <v/>
      </c>
      <c r="P118" s="7">
        <v>5</v>
      </c>
      <c r="Q118" s="10" t="s">
        <v>100</v>
      </c>
      <c r="R118" s="7"/>
      <c r="S118" s="10" t="str">
        <f t="shared" ref="S118:S128" si="9">_xlfn.TEXTJOIN(","&amp;CHAR(10),TRUE,IF(T118=0,"Historic Baseline ("&amp;TEXT(H$40,"0%")&amp;")",""),IF(-MAX(-5,MIN(5,ROUND((H$49-H$40)*100,0)))=T118,"+30% Outflow",""),IF(-MAX(-5,MIN(5,ROUND((H$58-H$40)*100,0)))=T118,"-10% Outflow",""))</f>
        <v/>
      </c>
      <c r="T118" s="7">
        <v>5</v>
      </c>
      <c r="U118" s="11" t="s">
        <v>100</v>
      </c>
    </row>
    <row r="119" spans="3:21" x14ac:dyDescent="0.25">
      <c r="C119" s="12" t="str">
        <f t="shared" si="5"/>
        <v/>
      </c>
      <c r="D119" s="7">
        <v>4</v>
      </c>
      <c r="E119" s="10" t="s">
        <v>101</v>
      </c>
      <c r="F119" s="7"/>
      <c r="G119" s="10" t="str">
        <f t="shared" si="6"/>
        <v/>
      </c>
      <c r="H119" s="7">
        <v>4</v>
      </c>
      <c r="I119" s="10" t="s">
        <v>101</v>
      </c>
      <c r="J119" s="7"/>
      <c r="K119" s="10" t="str">
        <f t="shared" si="7"/>
        <v/>
      </c>
      <c r="L119" s="7">
        <v>4</v>
      </c>
      <c r="M119" s="10" t="s">
        <v>101</v>
      </c>
      <c r="N119" s="7"/>
      <c r="O119" s="10" t="str">
        <f t="shared" si="8"/>
        <v/>
      </c>
      <c r="P119" s="7">
        <v>4</v>
      </c>
      <c r="Q119" s="10" t="s">
        <v>101</v>
      </c>
      <c r="R119" s="7"/>
      <c r="S119" s="10" t="str">
        <f t="shared" si="9"/>
        <v/>
      </c>
      <c r="T119" s="7">
        <v>4</v>
      </c>
      <c r="U119" s="11" t="s">
        <v>101</v>
      </c>
    </row>
    <row r="120" spans="3:21" x14ac:dyDescent="0.25">
      <c r="C120" s="12" t="str">
        <f t="shared" si="5"/>
        <v/>
      </c>
      <c r="D120" s="7">
        <v>3</v>
      </c>
      <c r="E120" s="10" t="s">
        <v>102</v>
      </c>
      <c r="F120" s="7"/>
      <c r="G120" s="10" t="str">
        <f t="shared" si="6"/>
        <v/>
      </c>
      <c r="H120" s="7">
        <v>3</v>
      </c>
      <c r="I120" s="10" t="s">
        <v>102</v>
      </c>
      <c r="J120" s="7"/>
      <c r="K120" s="10" t="str">
        <f t="shared" si="7"/>
        <v/>
      </c>
      <c r="L120" s="7">
        <v>3</v>
      </c>
      <c r="M120" s="10" t="s">
        <v>102</v>
      </c>
      <c r="N120" s="7"/>
      <c r="O120" s="10" t="str">
        <f t="shared" si="8"/>
        <v/>
      </c>
      <c r="P120" s="7">
        <v>3</v>
      </c>
      <c r="Q120" s="10" t="s">
        <v>102</v>
      </c>
      <c r="R120" s="7"/>
      <c r="S120" s="10" t="str">
        <f t="shared" si="9"/>
        <v/>
      </c>
      <c r="T120" s="7">
        <v>3</v>
      </c>
      <c r="U120" s="11" t="s">
        <v>102</v>
      </c>
    </row>
    <row r="121" spans="3:21" x14ac:dyDescent="0.25">
      <c r="C121" s="12" t="str">
        <f t="shared" si="5"/>
        <v/>
      </c>
      <c r="D121" s="7">
        <v>2</v>
      </c>
      <c r="E121" s="10" t="s">
        <v>103</v>
      </c>
      <c r="F121" s="7"/>
      <c r="G121" s="10" t="str">
        <f t="shared" si="6"/>
        <v/>
      </c>
      <c r="H121" s="7">
        <v>2</v>
      </c>
      <c r="I121" s="10" t="s">
        <v>103</v>
      </c>
      <c r="J121" s="7"/>
      <c r="K121" s="10" t="str">
        <f t="shared" si="7"/>
        <v/>
      </c>
      <c r="L121" s="7">
        <v>2</v>
      </c>
      <c r="M121" s="10" t="s">
        <v>103</v>
      </c>
      <c r="N121" s="7"/>
      <c r="O121" s="10" t="str">
        <f t="shared" si="8"/>
        <v/>
      </c>
      <c r="P121" s="7">
        <v>2</v>
      </c>
      <c r="Q121" s="10" t="s">
        <v>103</v>
      </c>
      <c r="R121" s="7"/>
      <c r="S121" s="10" t="str">
        <f t="shared" si="9"/>
        <v/>
      </c>
      <c r="T121" s="7">
        <v>2</v>
      </c>
      <c r="U121" s="11" t="s">
        <v>103</v>
      </c>
    </row>
    <row r="122" spans="3:21" x14ac:dyDescent="0.25">
      <c r="C122" s="12" t="str">
        <f t="shared" si="5"/>
        <v/>
      </c>
      <c r="D122" s="7">
        <v>1</v>
      </c>
      <c r="E122" s="10" t="s">
        <v>104</v>
      </c>
      <c r="F122" s="7"/>
      <c r="G122" s="10" t="str">
        <f t="shared" si="6"/>
        <v/>
      </c>
      <c r="H122" s="7">
        <v>1</v>
      </c>
      <c r="I122" s="10" t="s">
        <v>104</v>
      </c>
      <c r="J122" s="7"/>
      <c r="K122" s="10" t="str">
        <f t="shared" si="7"/>
        <v/>
      </c>
      <c r="L122" s="7">
        <v>1</v>
      </c>
      <c r="M122" s="10" t="s">
        <v>104</v>
      </c>
      <c r="N122" s="7"/>
      <c r="O122" s="10" t="str">
        <f t="shared" si="8"/>
        <v/>
      </c>
      <c r="P122" s="7">
        <v>1</v>
      </c>
      <c r="Q122" s="10" t="s">
        <v>104</v>
      </c>
      <c r="R122" s="7"/>
      <c r="S122" s="10" t="str">
        <f t="shared" si="9"/>
        <v/>
      </c>
      <c r="T122" s="7">
        <v>1</v>
      </c>
      <c r="U122" s="11" t="s">
        <v>104</v>
      </c>
    </row>
    <row r="123" spans="3:21" ht="105" x14ac:dyDescent="0.25">
      <c r="C123" s="12" t="str">
        <f t="shared" si="5"/>
        <v>Historic Baseline (35%),
+30% Outflow,
-10% Outflow</v>
      </c>
      <c r="D123" s="7">
        <v>0</v>
      </c>
      <c r="E123" s="10" t="s">
        <v>105</v>
      </c>
      <c r="F123" s="7"/>
      <c r="G123" s="10" t="str">
        <f t="shared" si="6"/>
        <v>Historic Baseline (28%)</v>
      </c>
      <c r="H123" s="7">
        <v>0</v>
      </c>
      <c r="I123" s="10" t="s">
        <v>105</v>
      </c>
      <c r="J123" s="7"/>
      <c r="K123" s="10" t="str">
        <f t="shared" si="7"/>
        <v>Historic Baseline (37%),
+30% Outflow,
-10% Outflow</v>
      </c>
      <c r="L123" s="7">
        <v>0</v>
      </c>
      <c r="M123" s="10" t="s">
        <v>105</v>
      </c>
      <c r="N123" s="7"/>
      <c r="O123" s="10" t="str">
        <f t="shared" si="8"/>
        <v>Historic Baseline (34%),
+30% Outflow,
-10% Outflow</v>
      </c>
      <c r="P123" s="7">
        <v>0</v>
      </c>
      <c r="Q123" s="10" t="s">
        <v>105</v>
      </c>
      <c r="R123" s="7"/>
      <c r="S123" s="10" t="str">
        <f t="shared" si="9"/>
        <v>Historic Baseline (40%),
+30% Outflow,
-10% Outflow</v>
      </c>
      <c r="T123" s="7">
        <v>0</v>
      </c>
      <c r="U123" s="11" t="s">
        <v>105</v>
      </c>
    </row>
    <row r="124" spans="3:21" ht="60" x14ac:dyDescent="0.25">
      <c r="C124" s="12" t="str">
        <f t="shared" si="5"/>
        <v/>
      </c>
      <c r="D124" s="7">
        <v>-1</v>
      </c>
      <c r="E124" s="10" t="s">
        <v>106</v>
      </c>
      <c r="F124" s="7"/>
      <c r="G124" s="10" t="str">
        <f t="shared" si="6"/>
        <v>+30% Outflow,
-10% Outflow</v>
      </c>
      <c r="H124" s="7">
        <v>-1</v>
      </c>
      <c r="I124" s="10" t="s">
        <v>106</v>
      </c>
      <c r="J124" s="7"/>
      <c r="K124" s="10" t="str">
        <f t="shared" si="7"/>
        <v/>
      </c>
      <c r="L124" s="7">
        <v>-1</v>
      </c>
      <c r="M124" s="10" t="s">
        <v>106</v>
      </c>
      <c r="N124" s="7"/>
      <c r="O124" s="10" t="str">
        <f t="shared" si="8"/>
        <v/>
      </c>
      <c r="P124" s="7">
        <v>-1</v>
      </c>
      <c r="Q124" s="10" t="s">
        <v>106</v>
      </c>
      <c r="R124" s="7"/>
      <c r="S124" s="10" t="str">
        <f t="shared" si="9"/>
        <v/>
      </c>
      <c r="T124" s="7">
        <v>-1</v>
      </c>
      <c r="U124" s="11" t="s">
        <v>106</v>
      </c>
    </row>
    <row r="125" spans="3:21" x14ac:dyDescent="0.25">
      <c r="C125" s="12" t="str">
        <f t="shared" si="5"/>
        <v/>
      </c>
      <c r="D125" s="7">
        <v>-2</v>
      </c>
      <c r="E125" s="10" t="s">
        <v>107</v>
      </c>
      <c r="F125" s="7"/>
      <c r="G125" s="10" t="str">
        <f t="shared" si="6"/>
        <v/>
      </c>
      <c r="H125" s="7">
        <v>-2</v>
      </c>
      <c r="I125" s="10" t="s">
        <v>107</v>
      </c>
      <c r="J125" s="7"/>
      <c r="K125" s="10" t="str">
        <f t="shared" si="7"/>
        <v/>
      </c>
      <c r="L125" s="7">
        <v>-2</v>
      </c>
      <c r="M125" s="10" t="s">
        <v>107</v>
      </c>
      <c r="N125" s="7"/>
      <c r="O125" s="10" t="str">
        <f t="shared" si="8"/>
        <v/>
      </c>
      <c r="P125" s="7">
        <v>-2</v>
      </c>
      <c r="Q125" s="10" t="s">
        <v>107</v>
      </c>
      <c r="R125" s="7"/>
      <c r="S125" s="10" t="str">
        <f t="shared" si="9"/>
        <v/>
      </c>
      <c r="T125" s="7">
        <v>-2</v>
      </c>
      <c r="U125" s="11" t="s">
        <v>107</v>
      </c>
    </row>
    <row r="126" spans="3:21" x14ac:dyDescent="0.25">
      <c r="C126" s="12" t="str">
        <f t="shared" si="5"/>
        <v/>
      </c>
      <c r="D126" s="7">
        <v>-3</v>
      </c>
      <c r="E126" s="10" t="s">
        <v>108</v>
      </c>
      <c r="F126" s="7"/>
      <c r="G126" s="10" t="str">
        <f t="shared" si="6"/>
        <v/>
      </c>
      <c r="H126" s="7">
        <v>-3</v>
      </c>
      <c r="I126" s="10" t="s">
        <v>108</v>
      </c>
      <c r="J126" s="7"/>
      <c r="K126" s="10" t="str">
        <f t="shared" si="7"/>
        <v/>
      </c>
      <c r="L126" s="7">
        <v>-3</v>
      </c>
      <c r="M126" s="10" t="s">
        <v>108</v>
      </c>
      <c r="N126" s="7"/>
      <c r="O126" s="10" t="str">
        <f t="shared" si="8"/>
        <v/>
      </c>
      <c r="P126" s="7">
        <v>-3</v>
      </c>
      <c r="Q126" s="10" t="s">
        <v>108</v>
      </c>
      <c r="R126" s="7"/>
      <c r="S126" s="10" t="str">
        <f t="shared" si="9"/>
        <v/>
      </c>
      <c r="T126" s="7">
        <v>-3</v>
      </c>
      <c r="U126" s="11" t="s">
        <v>108</v>
      </c>
    </row>
    <row r="127" spans="3:21" x14ac:dyDescent="0.25">
      <c r="C127" s="12" t="str">
        <f t="shared" si="5"/>
        <v/>
      </c>
      <c r="D127" s="7">
        <v>-4</v>
      </c>
      <c r="E127" s="10" t="s">
        <v>109</v>
      </c>
      <c r="F127" s="7"/>
      <c r="G127" s="10" t="str">
        <f t="shared" si="6"/>
        <v/>
      </c>
      <c r="H127" s="7">
        <v>-4</v>
      </c>
      <c r="I127" s="10" t="s">
        <v>109</v>
      </c>
      <c r="J127" s="7"/>
      <c r="K127" s="10" t="str">
        <f t="shared" si="7"/>
        <v/>
      </c>
      <c r="L127" s="7">
        <v>-4</v>
      </c>
      <c r="M127" s="10" t="s">
        <v>109</v>
      </c>
      <c r="N127" s="7"/>
      <c r="O127" s="10" t="str">
        <f t="shared" si="8"/>
        <v/>
      </c>
      <c r="P127" s="7">
        <v>-4</v>
      </c>
      <c r="Q127" s="10" t="s">
        <v>109</v>
      </c>
      <c r="R127" s="7"/>
      <c r="S127" s="10" t="str">
        <f t="shared" si="9"/>
        <v/>
      </c>
      <c r="T127" s="7">
        <v>-4</v>
      </c>
      <c r="U127" s="11" t="s">
        <v>109</v>
      </c>
    </row>
    <row r="128" spans="3:21" ht="60.75" thickBot="1" x14ac:dyDescent="0.3">
      <c r="C128" s="35" t="str">
        <f t="shared" si="5"/>
        <v/>
      </c>
      <c r="D128" s="14">
        <v>-5</v>
      </c>
      <c r="E128" s="15" t="s">
        <v>110</v>
      </c>
      <c r="F128" s="14"/>
      <c r="G128" s="15" t="str">
        <f t="shared" si="6"/>
        <v/>
      </c>
      <c r="H128" s="14">
        <v>-5</v>
      </c>
      <c r="I128" s="15" t="s">
        <v>110</v>
      </c>
      <c r="J128" s="14"/>
      <c r="K128" s="15" t="str">
        <f t="shared" si="7"/>
        <v/>
      </c>
      <c r="L128" s="14">
        <v>-5</v>
      </c>
      <c r="M128" s="15" t="s">
        <v>110</v>
      </c>
      <c r="N128" s="14"/>
      <c r="O128" s="15" t="str">
        <f t="shared" si="8"/>
        <v/>
      </c>
      <c r="P128" s="14">
        <v>-5</v>
      </c>
      <c r="Q128" s="15" t="s">
        <v>110</v>
      </c>
      <c r="R128" s="14"/>
      <c r="S128" s="15" t="str">
        <f t="shared" si="9"/>
        <v/>
      </c>
      <c r="T128" s="14">
        <v>-5</v>
      </c>
      <c r="U128" s="16" t="s">
        <v>110</v>
      </c>
    </row>
    <row r="129" spans="3:21" ht="15.75" thickBot="1" x14ac:dyDescent="0.3"/>
    <row r="130" spans="3:21" ht="15.75" thickBot="1" x14ac:dyDescent="0.3">
      <c r="C130" s="87" t="s">
        <v>91</v>
      </c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9"/>
    </row>
    <row r="131" spans="3:21" ht="15.75" thickBot="1" x14ac:dyDescent="0.3">
      <c r="C131" s="81" t="s">
        <v>88</v>
      </c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3"/>
    </row>
    <row r="132" spans="3:21" ht="15.75" thickBot="1" x14ac:dyDescent="0.3">
      <c r="C132" s="78" t="s">
        <v>49</v>
      </c>
      <c r="D132" s="79"/>
      <c r="E132" s="80"/>
      <c r="F132" s="7"/>
      <c r="G132" s="78" t="s">
        <v>33</v>
      </c>
      <c r="H132" s="79"/>
      <c r="I132" s="80"/>
      <c r="J132" s="7"/>
      <c r="K132" s="78" t="s">
        <v>34</v>
      </c>
      <c r="L132" s="79"/>
      <c r="M132" s="80"/>
      <c r="N132" s="7"/>
      <c r="O132" s="78" t="s">
        <v>35</v>
      </c>
      <c r="P132" s="79"/>
      <c r="Q132" s="80"/>
      <c r="R132" s="7"/>
      <c r="S132" s="78" t="s">
        <v>36</v>
      </c>
      <c r="T132" s="79"/>
      <c r="U132" s="80"/>
    </row>
    <row r="133" spans="3:21" x14ac:dyDescent="0.25">
      <c r="C133" s="8" t="s">
        <v>97</v>
      </c>
      <c r="D133" s="7" t="s">
        <v>98</v>
      </c>
      <c r="E133" s="7" t="s">
        <v>99</v>
      </c>
      <c r="F133" s="7"/>
      <c r="G133" s="7" t="s">
        <v>97</v>
      </c>
      <c r="H133" s="7" t="s">
        <v>98</v>
      </c>
      <c r="I133" s="7" t="s">
        <v>99</v>
      </c>
      <c r="J133" s="7"/>
      <c r="K133" s="7" t="s">
        <v>97</v>
      </c>
      <c r="L133" s="7" t="s">
        <v>98</v>
      </c>
      <c r="M133" s="7" t="s">
        <v>99</v>
      </c>
      <c r="N133" s="7"/>
      <c r="O133" s="7" t="s">
        <v>97</v>
      </c>
      <c r="P133" s="7" t="s">
        <v>98</v>
      </c>
      <c r="Q133" s="7" t="s">
        <v>99</v>
      </c>
      <c r="R133" s="7"/>
      <c r="S133" s="7" t="s">
        <v>97</v>
      </c>
      <c r="T133" s="7" t="s">
        <v>98</v>
      </c>
      <c r="U133" s="9" t="s">
        <v>99</v>
      </c>
    </row>
    <row r="134" spans="3:21" ht="60" x14ac:dyDescent="0.25">
      <c r="C134" s="12" t="str">
        <f t="shared" ref="C134:C144" si="10">_xlfn.TEXTJOIN(","&amp;CHAR(10),TRUE,IF(D134=0,"Historic Baseline ("&amp;TEXT(I$40,"0%")&amp;")",""),IF(-MAX(-5,MIN(5,ROUND((I$49-I$40)*100,0)))=D134,"+30% Outflow",""),IF(-MAX(-5,MIN(5,ROUND((I$58-I$40)*100,0)))=D134,"-10% Outflow",""))</f>
        <v/>
      </c>
      <c r="D134" s="7">
        <v>5</v>
      </c>
      <c r="E134" s="10" t="s">
        <v>100</v>
      </c>
      <c r="F134" s="7"/>
      <c r="G134" s="10" t="str">
        <f t="shared" ref="G134:G144" si="11">_xlfn.TEXTJOIN(","&amp;CHAR(10),TRUE,IF(H134=0,"Historic Baseline ("&amp;TEXT(J$40,"0%")&amp;")",""),IF(-MAX(-5,MIN(5,ROUND((J$49-J$40)*100,0)))=H134,"+30% Outflow",""),IF(-MAX(-5,MIN(5,ROUND((J$58-J$40)*100,0)))=H134,"-10% Outflow",""))</f>
        <v/>
      </c>
      <c r="H134" s="7">
        <v>5</v>
      </c>
      <c r="I134" s="10" t="s">
        <v>100</v>
      </c>
      <c r="J134" s="7"/>
      <c r="K134" s="10" t="str">
        <f t="shared" ref="K134:K144" si="12">_xlfn.TEXTJOIN(","&amp;CHAR(10),TRUE,IF(L134=0,"Historic Baseline ("&amp;TEXT(K$40,"0%")&amp;")",""),IF(-MAX(-5,MIN(5,ROUND((K$49-K$40)*100,0)))=L134,"+30% Outflow",""),IF(-MAX(-5,MIN(5,ROUND((K$58-K$40)*100,0)))=L134,"-10% Outflow",""))</f>
        <v/>
      </c>
      <c r="L134" s="7">
        <v>5</v>
      </c>
      <c r="M134" s="10" t="s">
        <v>100</v>
      </c>
      <c r="N134" s="7"/>
      <c r="O134" s="10" t="str">
        <f t="shared" ref="O134:O144" si="13">_xlfn.TEXTJOIN(","&amp;CHAR(10),TRUE,IF(P134=0,"Historic Baseline ("&amp;TEXT(L$40,"0%")&amp;")",""),IF(-MAX(-5,MIN(5,ROUND((L$49-L$40)*100,0)))=P134,"+30% Outflow",""),IF(-MAX(-5,MIN(5,ROUND((L$58-L$40)*100,0)))=P134,"-10% Outflow",""))</f>
        <v/>
      </c>
      <c r="P134" s="7">
        <v>5</v>
      </c>
      <c r="Q134" s="10" t="s">
        <v>100</v>
      </c>
      <c r="R134" s="7"/>
      <c r="S134" s="10" t="str">
        <f t="shared" ref="S134:S144" si="14">_xlfn.TEXTJOIN(","&amp;CHAR(10),TRUE,IF(T134=0,"Historic Baseline ("&amp;TEXT(M$40,"0%")&amp;")",""),IF(-MAX(-5,MIN(5,ROUND((M$49-M$40)*100,0)))=T134,"+30% Outflow",""),IF(-MAX(-5,MIN(5,ROUND((M$58-M$40)*100,0)))=T134,"-10% Outflow",""))</f>
        <v/>
      </c>
      <c r="T134" s="7">
        <v>5</v>
      </c>
      <c r="U134" s="11" t="s">
        <v>100</v>
      </c>
    </row>
    <row r="135" spans="3:21" x14ac:dyDescent="0.25">
      <c r="C135" s="12" t="str">
        <f t="shared" si="10"/>
        <v/>
      </c>
      <c r="D135" s="7">
        <v>4</v>
      </c>
      <c r="E135" s="10" t="s">
        <v>101</v>
      </c>
      <c r="F135" s="7"/>
      <c r="G135" s="10" t="str">
        <f t="shared" si="11"/>
        <v/>
      </c>
      <c r="H135" s="7">
        <v>4</v>
      </c>
      <c r="I135" s="10" t="s">
        <v>101</v>
      </c>
      <c r="J135" s="7"/>
      <c r="K135" s="10" t="str">
        <f t="shared" si="12"/>
        <v/>
      </c>
      <c r="L135" s="7">
        <v>4</v>
      </c>
      <c r="M135" s="10" t="s">
        <v>101</v>
      </c>
      <c r="N135" s="7"/>
      <c r="O135" s="10" t="str">
        <f t="shared" si="13"/>
        <v/>
      </c>
      <c r="P135" s="7">
        <v>4</v>
      </c>
      <c r="Q135" s="10" t="s">
        <v>101</v>
      </c>
      <c r="R135" s="7"/>
      <c r="S135" s="10" t="str">
        <f t="shared" si="14"/>
        <v/>
      </c>
      <c r="T135" s="7">
        <v>4</v>
      </c>
      <c r="U135" s="11" t="s">
        <v>101</v>
      </c>
    </row>
    <row r="136" spans="3:21" x14ac:dyDescent="0.25">
      <c r="C136" s="12" t="str">
        <f t="shared" si="10"/>
        <v/>
      </c>
      <c r="D136" s="7">
        <v>3</v>
      </c>
      <c r="E136" s="10" t="s">
        <v>102</v>
      </c>
      <c r="F136" s="7"/>
      <c r="G136" s="10" t="str">
        <f t="shared" si="11"/>
        <v/>
      </c>
      <c r="H136" s="7">
        <v>3</v>
      </c>
      <c r="I136" s="10" t="s">
        <v>102</v>
      </c>
      <c r="J136" s="7"/>
      <c r="K136" s="10" t="str">
        <f t="shared" si="12"/>
        <v/>
      </c>
      <c r="L136" s="7">
        <v>3</v>
      </c>
      <c r="M136" s="10" t="s">
        <v>102</v>
      </c>
      <c r="N136" s="7"/>
      <c r="O136" s="10" t="str">
        <f t="shared" si="13"/>
        <v/>
      </c>
      <c r="P136" s="7">
        <v>3</v>
      </c>
      <c r="Q136" s="10" t="s">
        <v>102</v>
      </c>
      <c r="R136" s="7"/>
      <c r="S136" s="10" t="str">
        <f t="shared" si="14"/>
        <v/>
      </c>
      <c r="T136" s="7">
        <v>3</v>
      </c>
      <c r="U136" s="11" t="s">
        <v>102</v>
      </c>
    </row>
    <row r="137" spans="3:21" x14ac:dyDescent="0.25">
      <c r="C137" s="12" t="str">
        <f t="shared" si="10"/>
        <v/>
      </c>
      <c r="D137" s="7">
        <v>2</v>
      </c>
      <c r="E137" s="10" t="s">
        <v>103</v>
      </c>
      <c r="F137" s="7"/>
      <c r="G137" s="10" t="str">
        <f t="shared" si="11"/>
        <v/>
      </c>
      <c r="H137" s="7">
        <v>2</v>
      </c>
      <c r="I137" s="10" t="s">
        <v>103</v>
      </c>
      <c r="J137" s="7"/>
      <c r="K137" s="10" t="str">
        <f t="shared" si="12"/>
        <v/>
      </c>
      <c r="L137" s="7">
        <v>2</v>
      </c>
      <c r="M137" s="10" t="s">
        <v>103</v>
      </c>
      <c r="N137" s="7"/>
      <c r="O137" s="10" t="str">
        <f t="shared" si="13"/>
        <v/>
      </c>
      <c r="P137" s="7">
        <v>2</v>
      </c>
      <c r="Q137" s="10" t="s">
        <v>103</v>
      </c>
      <c r="R137" s="7"/>
      <c r="S137" s="10" t="str">
        <f t="shared" si="14"/>
        <v/>
      </c>
      <c r="T137" s="7">
        <v>2</v>
      </c>
      <c r="U137" s="11" t="s">
        <v>103</v>
      </c>
    </row>
    <row r="138" spans="3:21" ht="30" x14ac:dyDescent="0.25">
      <c r="C138" s="12" t="str">
        <f t="shared" si="10"/>
        <v/>
      </c>
      <c r="D138" s="7">
        <v>1</v>
      </c>
      <c r="E138" s="10" t="s">
        <v>104</v>
      </c>
      <c r="F138" s="7"/>
      <c r="G138" s="10" t="str">
        <f t="shared" si="11"/>
        <v/>
      </c>
      <c r="H138" s="7">
        <v>1</v>
      </c>
      <c r="I138" s="10" t="s">
        <v>104</v>
      </c>
      <c r="J138" s="7"/>
      <c r="K138" s="10" t="str">
        <f t="shared" si="12"/>
        <v>+30% Outflow</v>
      </c>
      <c r="L138" s="7">
        <v>1</v>
      </c>
      <c r="M138" s="10" t="s">
        <v>104</v>
      </c>
      <c r="N138" s="7"/>
      <c r="O138" s="10" t="str">
        <f t="shared" si="13"/>
        <v/>
      </c>
      <c r="P138" s="7">
        <v>1</v>
      </c>
      <c r="Q138" s="10" t="s">
        <v>104</v>
      </c>
      <c r="R138" s="7"/>
      <c r="S138" s="10" t="str">
        <f t="shared" si="14"/>
        <v/>
      </c>
      <c r="T138" s="7">
        <v>1</v>
      </c>
      <c r="U138" s="11" t="s">
        <v>104</v>
      </c>
    </row>
    <row r="139" spans="3:21" ht="105" x14ac:dyDescent="0.25">
      <c r="C139" s="12" t="str">
        <f t="shared" si="10"/>
        <v>Historic Baseline (5%),
+30% Outflow,
-10% Outflow</v>
      </c>
      <c r="D139" s="7">
        <v>0</v>
      </c>
      <c r="E139" s="10" t="s">
        <v>105</v>
      </c>
      <c r="F139" s="7"/>
      <c r="G139" s="10" t="str">
        <f t="shared" si="11"/>
        <v>Historic Baseline (3%),
+30% Outflow,
-10% Outflow</v>
      </c>
      <c r="H139" s="7">
        <v>0</v>
      </c>
      <c r="I139" s="10" t="s">
        <v>105</v>
      </c>
      <c r="J139" s="7"/>
      <c r="K139" s="10" t="str">
        <f t="shared" si="12"/>
        <v>Historic Baseline (5%),
-10% Outflow</v>
      </c>
      <c r="L139" s="7">
        <v>0</v>
      </c>
      <c r="M139" s="10" t="s">
        <v>105</v>
      </c>
      <c r="N139" s="7"/>
      <c r="O139" s="10" t="str">
        <f t="shared" si="13"/>
        <v>Historic Baseline (2%),
+30% Outflow,
-10% Outflow</v>
      </c>
      <c r="P139" s="7">
        <v>0</v>
      </c>
      <c r="Q139" s="10" t="s">
        <v>105</v>
      </c>
      <c r="R139" s="7"/>
      <c r="S139" s="10" t="str">
        <f t="shared" si="14"/>
        <v>Historic Baseline (8%),
+30% Outflow,
-10% Outflow</v>
      </c>
      <c r="T139" s="7">
        <v>0</v>
      </c>
      <c r="U139" s="11" t="s">
        <v>105</v>
      </c>
    </row>
    <row r="140" spans="3:21" ht="45" x14ac:dyDescent="0.25">
      <c r="C140" s="12" t="str">
        <f t="shared" si="10"/>
        <v/>
      </c>
      <c r="D140" s="7">
        <v>-1</v>
      </c>
      <c r="E140" s="10" t="s">
        <v>106</v>
      </c>
      <c r="F140" s="7"/>
      <c r="G140" s="10" t="str">
        <f t="shared" si="11"/>
        <v/>
      </c>
      <c r="H140" s="7">
        <v>-1</v>
      </c>
      <c r="I140" s="10" t="s">
        <v>106</v>
      </c>
      <c r="J140" s="7"/>
      <c r="K140" s="10" t="str">
        <f t="shared" si="12"/>
        <v/>
      </c>
      <c r="L140" s="7">
        <v>-1</v>
      </c>
      <c r="M140" s="10" t="s">
        <v>106</v>
      </c>
      <c r="N140" s="7"/>
      <c r="O140" s="10" t="str">
        <f t="shared" si="13"/>
        <v/>
      </c>
      <c r="P140" s="7">
        <v>-1</v>
      </c>
      <c r="Q140" s="10" t="s">
        <v>106</v>
      </c>
      <c r="R140" s="7"/>
      <c r="S140" s="10" t="str">
        <f t="shared" si="14"/>
        <v/>
      </c>
      <c r="T140" s="7">
        <v>-1</v>
      </c>
      <c r="U140" s="11" t="s">
        <v>106</v>
      </c>
    </row>
    <row r="141" spans="3:21" x14ac:dyDescent="0.25">
      <c r="C141" s="12" t="str">
        <f t="shared" si="10"/>
        <v/>
      </c>
      <c r="D141" s="7">
        <v>-2</v>
      </c>
      <c r="E141" s="10" t="s">
        <v>107</v>
      </c>
      <c r="F141" s="7"/>
      <c r="G141" s="10" t="str">
        <f t="shared" si="11"/>
        <v/>
      </c>
      <c r="H141" s="7">
        <v>-2</v>
      </c>
      <c r="I141" s="10" t="s">
        <v>107</v>
      </c>
      <c r="J141" s="7"/>
      <c r="K141" s="10" t="str">
        <f t="shared" si="12"/>
        <v/>
      </c>
      <c r="L141" s="7">
        <v>-2</v>
      </c>
      <c r="M141" s="10" t="s">
        <v>107</v>
      </c>
      <c r="N141" s="7"/>
      <c r="O141" s="10" t="str">
        <f t="shared" si="13"/>
        <v/>
      </c>
      <c r="P141" s="7">
        <v>-2</v>
      </c>
      <c r="Q141" s="10" t="s">
        <v>107</v>
      </c>
      <c r="R141" s="7"/>
      <c r="S141" s="10" t="str">
        <f t="shared" si="14"/>
        <v/>
      </c>
      <c r="T141" s="7">
        <v>-2</v>
      </c>
      <c r="U141" s="11" t="s">
        <v>107</v>
      </c>
    </row>
    <row r="142" spans="3:21" x14ac:dyDescent="0.25">
      <c r="C142" s="12" t="str">
        <f t="shared" si="10"/>
        <v/>
      </c>
      <c r="D142" s="7">
        <v>-3</v>
      </c>
      <c r="E142" s="10" t="s">
        <v>108</v>
      </c>
      <c r="F142" s="7"/>
      <c r="G142" s="10" t="str">
        <f t="shared" si="11"/>
        <v/>
      </c>
      <c r="H142" s="7">
        <v>-3</v>
      </c>
      <c r="I142" s="10" t="s">
        <v>108</v>
      </c>
      <c r="J142" s="7"/>
      <c r="K142" s="10" t="str">
        <f t="shared" si="12"/>
        <v/>
      </c>
      <c r="L142" s="7">
        <v>-3</v>
      </c>
      <c r="M142" s="10" t="s">
        <v>108</v>
      </c>
      <c r="N142" s="7"/>
      <c r="O142" s="10" t="str">
        <f t="shared" si="13"/>
        <v/>
      </c>
      <c r="P142" s="7">
        <v>-3</v>
      </c>
      <c r="Q142" s="10" t="s">
        <v>108</v>
      </c>
      <c r="R142" s="7"/>
      <c r="S142" s="10" t="str">
        <f t="shared" si="14"/>
        <v/>
      </c>
      <c r="T142" s="7">
        <v>-3</v>
      </c>
      <c r="U142" s="11" t="s">
        <v>108</v>
      </c>
    </row>
    <row r="143" spans="3:21" x14ac:dyDescent="0.25">
      <c r="C143" s="12" t="str">
        <f t="shared" si="10"/>
        <v/>
      </c>
      <c r="D143" s="7">
        <v>-4</v>
      </c>
      <c r="E143" s="10" t="s">
        <v>109</v>
      </c>
      <c r="F143" s="7"/>
      <c r="G143" s="10" t="str">
        <f t="shared" si="11"/>
        <v/>
      </c>
      <c r="H143" s="7">
        <v>-4</v>
      </c>
      <c r="I143" s="10" t="s">
        <v>109</v>
      </c>
      <c r="J143" s="7"/>
      <c r="K143" s="10" t="str">
        <f t="shared" si="12"/>
        <v/>
      </c>
      <c r="L143" s="7">
        <v>-4</v>
      </c>
      <c r="M143" s="10" t="s">
        <v>109</v>
      </c>
      <c r="N143" s="7"/>
      <c r="O143" s="10" t="str">
        <f t="shared" si="13"/>
        <v/>
      </c>
      <c r="P143" s="7">
        <v>-4</v>
      </c>
      <c r="Q143" s="10" t="s">
        <v>109</v>
      </c>
      <c r="R143" s="7"/>
      <c r="S143" s="10" t="str">
        <f t="shared" si="14"/>
        <v/>
      </c>
      <c r="T143" s="7">
        <v>-4</v>
      </c>
      <c r="U143" s="11" t="s">
        <v>109</v>
      </c>
    </row>
    <row r="144" spans="3:21" ht="60.75" thickBot="1" x14ac:dyDescent="0.3">
      <c r="C144" s="35" t="str">
        <f t="shared" si="10"/>
        <v/>
      </c>
      <c r="D144" s="14">
        <v>-5</v>
      </c>
      <c r="E144" s="15" t="s">
        <v>110</v>
      </c>
      <c r="F144" s="14"/>
      <c r="G144" s="15" t="str">
        <f t="shared" si="11"/>
        <v/>
      </c>
      <c r="H144" s="14">
        <v>-5</v>
      </c>
      <c r="I144" s="15" t="s">
        <v>110</v>
      </c>
      <c r="J144" s="14"/>
      <c r="K144" s="15" t="str">
        <f t="shared" si="12"/>
        <v/>
      </c>
      <c r="L144" s="14">
        <v>-5</v>
      </c>
      <c r="M144" s="15" t="s">
        <v>110</v>
      </c>
      <c r="N144" s="14"/>
      <c r="O144" s="15" t="str">
        <f t="shared" si="13"/>
        <v/>
      </c>
      <c r="P144" s="14">
        <v>-5</v>
      </c>
      <c r="Q144" s="15" t="s">
        <v>110</v>
      </c>
      <c r="R144" s="14"/>
      <c r="S144" s="15" t="str">
        <f t="shared" si="14"/>
        <v/>
      </c>
      <c r="T144" s="14">
        <v>-5</v>
      </c>
      <c r="U144" s="16" t="s">
        <v>110</v>
      </c>
    </row>
    <row r="145" spans="3:21" ht="15.75" thickBot="1" x14ac:dyDescent="0.3"/>
    <row r="146" spans="3:21" ht="15.75" thickBot="1" x14ac:dyDescent="0.3">
      <c r="C146" s="87" t="s">
        <v>91</v>
      </c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9"/>
    </row>
    <row r="147" spans="3:21" ht="15.75" thickBot="1" x14ac:dyDescent="0.3">
      <c r="C147" s="75" t="s">
        <v>89</v>
      </c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7"/>
    </row>
    <row r="148" spans="3:21" ht="15.75" thickBot="1" x14ac:dyDescent="0.3">
      <c r="C148" s="78" t="s">
        <v>49</v>
      </c>
      <c r="D148" s="79"/>
      <c r="E148" s="80"/>
      <c r="F148" s="7"/>
      <c r="G148" s="78" t="s">
        <v>33</v>
      </c>
      <c r="H148" s="79"/>
      <c r="I148" s="80"/>
      <c r="J148" s="7"/>
      <c r="K148" s="78" t="s">
        <v>34</v>
      </c>
      <c r="L148" s="79"/>
      <c r="M148" s="80"/>
      <c r="N148" s="7"/>
      <c r="O148" s="78" t="s">
        <v>35</v>
      </c>
      <c r="P148" s="79"/>
      <c r="Q148" s="80"/>
      <c r="R148" s="7"/>
      <c r="S148" s="78" t="s">
        <v>36</v>
      </c>
      <c r="T148" s="79"/>
      <c r="U148" s="80"/>
    </row>
    <row r="149" spans="3:21" x14ac:dyDescent="0.25">
      <c r="C149" s="8" t="s">
        <v>97</v>
      </c>
      <c r="D149" s="7" t="s">
        <v>98</v>
      </c>
      <c r="E149" s="7" t="s">
        <v>99</v>
      </c>
      <c r="F149" s="7"/>
      <c r="G149" s="7" t="s">
        <v>97</v>
      </c>
      <c r="H149" s="7" t="s">
        <v>98</v>
      </c>
      <c r="I149" s="7" t="s">
        <v>99</v>
      </c>
      <c r="J149" s="7"/>
      <c r="K149" s="7" t="s">
        <v>97</v>
      </c>
      <c r="L149" s="7" t="s">
        <v>98</v>
      </c>
      <c r="M149" s="7" t="s">
        <v>99</v>
      </c>
      <c r="N149" s="7"/>
      <c r="O149" s="7" t="s">
        <v>97</v>
      </c>
      <c r="P149" s="7" t="s">
        <v>98</v>
      </c>
      <c r="Q149" s="7" t="s">
        <v>99</v>
      </c>
      <c r="R149" s="7"/>
      <c r="S149" s="7" t="s">
        <v>97</v>
      </c>
      <c r="T149" s="7" t="s">
        <v>98</v>
      </c>
      <c r="U149" s="9" t="s">
        <v>99</v>
      </c>
    </row>
    <row r="150" spans="3:21" ht="60" x14ac:dyDescent="0.25">
      <c r="C150" s="12" t="str">
        <f t="shared" ref="C150:C160" si="15">_xlfn.TEXTJOIN(","&amp;CHAR(10),TRUE,IF(D150=0,"Historic Baseline ("&amp;TEXT(N$40,"0%")&amp;")",""),IF(-MAX(-5,MIN(5,ROUND((N$49-N$40)*100,0)))=D150,"+30% Outflow",""),IF(-MAX(-5,MIN(5,ROUND((N$58-N$40)*100,0)))=D150,"-10% Outflow",""))</f>
        <v/>
      </c>
      <c r="D150" s="7">
        <v>5</v>
      </c>
      <c r="E150" s="10" t="s">
        <v>100</v>
      </c>
      <c r="F150" s="7"/>
      <c r="G150" s="10" t="str">
        <f t="shared" ref="G150:G160" si="16">_xlfn.TEXTJOIN(","&amp;CHAR(10),TRUE,IF(H150=0,"Historic Baseline ("&amp;TEXT(O$40,"0%")&amp;")",""),IF(-MAX(-5,MIN(5,ROUND((O$49-O$40)*100,0)))=H150,"+30% Outflow",""),IF(-MAX(-5,MIN(5,ROUND((O$58-O$40)*100,0)))=H150,"-10% Outflow",""))</f>
        <v/>
      </c>
      <c r="H150" s="7">
        <v>5</v>
      </c>
      <c r="I150" s="10" t="s">
        <v>100</v>
      </c>
      <c r="J150" s="7"/>
      <c r="K150" s="10" t="str">
        <f t="shared" ref="K150:K160" si="17">_xlfn.TEXTJOIN(","&amp;CHAR(10),TRUE,IF(L150=0,"Historic Baseline ("&amp;TEXT(P$40,"0%")&amp;")",""),IF(-MAX(-5,MIN(5,ROUND((P$49-P$40)*100,0)))=L150,"+30% Outflow",""),IF(-MAX(-5,MIN(5,ROUND((P$58-P$40)*100,0)))=L150,"-10% Outflow",""))</f>
        <v/>
      </c>
      <c r="L150" s="7">
        <v>5</v>
      </c>
      <c r="M150" s="10" t="s">
        <v>100</v>
      </c>
      <c r="N150" s="7"/>
      <c r="O150" s="10" t="str">
        <f t="shared" ref="O150:O160" si="18">_xlfn.TEXTJOIN(","&amp;CHAR(10),TRUE,IF(P150=0,"Historic Baseline ("&amp;TEXT(Q$40,"0%")&amp;")",""),IF(-MAX(-5,MIN(5,ROUND((Q$49-Q$40)*100,0)))=P150,"+30% Outflow",""),IF(-MAX(-5,MIN(5,ROUND((Q$58-Q$40)*100,0)))=P150,"-10% Outflow",""))</f>
        <v/>
      </c>
      <c r="P150" s="7">
        <v>5</v>
      </c>
      <c r="Q150" s="10" t="s">
        <v>100</v>
      </c>
      <c r="R150" s="7"/>
      <c r="S150" s="10" t="str">
        <f t="shared" ref="S150:S160" si="19">_xlfn.TEXTJOIN(","&amp;CHAR(10),TRUE,IF(T150=0,"Historic Baseline ("&amp;TEXT(R$40,"0%")&amp;")",""),IF(-MAX(-5,MIN(5,ROUND((R$49-R$40)*100,0)))=T150,"+30% Outflow",""),IF(-MAX(-5,MIN(5,ROUND((R$58-R$40)*100,0)))=T150,"-10% Outflow",""))</f>
        <v/>
      </c>
      <c r="T150" s="7">
        <v>5</v>
      </c>
      <c r="U150" s="11" t="s">
        <v>100</v>
      </c>
    </row>
    <row r="151" spans="3:21" x14ac:dyDescent="0.25">
      <c r="C151" s="12" t="str">
        <f t="shared" si="15"/>
        <v/>
      </c>
      <c r="D151" s="7">
        <v>4</v>
      </c>
      <c r="E151" s="10" t="s">
        <v>101</v>
      </c>
      <c r="F151" s="7"/>
      <c r="G151" s="10" t="str">
        <f t="shared" si="16"/>
        <v/>
      </c>
      <c r="H151" s="7">
        <v>4</v>
      </c>
      <c r="I151" s="10" t="s">
        <v>101</v>
      </c>
      <c r="J151" s="7"/>
      <c r="K151" s="10" t="str">
        <f t="shared" si="17"/>
        <v/>
      </c>
      <c r="L151" s="7">
        <v>4</v>
      </c>
      <c r="M151" s="10" t="s">
        <v>101</v>
      </c>
      <c r="N151" s="7"/>
      <c r="O151" s="10" t="str">
        <f t="shared" si="18"/>
        <v/>
      </c>
      <c r="P151" s="7">
        <v>4</v>
      </c>
      <c r="Q151" s="10" t="s">
        <v>101</v>
      </c>
      <c r="R151" s="7"/>
      <c r="S151" s="10" t="str">
        <f t="shared" si="19"/>
        <v/>
      </c>
      <c r="T151" s="7">
        <v>4</v>
      </c>
      <c r="U151" s="11" t="s">
        <v>101</v>
      </c>
    </row>
    <row r="152" spans="3:21" x14ac:dyDescent="0.25">
      <c r="C152" s="12" t="str">
        <f t="shared" si="15"/>
        <v/>
      </c>
      <c r="D152" s="7">
        <v>3</v>
      </c>
      <c r="E152" s="10" t="s">
        <v>102</v>
      </c>
      <c r="F152" s="7"/>
      <c r="G152" s="10" t="str">
        <f t="shared" si="16"/>
        <v/>
      </c>
      <c r="H152" s="7">
        <v>3</v>
      </c>
      <c r="I152" s="10" t="s">
        <v>102</v>
      </c>
      <c r="J152" s="7"/>
      <c r="K152" s="10" t="str">
        <f t="shared" si="17"/>
        <v/>
      </c>
      <c r="L152" s="7">
        <v>3</v>
      </c>
      <c r="M152" s="10" t="s">
        <v>102</v>
      </c>
      <c r="N152" s="7"/>
      <c r="O152" s="10" t="str">
        <f t="shared" si="18"/>
        <v/>
      </c>
      <c r="P152" s="7">
        <v>3</v>
      </c>
      <c r="Q152" s="10" t="s">
        <v>102</v>
      </c>
      <c r="R152" s="7"/>
      <c r="S152" s="10" t="str">
        <f t="shared" si="19"/>
        <v/>
      </c>
      <c r="T152" s="7">
        <v>3</v>
      </c>
      <c r="U152" s="11" t="s">
        <v>102</v>
      </c>
    </row>
    <row r="153" spans="3:21" x14ac:dyDescent="0.25">
      <c r="C153" s="12" t="str">
        <f t="shared" si="15"/>
        <v/>
      </c>
      <c r="D153" s="7">
        <v>2</v>
      </c>
      <c r="E153" s="10" t="s">
        <v>103</v>
      </c>
      <c r="F153" s="7"/>
      <c r="G153" s="10" t="str">
        <f t="shared" si="16"/>
        <v/>
      </c>
      <c r="H153" s="7">
        <v>2</v>
      </c>
      <c r="I153" s="10" t="s">
        <v>103</v>
      </c>
      <c r="J153" s="7"/>
      <c r="K153" s="10" t="str">
        <f t="shared" si="17"/>
        <v/>
      </c>
      <c r="L153" s="7">
        <v>2</v>
      </c>
      <c r="M153" s="10" t="s">
        <v>103</v>
      </c>
      <c r="N153" s="7"/>
      <c r="O153" s="10" t="str">
        <f t="shared" si="18"/>
        <v/>
      </c>
      <c r="P153" s="7">
        <v>2</v>
      </c>
      <c r="Q153" s="10" t="s">
        <v>103</v>
      </c>
      <c r="R153" s="7"/>
      <c r="S153" s="10" t="str">
        <f t="shared" si="19"/>
        <v/>
      </c>
      <c r="T153" s="7">
        <v>2</v>
      </c>
      <c r="U153" s="11" t="s">
        <v>103</v>
      </c>
    </row>
    <row r="154" spans="3:21" x14ac:dyDescent="0.25">
      <c r="C154" s="12" t="str">
        <f t="shared" si="15"/>
        <v/>
      </c>
      <c r="D154" s="7">
        <v>1</v>
      </c>
      <c r="E154" s="10" t="s">
        <v>104</v>
      </c>
      <c r="F154" s="7"/>
      <c r="G154" s="10" t="str">
        <f t="shared" si="16"/>
        <v/>
      </c>
      <c r="H154" s="7">
        <v>1</v>
      </c>
      <c r="I154" s="10" t="s">
        <v>104</v>
      </c>
      <c r="J154" s="7"/>
      <c r="K154" s="10" t="str">
        <f t="shared" si="17"/>
        <v/>
      </c>
      <c r="L154" s="7">
        <v>1</v>
      </c>
      <c r="M154" s="10" t="s">
        <v>104</v>
      </c>
      <c r="N154" s="7"/>
      <c r="O154" s="10" t="str">
        <f t="shared" si="18"/>
        <v/>
      </c>
      <c r="P154" s="7">
        <v>1</v>
      </c>
      <c r="Q154" s="10" t="s">
        <v>104</v>
      </c>
      <c r="R154" s="7"/>
      <c r="S154" s="10" t="str">
        <f t="shared" si="19"/>
        <v/>
      </c>
      <c r="T154" s="7">
        <v>1</v>
      </c>
      <c r="U154" s="11" t="s">
        <v>104</v>
      </c>
    </row>
    <row r="155" spans="3:21" ht="105" x14ac:dyDescent="0.25">
      <c r="C155" s="12" t="str">
        <f t="shared" si="15"/>
        <v>Historic Baseline (71%),
-10% Outflow</v>
      </c>
      <c r="D155" s="7">
        <v>0</v>
      </c>
      <c r="E155" s="10" t="s">
        <v>105</v>
      </c>
      <c r="F155" s="7"/>
      <c r="G155" s="10" t="str">
        <f t="shared" si="16"/>
        <v>Historic Baseline (58%)</v>
      </c>
      <c r="H155" s="7">
        <v>0</v>
      </c>
      <c r="I155" s="10" t="s">
        <v>105</v>
      </c>
      <c r="J155" s="7"/>
      <c r="K155" s="10" t="str">
        <f t="shared" si="17"/>
        <v>Historic Baseline (75%),
+30% Outflow,
-10% Outflow</v>
      </c>
      <c r="L155" s="7">
        <v>0</v>
      </c>
      <c r="M155" s="10" t="s">
        <v>105</v>
      </c>
      <c r="N155" s="7"/>
      <c r="O155" s="10" t="str">
        <f t="shared" si="18"/>
        <v>Historic Baseline (72%),
+30% Outflow,
-10% Outflow</v>
      </c>
      <c r="P155" s="7">
        <v>0</v>
      </c>
      <c r="Q155" s="10" t="s">
        <v>105</v>
      </c>
      <c r="R155" s="7"/>
      <c r="S155" s="10" t="str">
        <f t="shared" si="19"/>
        <v>Historic Baseline (78%),
+30% Outflow,
-10% Outflow</v>
      </c>
      <c r="T155" s="7">
        <v>0</v>
      </c>
      <c r="U155" s="11" t="s">
        <v>105</v>
      </c>
    </row>
    <row r="156" spans="3:21" ht="45" x14ac:dyDescent="0.25">
      <c r="C156" s="12" t="str">
        <f t="shared" si="15"/>
        <v>+30% Outflow</v>
      </c>
      <c r="D156" s="7">
        <v>-1</v>
      </c>
      <c r="E156" s="10" t="s">
        <v>106</v>
      </c>
      <c r="F156" s="7"/>
      <c r="G156" s="10" t="str">
        <f t="shared" si="16"/>
        <v/>
      </c>
      <c r="H156" s="7">
        <v>-1</v>
      </c>
      <c r="I156" s="10" t="s">
        <v>106</v>
      </c>
      <c r="J156" s="7"/>
      <c r="K156" s="10" t="str">
        <f t="shared" si="17"/>
        <v/>
      </c>
      <c r="L156" s="7">
        <v>-1</v>
      </c>
      <c r="M156" s="10" t="s">
        <v>106</v>
      </c>
      <c r="N156" s="7"/>
      <c r="O156" s="10" t="str">
        <f t="shared" si="18"/>
        <v/>
      </c>
      <c r="P156" s="7">
        <v>-1</v>
      </c>
      <c r="Q156" s="10" t="s">
        <v>106</v>
      </c>
      <c r="R156" s="7"/>
      <c r="S156" s="10" t="str">
        <f t="shared" si="19"/>
        <v/>
      </c>
      <c r="T156" s="7">
        <v>-1</v>
      </c>
      <c r="U156" s="11" t="s">
        <v>106</v>
      </c>
    </row>
    <row r="157" spans="3:21" ht="60" x14ac:dyDescent="0.25">
      <c r="C157" s="12" t="str">
        <f t="shared" si="15"/>
        <v/>
      </c>
      <c r="D157" s="7">
        <v>-2</v>
      </c>
      <c r="E157" s="10" t="s">
        <v>107</v>
      </c>
      <c r="F157" s="7"/>
      <c r="G157" s="10" t="str">
        <f t="shared" si="16"/>
        <v>+30% Outflow,
-10% Outflow</v>
      </c>
      <c r="H157" s="7">
        <v>-2</v>
      </c>
      <c r="I157" s="10" t="s">
        <v>107</v>
      </c>
      <c r="J157" s="7"/>
      <c r="K157" s="10" t="str">
        <f t="shared" si="17"/>
        <v/>
      </c>
      <c r="L157" s="7">
        <v>-2</v>
      </c>
      <c r="M157" s="10" t="s">
        <v>107</v>
      </c>
      <c r="N157" s="7"/>
      <c r="O157" s="10" t="str">
        <f t="shared" si="18"/>
        <v/>
      </c>
      <c r="P157" s="7">
        <v>-2</v>
      </c>
      <c r="Q157" s="10" t="s">
        <v>107</v>
      </c>
      <c r="R157" s="7"/>
      <c r="S157" s="10" t="str">
        <f t="shared" si="19"/>
        <v/>
      </c>
      <c r="T157" s="7">
        <v>-2</v>
      </c>
      <c r="U157" s="11" t="s">
        <v>107</v>
      </c>
    </row>
    <row r="158" spans="3:21" x14ac:dyDescent="0.25">
      <c r="C158" s="12" t="str">
        <f t="shared" si="15"/>
        <v/>
      </c>
      <c r="D158" s="7">
        <v>-3</v>
      </c>
      <c r="E158" s="10" t="s">
        <v>108</v>
      </c>
      <c r="F158" s="7"/>
      <c r="G158" s="10" t="str">
        <f t="shared" si="16"/>
        <v/>
      </c>
      <c r="H158" s="7">
        <v>-3</v>
      </c>
      <c r="I158" s="10" t="s">
        <v>108</v>
      </c>
      <c r="J158" s="7"/>
      <c r="K158" s="10" t="str">
        <f t="shared" si="17"/>
        <v/>
      </c>
      <c r="L158" s="7">
        <v>-3</v>
      </c>
      <c r="M158" s="10" t="s">
        <v>108</v>
      </c>
      <c r="N158" s="7"/>
      <c r="O158" s="10" t="str">
        <f t="shared" si="18"/>
        <v/>
      </c>
      <c r="P158" s="7">
        <v>-3</v>
      </c>
      <c r="Q158" s="10" t="s">
        <v>108</v>
      </c>
      <c r="R158" s="7"/>
      <c r="S158" s="10" t="str">
        <f t="shared" si="19"/>
        <v/>
      </c>
      <c r="T158" s="7">
        <v>-3</v>
      </c>
      <c r="U158" s="11" t="s">
        <v>108</v>
      </c>
    </row>
    <row r="159" spans="3:21" x14ac:dyDescent="0.25">
      <c r="C159" s="12" t="str">
        <f t="shared" si="15"/>
        <v/>
      </c>
      <c r="D159" s="7">
        <v>-4</v>
      </c>
      <c r="E159" s="10" t="s">
        <v>109</v>
      </c>
      <c r="F159" s="7"/>
      <c r="G159" s="10" t="str">
        <f t="shared" si="16"/>
        <v/>
      </c>
      <c r="H159" s="7">
        <v>-4</v>
      </c>
      <c r="I159" s="10" t="s">
        <v>109</v>
      </c>
      <c r="J159" s="7"/>
      <c r="K159" s="10" t="str">
        <f t="shared" si="17"/>
        <v/>
      </c>
      <c r="L159" s="7">
        <v>-4</v>
      </c>
      <c r="M159" s="10" t="s">
        <v>109</v>
      </c>
      <c r="N159" s="7"/>
      <c r="O159" s="10" t="str">
        <f t="shared" si="18"/>
        <v/>
      </c>
      <c r="P159" s="7">
        <v>-4</v>
      </c>
      <c r="Q159" s="10" t="s">
        <v>109</v>
      </c>
      <c r="R159" s="7"/>
      <c r="S159" s="10" t="str">
        <f t="shared" si="19"/>
        <v/>
      </c>
      <c r="T159" s="7">
        <v>-4</v>
      </c>
      <c r="U159" s="11" t="s">
        <v>109</v>
      </c>
    </row>
    <row r="160" spans="3:21" ht="60.75" thickBot="1" x14ac:dyDescent="0.3">
      <c r="C160" s="35" t="str">
        <f t="shared" si="15"/>
        <v/>
      </c>
      <c r="D160" s="14">
        <v>-5</v>
      </c>
      <c r="E160" s="15" t="s">
        <v>110</v>
      </c>
      <c r="F160" s="14"/>
      <c r="G160" s="15" t="str">
        <f t="shared" si="16"/>
        <v/>
      </c>
      <c r="H160" s="14">
        <v>-5</v>
      </c>
      <c r="I160" s="15" t="s">
        <v>110</v>
      </c>
      <c r="J160" s="14"/>
      <c r="K160" s="15" t="str">
        <f t="shared" si="17"/>
        <v/>
      </c>
      <c r="L160" s="14">
        <v>-5</v>
      </c>
      <c r="M160" s="15" t="s">
        <v>110</v>
      </c>
      <c r="N160" s="14"/>
      <c r="O160" s="15" t="str">
        <f t="shared" si="18"/>
        <v/>
      </c>
      <c r="P160" s="14">
        <v>-5</v>
      </c>
      <c r="Q160" s="15" t="s">
        <v>110</v>
      </c>
      <c r="R160" s="14"/>
      <c r="S160" s="15" t="str">
        <f t="shared" si="19"/>
        <v/>
      </c>
      <c r="T160" s="14">
        <v>-5</v>
      </c>
      <c r="U160" s="16" t="s">
        <v>110</v>
      </c>
    </row>
    <row r="163" spans="3:21" ht="15.75" thickBot="1" x14ac:dyDescent="0.3"/>
    <row r="164" spans="3:21" ht="15.75" thickBot="1" x14ac:dyDescent="0.3">
      <c r="C164" s="72" t="s">
        <v>92</v>
      </c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4"/>
    </row>
    <row r="165" spans="3:21" ht="15.75" thickBot="1" x14ac:dyDescent="0.3">
      <c r="C165" s="84" t="s">
        <v>87</v>
      </c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6"/>
    </row>
    <row r="166" spans="3:21" ht="15.75" thickBot="1" x14ac:dyDescent="0.3">
      <c r="C166" s="78" t="s">
        <v>49</v>
      </c>
      <c r="D166" s="79"/>
      <c r="E166" s="80"/>
      <c r="F166" s="7"/>
      <c r="G166" s="78" t="s">
        <v>33</v>
      </c>
      <c r="H166" s="79"/>
      <c r="I166" s="80"/>
      <c r="J166" s="7"/>
      <c r="K166" s="78" t="s">
        <v>34</v>
      </c>
      <c r="L166" s="79"/>
      <c r="M166" s="80"/>
      <c r="N166" s="7"/>
      <c r="O166" s="78" t="s">
        <v>35</v>
      </c>
      <c r="P166" s="79"/>
      <c r="Q166" s="80"/>
      <c r="R166" s="7"/>
      <c r="S166" s="78" t="s">
        <v>36</v>
      </c>
      <c r="T166" s="79"/>
      <c r="U166" s="80"/>
    </row>
    <row r="167" spans="3:21" x14ac:dyDescent="0.25">
      <c r="C167" s="8" t="s">
        <v>97</v>
      </c>
      <c r="D167" s="7" t="s">
        <v>98</v>
      </c>
      <c r="E167" s="7" t="s">
        <v>99</v>
      </c>
      <c r="F167" s="7"/>
      <c r="G167" s="7" t="s">
        <v>97</v>
      </c>
      <c r="H167" s="7" t="s">
        <v>98</v>
      </c>
      <c r="I167" s="7" t="s">
        <v>99</v>
      </c>
      <c r="J167" s="7"/>
      <c r="K167" s="7" t="s">
        <v>97</v>
      </c>
      <c r="L167" s="7" t="s">
        <v>98</v>
      </c>
      <c r="M167" s="7" t="s">
        <v>99</v>
      </c>
      <c r="N167" s="7"/>
      <c r="O167" s="7" t="s">
        <v>97</v>
      </c>
      <c r="P167" s="7" t="s">
        <v>98</v>
      </c>
      <c r="Q167" s="7" t="s">
        <v>99</v>
      </c>
      <c r="R167" s="7"/>
      <c r="S167" s="7" t="s">
        <v>97</v>
      </c>
      <c r="T167" s="7" t="s">
        <v>98</v>
      </c>
      <c r="U167" s="9" t="s">
        <v>99</v>
      </c>
    </row>
    <row r="168" spans="3:21" ht="60" x14ac:dyDescent="0.25">
      <c r="C168" s="12" t="str">
        <f t="shared" ref="C168:C178" si="20">_xlfn.TEXTJOIN(","&amp;CHAR(10),TRUE,IF(D168=0,"Historic Baseline ("&amp;TEXT(D$41,"0%")&amp;")",""),IF(-MAX(-5,MIN(5,ROUND((D$50-D$41)*100,0)))=D168,"+30% Outflow",""),IF(-MAX(-5,MIN(5,ROUND((D$59-D$41)*100,0)))=D168,"-10% Outflow",""))</f>
        <v/>
      </c>
      <c r="D168" s="7">
        <v>5</v>
      </c>
      <c r="E168" s="10" t="s">
        <v>100</v>
      </c>
      <c r="F168" s="7"/>
      <c r="G168" s="10" t="str">
        <f t="shared" ref="G168:G178" si="21">_xlfn.TEXTJOIN(","&amp;CHAR(10),TRUE,IF(H168=0,"Historic Baseline ("&amp;TEXT(E$41,"0%")&amp;")",""),IF(-MAX(-5,MIN(5,ROUND((E$50-E$41)*100,0)))=H168,"+30% Outflow",""),IF(-MAX(-5,MIN(5,ROUND((E$59-E$41)*100,0)))=H168,"-10% Outflow",""))</f>
        <v/>
      </c>
      <c r="H168" s="7">
        <v>5</v>
      </c>
      <c r="I168" s="10" t="s">
        <v>100</v>
      </c>
      <c r="J168" s="7"/>
      <c r="K168" s="10" t="str">
        <f t="shared" ref="K168:K178" si="22">_xlfn.TEXTJOIN(","&amp;CHAR(10),TRUE,IF(L168=0,"Historic Baseline ("&amp;TEXT(F$41,"0%")&amp;")",""),IF(-MAX(-5,MIN(5,ROUND((F$50-F$41)*100,0)))=L168,"+30% Outflow",""),IF(-MAX(-5,MIN(5,ROUND((F$59-F$41)*100,0)))=L168,"-10% Outflow",""))</f>
        <v/>
      </c>
      <c r="L168" s="7">
        <v>5</v>
      </c>
      <c r="M168" s="10" t="s">
        <v>100</v>
      </c>
      <c r="N168" s="7"/>
      <c r="O168" s="10" t="str">
        <f t="shared" ref="O168:O178" si="23">_xlfn.TEXTJOIN(","&amp;CHAR(10),TRUE,IF(P168=0,"Historic Baseline ("&amp;TEXT(G$41,"0%")&amp;")",""),IF(-MAX(-5,MIN(5,ROUND((G$50-G$41)*100,0)))=P168,"+30% Outflow",""),IF(-MAX(-5,MIN(5,ROUND((G$59-G$41)*100,0)))=P168,"-10% Outflow",""))</f>
        <v/>
      </c>
      <c r="P168" s="7">
        <v>5</v>
      </c>
      <c r="Q168" s="10" t="s">
        <v>100</v>
      </c>
      <c r="R168" s="7"/>
      <c r="S168" s="10" t="str">
        <f t="shared" ref="S168:S178" si="24">_xlfn.TEXTJOIN(","&amp;CHAR(10),TRUE,IF(T168=0,"Historic Baseline ("&amp;TEXT(H$41,"0%")&amp;")",""),IF(-MAX(-5,MIN(5,ROUND((H$50-H$41)*100,0)))=T168,"+30% Outflow",""),IF(-MAX(-5,MIN(5,ROUND((H$59-H$41)*100,0)))=T168,"-10% Outflow",""))</f>
        <v/>
      </c>
      <c r="T168" s="7">
        <v>5</v>
      </c>
      <c r="U168" s="11" t="s">
        <v>100</v>
      </c>
    </row>
    <row r="169" spans="3:21" x14ac:dyDescent="0.25">
      <c r="C169" s="12" t="str">
        <f t="shared" si="20"/>
        <v/>
      </c>
      <c r="D169" s="7">
        <v>4</v>
      </c>
      <c r="E169" s="10" t="s">
        <v>101</v>
      </c>
      <c r="F169" s="7"/>
      <c r="G169" s="10" t="str">
        <f t="shared" si="21"/>
        <v/>
      </c>
      <c r="H169" s="7">
        <v>4</v>
      </c>
      <c r="I169" s="10" t="s">
        <v>101</v>
      </c>
      <c r="J169" s="7"/>
      <c r="K169" s="10" t="str">
        <f t="shared" si="22"/>
        <v/>
      </c>
      <c r="L169" s="7">
        <v>4</v>
      </c>
      <c r="M169" s="10" t="s">
        <v>101</v>
      </c>
      <c r="N169" s="7"/>
      <c r="O169" s="10" t="str">
        <f t="shared" si="23"/>
        <v/>
      </c>
      <c r="P169" s="7">
        <v>4</v>
      </c>
      <c r="Q169" s="10" t="s">
        <v>101</v>
      </c>
      <c r="R169" s="7"/>
      <c r="S169" s="10" t="str">
        <f t="shared" si="24"/>
        <v/>
      </c>
      <c r="T169" s="7">
        <v>4</v>
      </c>
      <c r="U169" s="11" t="s">
        <v>101</v>
      </c>
    </row>
    <row r="170" spans="3:21" x14ac:dyDescent="0.25">
      <c r="C170" s="12" t="str">
        <f t="shared" si="20"/>
        <v/>
      </c>
      <c r="D170" s="7">
        <v>3</v>
      </c>
      <c r="E170" s="10" t="s">
        <v>102</v>
      </c>
      <c r="F170" s="7"/>
      <c r="G170" s="10" t="str">
        <f t="shared" si="21"/>
        <v/>
      </c>
      <c r="H170" s="7">
        <v>3</v>
      </c>
      <c r="I170" s="10" t="s">
        <v>102</v>
      </c>
      <c r="J170" s="7"/>
      <c r="K170" s="10" t="str">
        <f t="shared" si="22"/>
        <v/>
      </c>
      <c r="L170" s="7">
        <v>3</v>
      </c>
      <c r="M170" s="10" t="s">
        <v>102</v>
      </c>
      <c r="N170" s="7"/>
      <c r="O170" s="10" t="str">
        <f t="shared" si="23"/>
        <v/>
      </c>
      <c r="P170" s="7">
        <v>3</v>
      </c>
      <c r="Q170" s="10" t="s">
        <v>102</v>
      </c>
      <c r="R170" s="7"/>
      <c r="S170" s="10" t="str">
        <f t="shared" si="24"/>
        <v/>
      </c>
      <c r="T170" s="7">
        <v>3</v>
      </c>
      <c r="U170" s="11" t="s">
        <v>102</v>
      </c>
    </row>
    <row r="171" spans="3:21" x14ac:dyDescent="0.25">
      <c r="C171" s="12" t="str">
        <f t="shared" si="20"/>
        <v/>
      </c>
      <c r="D171" s="7">
        <v>2</v>
      </c>
      <c r="E171" s="10" t="s">
        <v>103</v>
      </c>
      <c r="F171" s="7"/>
      <c r="G171" s="10" t="str">
        <f t="shared" si="21"/>
        <v/>
      </c>
      <c r="H171" s="7">
        <v>2</v>
      </c>
      <c r="I171" s="10" t="s">
        <v>103</v>
      </c>
      <c r="J171" s="7"/>
      <c r="K171" s="10" t="str">
        <f t="shared" si="22"/>
        <v/>
      </c>
      <c r="L171" s="7">
        <v>2</v>
      </c>
      <c r="M171" s="10" t="s">
        <v>103</v>
      </c>
      <c r="N171" s="7"/>
      <c r="O171" s="10" t="str">
        <f t="shared" si="23"/>
        <v/>
      </c>
      <c r="P171" s="7">
        <v>2</v>
      </c>
      <c r="Q171" s="10" t="s">
        <v>103</v>
      </c>
      <c r="R171" s="7"/>
      <c r="S171" s="10" t="str">
        <f t="shared" si="24"/>
        <v/>
      </c>
      <c r="T171" s="7">
        <v>2</v>
      </c>
      <c r="U171" s="11" t="s">
        <v>103</v>
      </c>
    </row>
    <row r="172" spans="3:21" ht="30" x14ac:dyDescent="0.25">
      <c r="C172" s="12" t="str">
        <f t="shared" si="20"/>
        <v/>
      </c>
      <c r="D172" s="7">
        <v>1</v>
      </c>
      <c r="E172" s="10" t="s">
        <v>104</v>
      </c>
      <c r="F172" s="7"/>
      <c r="G172" s="10" t="str">
        <f t="shared" si="21"/>
        <v/>
      </c>
      <c r="H172" s="7">
        <v>1</v>
      </c>
      <c r="I172" s="10" t="s">
        <v>104</v>
      </c>
      <c r="J172" s="7"/>
      <c r="K172" s="10" t="str">
        <f t="shared" si="22"/>
        <v/>
      </c>
      <c r="L172" s="7">
        <v>1</v>
      </c>
      <c r="M172" s="10" t="s">
        <v>104</v>
      </c>
      <c r="N172" s="7"/>
      <c r="O172" s="10" t="str">
        <f t="shared" si="23"/>
        <v/>
      </c>
      <c r="P172" s="7">
        <v>1</v>
      </c>
      <c r="Q172" s="10" t="s">
        <v>104</v>
      </c>
      <c r="R172" s="7"/>
      <c r="S172" s="10" t="str">
        <f t="shared" si="24"/>
        <v>+30% Outflow</v>
      </c>
      <c r="T172" s="7">
        <v>1</v>
      </c>
      <c r="U172" s="11" t="s">
        <v>104</v>
      </c>
    </row>
    <row r="173" spans="3:21" ht="105" x14ac:dyDescent="0.25">
      <c r="C173" s="12" t="str">
        <f t="shared" si="20"/>
        <v>Historic Baseline (13%),
+30% Outflow,
-10% Outflow</v>
      </c>
      <c r="D173" s="7">
        <v>0</v>
      </c>
      <c r="E173" s="10" t="s">
        <v>105</v>
      </c>
      <c r="F173" s="7"/>
      <c r="G173" s="10" t="str">
        <f t="shared" si="21"/>
        <v>Historic Baseline (1%),
+30% Outflow,
-10% Outflow</v>
      </c>
      <c r="H173" s="7">
        <v>0</v>
      </c>
      <c r="I173" s="10" t="s">
        <v>105</v>
      </c>
      <c r="J173" s="7"/>
      <c r="K173" s="10" t="str">
        <f t="shared" si="22"/>
        <v>Historic Baseline (12%),
+30% Outflow,
-10% Outflow</v>
      </c>
      <c r="L173" s="7">
        <v>0</v>
      </c>
      <c r="M173" s="10" t="s">
        <v>105</v>
      </c>
      <c r="N173" s="7"/>
      <c r="O173" s="10" t="str">
        <f t="shared" si="23"/>
        <v>Historic Baseline (11%),
+30% Outflow,
-10% Outflow</v>
      </c>
      <c r="P173" s="7">
        <v>0</v>
      </c>
      <c r="Q173" s="10" t="s">
        <v>105</v>
      </c>
      <c r="R173" s="7"/>
      <c r="S173" s="10" t="str">
        <f t="shared" si="24"/>
        <v>Historic Baseline (25%),
-10% Outflow</v>
      </c>
      <c r="T173" s="7">
        <v>0</v>
      </c>
      <c r="U173" s="11" t="s">
        <v>105</v>
      </c>
    </row>
    <row r="174" spans="3:21" ht="45" x14ac:dyDescent="0.25">
      <c r="C174" s="12" t="str">
        <f t="shared" si="20"/>
        <v/>
      </c>
      <c r="D174" s="7">
        <v>-1</v>
      </c>
      <c r="E174" s="10" t="s">
        <v>106</v>
      </c>
      <c r="F174" s="7"/>
      <c r="G174" s="10" t="str">
        <f t="shared" si="21"/>
        <v/>
      </c>
      <c r="H174" s="7">
        <v>-1</v>
      </c>
      <c r="I174" s="10" t="s">
        <v>106</v>
      </c>
      <c r="J174" s="7"/>
      <c r="K174" s="10" t="str">
        <f t="shared" si="22"/>
        <v/>
      </c>
      <c r="L174" s="7">
        <v>-1</v>
      </c>
      <c r="M174" s="10" t="s">
        <v>106</v>
      </c>
      <c r="N174" s="7"/>
      <c r="O174" s="10" t="str">
        <f t="shared" si="23"/>
        <v/>
      </c>
      <c r="P174" s="7">
        <v>-1</v>
      </c>
      <c r="Q174" s="10" t="s">
        <v>106</v>
      </c>
      <c r="R174" s="7"/>
      <c r="S174" s="10" t="str">
        <f t="shared" si="24"/>
        <v/>
      </c>
      <c r="T174" s="7">
        <v>-1</v>
      </c>
      <c r="U174" s="11" t="s">
        <v>106</v>
      </c>
    </row>
    <row r="175" spans="3:21" x14ac:dyDescent="0.25">
      <c r="C175" s="12" t="str">
        <f t="shared" si="20"/>
        <v/>
      </c>
      <c r="D175" s="7">
        <v>-2</v>
      </c>
      <c r="E175" s="10" t="s">
        <v>107</v>
      </c>
      <c r="F175" s="7"/>
      <c r="G175" s="10" t="str">
        <f t="shared" si="21"/>
        <v/>
      </c>
      <c r="H175" s="7">
        <v>-2</v>
      </c>
      <c r="I175" s="10" t="s">
        <v>107</v>
      </c>
      <c r="J175" s="7"/>
      <c r="K175" s="10" t="str">
        <f t="shared" si="22"/>
        <v/>
      </c>
      <c r="L175" s="7">
        <v>-2</v>
      </c>
      <c r="M175" s="10" t="s">
        <v>107</v>
      </c>
      <c r="N175" s="7"/>
      <c r="O175" s="10" t="str">
        <f t="shared" si="23"/>
        <v/>
      </c>
      <c r="P175" s="7">
        <v>-2</v>
      </c>
      <c r="Q175" s="10" t="s">
        <v>107</v>
      </c>
      <c r="R175" s="7"/>
      <c r="S175" s="10" t="str">
        <f t="shared" si="24"/>
        <v/>
      </c>
      <c r="T175" s="7">
        <v>-2</v>
      </c>
      <c r="U175" s="11" t="s">
        <v>107</v>
      </c>
    </row>
    <row r="176" spans="3:21" x14ac:dyDescent="0.25">
      <c r="C176" s="12" t="str">
        <f t="shared" si="20"/>
        <v/>
      </c>
      <c r="D176" s="7">
        <v>-3</v>
      </c>
      <c r="E176" s="10" t="s">
        <v>108</v>
      </c>
      <c r="F176" s="7"/>
      <c r="G176" s="10" t="str">
        <f t="shared" si="21"/>
        <v/>
      </c>
      <c r="H176" s="7">
        <v>-3</v>
      </c>
      <c r="I176" s="10" t="s">
        <v>108</v>
      </c>
      <c r="J176" s="7"/>
      <c r="K176" s="10" t="str">
        <f t="shared" si="22"/>
        <v/>
      </c>
      <c r="L176" s="7">
        <v>-3</v>
      </c>
      <c r="M176" s="10" t="s">
        <v>108</v>
      </c>
      <c r="N176" s="7"/>
      <c r="O176" s="10" t="str">
        <f t="shared" si="23"/>
        <v/>
      </c>
      <c r="P176" s="7">
        <v>-3</v>
      </c>
      <c r="Q176" s="10" t="s">
        <v>108</v>
      </c>
      <c r="R176" s="7"/>
      <c r="S176" s="10" t="str">
        <f t="shared" si="24"/>
        <v/>
      </c>
      <c r="T176" s="7">
        <v>-3</v>
      </c>
      <c r="U176" s="11" t="s">
        <v>108</v>
      </c>
    </row>
    <row r="177" spans="3:21" x14ac:dyDescent="0.25">
      <c r="C177" s="12" t="str">
        <f t="shared" si="20"/>
        <v/>
      </c>
      <c r="D177" s="7">
        <v>-4</v>
      </c>
      <c r="E177" s="10" t="s">
        <v>109</v>
      </c>
      <c r="F177" s="7"/>
      <c r="G177" s="10" t="str">
        <f t="shared" si="21"/>
        <v/>
      </c>
      <c r="H177" s="7">
        <v>-4</v>
      </c>
      <c r="I177" s="10" t="s">
        <v>109</v>
      </c>
      <c r="J177" s="7"/>
      <c r="K177" s="10" t="str">
        <f t="shared" si="22"/>
        <v/>
      </c>
      <c r="L177" s="7">
        <v>-4</v>
      </c>
      <c r="M177" s="10" t="s">
        <v>109</v>
      </c>
      <c r="N177" s="7"/>
      <c r="O177" s="10" t="str">
        <f t="shared" si="23"/>
        <v/>
      </c>
      <c r="P177" s="7">
        <v>-4</v>
      </c>
      <c r="Q177" s="10" t="s">
        <v>109</v>
      </c>
      <c r="R177" s="7"/>
      <c r="S177" s="10" t="str">
        <f t="shared" si="24"/>
        <v/>
      </c>
      <c r="T177" s="7">
        <v>-4</v>
      </c>
      <c r="U177" s="11" t="s">
        <v>109</v>
      </c>
    </row>
    <row r="178" spans="3:21" ht="60.75" thickBot="1" x14ac:dyDescent="0.3">
      <c r="C178" s="35" t="str">
        <f t="shared" si="20"/>
        <v/>
      </c>
      <c r="D178" s="14">
        <v>-5</v>
      </c>
      <c r="E178" s="15" t="s">
        <v>110</v>
      </c>
      <c r="F178" s="14"/>
      <c r="G178" s="15" t="str">
        <f t="shared" si="21"/>
        <v/>
      </c>
      <c r="H178" s="14">
        <v>-5</v>
      </c>
      <c r="I178" s="15" t="s">
        <v>110</v>
      </c>
      <c r="J178" s="14"/>
      <c r="K178" s="15" t="str">
        <f t="shared" si="22"/>
        <v/>
      </c>
      <c r="L178" s="14">
        <v>-5</v>
      </c>
      <c r="M178" s="15" t="s">
        <v>110</v>
      </c>
      <c r="N178" s="14"/>
      <c r="O178" s="15" t="str">
        <f t="shared" si="23"/>
        <v/>
      </c>
      <c r="P178" s="14">
        <v>-5</v>
      </c>
      <c r="Q178" s="15" t="s">
        <v>110</v>
      </c>
      <c r="R178" s="14"/>
      <c r="S178" s="15" t="str">
        <f t="shared" si="24"/>
        <v/>
      </c>
      <c r="T178" s="14">
        <v>-5</v>
      </c>
      <c r="U178" s="16" t="s">
        <v>110</v>
      </c>
    </row>
    <row r="179" spans="3:21" ht="15.75" thickBot="1" x14ac:dyDescent="0.3"/>
    <row r="180" spans="3:21" ht="15.75" thickBot="1" x14ac:dyDescent="0.3">
      <c r="C180" s="72" t="s">
        <v>92</v>
      </c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4"/>
    </row>
    <row r="181" spans="3:21" ht="15.75" thickBot="1" x14ac:dyDescent="0.3">
      <c r="C181" s="81" t="s">
        <v>88</v>
      </c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3"/>
    </row>
    <row r="182" spans="3:21" ht="15.75" thickBot="1" x14ac:dyDescent="0.3">
      <c r="C182" s="78" t="s">
        <v>49</v>
      </c>
      <c r="D182" s="79"/>
      <c r="E182" s="80"/>
      <c r="F182" s="7"/>
      <c r="G182" s="78" t="s">
        <v>33</v>
      </c>
      <c r="H182" s="79"/>
      <c r="I182" s="80"/>
      <c r="J182" s="7"/>
      <c r="K182" s="78" t="s">
        <v>34</v>
      </c>
      <c r="L182" s="79"/>
      <c r="M182" s="80"/>
      <c r="N182" s="7"/>
      <c r="O182" s="78" t="s">
        <v>35</v>
      </c>
      <c r="P182" s="79"/>
      <c r="Q182" s="80"/>
      <c r="R182" s="7"/>
      <c r="S182" s="78" t="s">
        <v>36</v>
      </c>
      <c r="T182" s="79"/>
      <c r="U182" s="80"/>
    </row>
    <row r="183" spans="3:21" x14ac:dyDescent="0.25">
      <c r="C183" s="8" t="s">
        <v>97</v>
      </c>
      <c r="D183" s="7" t="s">
        <v>98</v>
      </c>
      <c r="E183" s="7" t="s">
        <v>99</v>
      </c>
      <c r="F183" s="7"/>
      <c r="G183" s="7" t="s">
        <v>97</v>
      </c>
      <c r="H183" s="7" t="s">
        <v>98</v>
      </c>
      <c r="I183" s="7" t="s">
        <v>99</v>
      </c>
      <c r="J183" s="7"/>
      <c r="K183" s="7" t="s">
        <v>97</v>
      </c>
      <c r="L183" s="7" t="s">
        <v>98</v>
      </c>
      <c r="M183" s="7" t="s">
        <v>99</v>
      </c>
      <c r="N183" s="7"/>
      <c r="O183" s="7" t="s">
        <v>97</v>
      </c>
      <c r="P183" s="7" t="s">
        <v>98</v>
      </c>
      <c r="Q183" s="7" t="s">
        <v>99</v>
      </c>
      <c r="R183" s="7"/>
      <c r="S183" s="7" t="s">
        <v>97</v>
      </c>
      <c r="T183" s="7" t="s">
        <v>98</v>
      </c>
      <c r="U183" s="9" t="s">
        <v>99</v>
      </c>
    </row>
    <row r="184" spans="3:21" ht="60" x14ac:dyDescent="0.25">
      <c r="C184" s="12" t="str">
        <f t="shared" ref="C184:C194" si="25">_xlfn.TEXTJOIN(","&amp;CHAR(10),TRUE,IF(D184=0,"Historic Baseline ("&amp;TEXT(I$41,"0%")&amp;")",""),IF(-MAX(-5,MIN(5,ROUND((I$50-I$41)*100,0)))=D184,"+30% Outflow",""),IF(-MAX(-5,MIN(5,ROUND((I$59-I$41)*100,0)))=D184,"-10% Outflow",""))</f>
        <v/>
      </c>
      <c r="D184" s="7">
        <v>5</v>
      </c>
      <c r="E184" s="10" t="s">
        <v>100</v>
      </c>
      <c r="F184" s="7"/>
      <c r="G184" s="10" t="str">
        <f t="shared" ref="G184:G194" si="26">_xlfn.TEXTJOIN(","&amp;CHAR(10),TRUE,IF(H184=0,"Historic Baseline ("&amp;TEXT(J$41,"0%")&amp;")",""),IF(-MAX(-5,MIN(5,ROUND((J$50-J$41)*100,0)))=H184,"+30% Outflow",""),IF(-MAX(-5,MIN(5,ROUND((J$59-J$41)*100,0)))=H184,"-10% Outflow",""))</f>
        <v/>
      </c>
      <c r="H184" s="7">
        <v>5</v>
      </c>
      <c r="I184" s="10" t="s">
        <v>100</v>
      </c>
      <c r="J184" s="7"/>
      <c r="K184" s="10" t="str">
        <f t="shared" ref="K184:K194" si="27">_xlfn.TEXTJOIN(","&amp;CHAR(10),TRUE,IF(L184=0,"Historic Baseline ("&amp;TEXT(K$41,"0%")&amp;")",""),IF(-MAX(-5,MIN(5,ROUND((K$50-K$41)*100,0)))=L184,"+30% Outflow",""),IF(-MAX(-5,MIN(5,ROUND((K$59-K$41)*100,0)))=L184,"-10% Outflow",""))</f>
        <v/>
      </c>
      <c r="L184" s="7">
        <v>5</v>
      </c>
      <c r="M184" s="10" t="s">
        <v>100</v>
      </c>
      <c r="N184" s="7"/>
      <c r="O184" s="10" t="str">
        <f t="shared" ref="O184:O194" si="28">_xlfn.TEXTJOIN(","&amp;CHAR(10),TRUE,IF(P184=0,"Historic Baseline ("&amp;TEXT(L$41,"0%")&amp;")",""),IF(-MAX(-5,MIN(5,ROUND((L$50-L$41)*100,0)))=P184,"+30% Outflow",""),IF(-MAX(-5,MIN(5,ROUND((L$59-L$41)*100,0)))=P184,"-10% Outflow",""))</f>
        <v/>
      </c>
      <c r="P184" s="7">
        <v>5</v>
      </c>
      <c r="Q184" s="10" t="s">
        <v>100</v>
      </c>
      <c r="R184" s="7"/>
      <c r="S184" s="10" t="str">
        <f t="shared" ref="S184:S194" si="29">_xlfn.TEXTJOIN(","&amp;CHAR(10),TRUE,IF(T184=0,"Historic Baseline ("&amp;TEXT(M$41,"0%")&amp;")",""),IF(-MAX(-5,MIN(5,ROUND((M$50-M$41)*100,0)))=T184,"+30% Outflow",""),IF(-MAX(-5,MIN(5,ROUND((M$59-M$41)*100,0)))=T184,"-10% Outflow",""))</f>
        <v/>
      </c>
      <c r="T184" s="7">
        <v>5</v>
      </c>
      <c r="U184" s="11" t="s">
        <v>100</v>
      </c>
    </row>
    <row r="185" spans="3:21" x14ac:dyDescent="0.25">
      <c r="C185" s="12" t="str">
        <f t="shared" si="25"/>
        <v/>
      </c>
      <c r="D185" s="7">
        <v>4</v>
      </c>
      <c r="E185" s="10" t="s">
        <v>101</v>
      </c>
      <c r="F185" s="7"/>
      <c r="G185" s="10" t="str">
        <f t="shared" si="26"/>
        <v/>
      </c>
      <c r="H185" s="7">
        <v>4</v>
      </c>
      <c r="I185" s="10" t="s">
        <v>101</v>
      </c>
      <c r="J185" s="7"/>
      <c r="K185" s="10" t="str">
        <f t="shared" si="27"/>
        <v/>
      </c>
      <c r="L185" s="7">
        <v>4</v>
      </c>
      <c r="M185" s="10" t="s">
        <v>101</v>
      </c>
      <c r="N185" s="7"/>
      <c r="O185" s="10" t="str">
        <f t="shared" si="28"/>
        <v/>
      </c>
      <c r="P185" s="7">
        <v>4</v>
      </c>
      <c r="Q185" s="10" t="s">
        <v>101</v>
      </c>
      <c r="R185" s="7"/>
      <c r="S185" s="10" t="str">
        <f t="shared" si="29"/>
        <v/>
      </c>
      <c r="T185" s="7">
        <v>4</v>
      </c>
      <c r="U185" s="11" t="s">
        <v>101</v>
      </c>
    </row>
    <row r="186" spans="3:21" x14ac:dyDescent="0.25">
      <c r="C186" s="12" t="str">
        <f t="shared" si="25"/>
        <v/>
      </c>
      <c r="D186" s="7">
        <v>3</v>
      </c>
      <c r="E186" s="10" t="s">
        <v>102</v>
      </c>
      <c r="F186" s="7"/>
      <c r="G186" s="10" t="str">
        <f t="shared" si="26"/>
        <v/>
      </c>
      <c r="H186" s="7">
        <v>3</v>
      </c>
      <c r="I186" s="10" t="s">
        <v>102</v>
      </c>
      <c r="J186" s="7"/>
      <c r="K186" s="10" t="str">
        <f t="shared" si="27"/>
        <v/>
      </c>
      <c r="L186" s="7">
        <v>3</v>
      </c>
      <c r="M186" s="10" t="s">
        <v>102</v>
      </c>
      <c r="N186" s="7"/>
      <c r="O186" s="10" t="str">
        <f t="shared" si="28"/>
        <v/>
      </c>
      <c r="P186" s="7">
        <v>3</v>
      </c>
      <c r="Q186" s="10" t="s">
        <v>102</v>
      </c>
      <c r="R186" s="7"/>
      <c r="S186" s="10" t="str">
        <f t="shared" si="29"/>
        <v/>
      </c>
      <c r="T186" s="7">
        <v>3</v>
      </c>
      <c r="U186" s="11" t="s">
        <v>102</v>
      </c>
    </row>
    <row r="187" spans="3:21" x14ac:dyDescent="0.25">
      <c r="C187" s="12" t="str">
        <f t="shared" si="25"/>
        <v/>
      </c>
      <c r="D187" s="7">
        <v>2</v>
      </c>
      <c r="E187" s="10" t="s">
        <v>103</v>
      </c>
      <c r="F187" s="7"/>
      <c r="G187" s="10" t="str">
        <f t="shared" si="26"/>
        <v/>
      </c>
      <c r="H187" s="7">
        <v>2</v>
      </c>
      <c r="I187" s="10" t="s">
        <v>103</v>
      </c>
      <c r="J187" s="7"/>
      <c r="K187" s="10" t="str">
        <f t="shared" si="27"/>
        <v/>
      </c>
      <c r="L187" s="7">
        <v>2</v>
      </c>
      <c r="M187" s="10" t="s">
        <v>103</v>
      </c>
      <c r="N187" s="7"/>
      <c r="O187" s="10" t="str">
        <f t="shared" si="28"/>
        <v/>
      </c>
      <c r="P187" s="7">
        <v>2</v>
      </c>
      <c r="Q187" s="10" t="s">
        <v>103</v>
      </c>
      <c r="R187" s="7"/>
      <c r="S187" s="10" t="str">
        <f t="shared" si="29"/>
        <v/>
      </c>
      <c r="T187" s="7">
        <v>2</v>
      </c>
      <c r="U187" s="11" t="s">
        <v>103</v>
      </c>
    </row>
    <row r="188" spans="3:21" x14ac:dyDescent="0.25">
      <c r="C188" s="12" t="str">
        <f t="shared" si="25"/>
        <v/>
      </c>
      <c r="D188" s="7">
        <v>1</v>
      </c>
      <c r="E188" s="10" t="s">
        <v>104</v>
      </c>
      <c r="F188" s="7"/>
      <c r="G188" s="10" t="str">
        <f t="shared" si="26"/>
        <v/>
      </c>
      <c r="H188" s="7">
        <v>1</v>
      </c>
      <c r="I188" s="10" t="s">
        <v>104</v>
      </c>
      <c r="J188" s="7"/>
      <c r="K188" s="10" t="str">
        <f t="shared" si="27"/>
        <v/>
      </c>
      <c r="L188" s="7">
        <v>1</v>
      </c>
      <c r="M188" s="10" t="s">
        <v>104</v>
      </c>
      <c r="N188" s="7"/>
      <c r="O188" s="10" t="str">
        <f t="shared" si="28"/>
        <v/>
      </c>
      <c r="P188" s="7">
        <v>1</v>
      </c>
      <c r="Q188" s="10" t="s">
        <v>104</v>
      </c>
      <c r="R188" s="7"/>
      <c r="S188" s="10" t="str">
        <f t="shared" si="29"/>
        <v/>
      </c>
      <c r="T188" s="7">
        <v>1</v>
      </c>
      <c r="U188" s="11" t="s">
        <v>104</v>
      </c>
    </row>
    <row r="189" spans="3:21" ht="105" x14ac:dyDescent="0.25">
      <c r="C189" s="12" t="str">
        <f t="shared" si="25"/>
        <v>Historic Baseline (0%),
+30% Outflow,
-10% Outflow</v>
      </c>
      <c r="D189" s="7">
        <v>0</v>
      </c>
      <c r="E189" s="10" t="s">
        <v>105</v>
      </c>
      <c r="F189" s="7"/>
      <c r="G189" s="10" t="str">
        <f t="shared" si="26"/>
        <v>Historic Baseline (0%),
+30% Outflow,
-10% Outflow</v>
      </c>
      <c r="H189" s="7">
        <v>0</v>
      </c>
      <c r="I189" s="10" t="s">
        <v>105</v>
      </c>
      <c r="J189" s="7"/>
      <c r="K189" s="10" t="str">
        <f t="shared" si="27"/>
        <v>Historic Baseline (0%),
+30% Outflow,
-10% Outflow</v>
      </c>
      <c r="L189" s="7">
        <v>0</v>
      </c>
      <c r="M189" s="10" t="s">
        <v>105</v>
      </c>
      <c r="N189" s="7"/>
      <c r="O189" s="10" t="str">
        <f t="shared" si="28"/>
        <v>Historic Baseline (0%),
+30% Outflow,
-10% Outflow</v>
      </c>
      <c r="P189" s="7">
        <v>0</v>
      </c>
      <c r="Q189" s="10" t="s">
        <v>105</v>
      </c>
      <c r="R189" s="7"/>
      <c r="S189" s="10" t="str">
        <f t="shared" si="29"/>
        <v>Historic Baseline (1%),
+30% Outflow,
-10% Outflow</v>
      </c>
      <c r="T189" s="7">
        <v>0</v>
      </c>
      <c r="U189" s="11" t="s">
        <v>105</v>
      </c>
    </row>
    <row r="190" spans="3:21" ht="45" x14ac:dyDescent="0.25">
      <c r="C190" s="12" t="str">
        <f t="shared" si="25"/>
        <v/>
      </c>
      <c r="D190" s="7">
        <v>-1</v>
      </c>
      <c r="E190" s="10" t="s">
        <v>106</v>
      </c>
      <c r="F190" s="7"/>
      <c r="G190" s="10" t="str">
        <f t="shared" si="26"/>
        <v/>
      </c>
      <c r="H190" s="7">
        <v>-1</v>
      </c>
      <c r="I190" s="10" t="s">
        <v>106</v>
      </c>
      <c r="J190" s="7"/>
      <c r="K190" s="10" t="str">
        <f t="shared" si="27"/>
        <v/>
      </c>
      <c r="L190" s="7">
        <v>-1</v>
      </c>
      <c r="M190" s="10" t="s">
        <v>106</v>
      </c>
      <c r="N190" s="7"/>
      <c r="O190" s="10" t="str">
        <f t="shared" si="28"/>
        <v/>
      </c>
      <c r="P190" s="7">
        <v>-1</v>
      </c>
      <c r="Q190" s="10" t="s">
        <v>106</v>
      </c>
      <c r="R190" s="7"/>
      <c r="S190" s="10" t="str">
        <f t="shared" si="29"/>
        <v/>
      </c>
      <c r="T190" s="7">
        <v>-1</v>
      </c>
      <c r="U190" s="11" t="s">
        <v>106</v>
      </c>
    </row>
    <row r="191" spans="3:21" x14ac:dyDescent="0.25">
      <c r="C191" s="12" t="str">
        <f t="shared" si="25"/>
        <v/>
      </c>
      <c r="D191" s="7">
        <v>-2</v>
      </c>
      <c r="E191" s="10" t="s">
        <v>107</v>
      </c>
      <c r="F191" s="7"/>
      <c r="G191" s="10" t="str">
        <f t="shared" si="26"/>
        <v/>
      </c>
      <c r="H191" s="7">
        <v>-2</v>
      </c>
      <c r="I191" s="10" t="s">
        <v>107</v>
      </c>
      <c r="J191" s="7"/>
      <c r="K191" s="10" t="str">
        <f t="shared" si="27"/>
        <v/>
      </c>
      <c r="L191" s="7">
        <v>-2</v>
      </c>
      <c r="M191" s="10" t="s">
        <v>107</v>
      </c>
      <c r="N191" s="7"/>
      <c r="O191" s="10" t="str">
        <f t="shared" si="28"/>
        <v/>
      </c>
      <c r="P191" s="7">
        <v>-2</v>
      </c>
      <c r="Q191" s="10" t="s">
        <v>107</v>
      </c>
      <c r="R191" s="7"/>
      <c r="S191" s="10" t="str">
        <f t="shared" si="29"/>
        <v/>
      </c>
      <c r="T191" s="7">
        <v>-2</v>
      </c>
      <c r="U191" s="11" t="s">
        <v>107</v>
      </c>
    </row>
    <row r="192" spans="3:21" x14ac:dyDescent="0.25">
      <c r="C192" s="12" t="str">
        <f t="shared" si="25"/>
        <v/>
      </c>
      <c r="D192" s="7">
        <v>-3</v>
      </c>
      <c r="E192" s="10" t="s">
        <v>108</v>
      </c>
      <c r="F192" s="7"/>
      <c r="G192" s="10" t="str">
        <f t="shared" si="26"/>
        <v/>
      </c>
      <c r="H192" s="7">
        <v>-3</v>
      </c>
      <c r="I192" s="10" t="s">
        <v>108</v>
      </c>
      <c r="J192" s="7"/>
      <c r="K192" s="10" t="str">
        <f t="shared" si="27"/>
        <v/>
      </c>
      <c r="L192" s="7">
        <v>-3</v>
      </c>
      <c r="M192" s="10" t="s">
        <v>108</v>
      </c>
      <c r="N192" s="7"/>
      <c r="O192" s="10" t="str">
        <f t="shared" si="28"/>
        <v/>
      </c>
      <c r="P192" s="7">
        <v>-3</v>
      </c>
      <c r="Q192" s="10" t="s">
        <v>108</v>
      </c>
      <c r="R192" s="7"/>
      <c r="S192" s="10" t="str">
        <f t="shared" si="29"/>
        <v/>
      </c>
      <c r="T192" s="7">
        <v>-3</v>
      </c>
      <c r="U192" s="11" t="s">
        <v>108</v>
      </c>
    </row>
    <row r="193" spans="3:21" x14ac:dyDescent="0.25">
      <c r="C193" s="12" t="str">
        <f t="shared" si="25"/>
        <v/>
      </c>
      <c r="D193" s="7">
        <v>-4</v>
      </c>
      <c r="E193" s="10" t="s">
        <v>109</v>
      </c>
      <c r="F193" s="7"/>
      <c r="G193" s="10" t="str">
        <f t="shared" si="26"/>
        <v/>
      </c>
      <c r="H193" s="7">
        <v>-4</v>
      </c>
      <c r="I193" s="10" t="s">
        <v>109</v>
      </c>
      <c r="J193" s="7"/>
      <c r="K193" s="10" t="str">
        <f t="shared" si="27"/>
        <v/>
      </c>
      <c r="L193" s="7">
        <v>-4</v>
      </c>
      <c r="M193" s="10" t="s">
        <v>109</v>
      </c>
      <c r="N193" s="7"/>
      <c r="O193" s="10" t="str">
        <f t="shared" si="28"/>
        <v/>
      </c>
      <c r="P193" s="7">
        <v>-4</v>
      </c>
      <c r="Q193" s="10" t="s">
        <v>109</v>
      </c>
      <c r="R193" s="7"/>
      <c r="S193" s="10" t="str">
        <f t="shared" si="29"/>
        <v/>
      </c>
      <c r="T193" s="7">
        <v>-4</v>
      </c>
      <c r="U193" s="11" t="s">
        <v>109</v>
      </c>
    </row>
    <row r="194" spans="3:21" ht="60.75" thickBot="1" x14ac:dyDescent="0.3">
      <c r="C194" s="35" t="str">
        <f t="shared" si="25"/>
        <v/>
      </c>
      <c r="D194" s="14">
        <v>-5</v>
      </c>
      <c r="E194" s="15" t="s">
        <v>110</v>
      </c>
      <c r="F194" s="14"/>
      <c r="G194" s="15" t="str">
        <f t="shared" si="26"/>
        <v/>
      </c>
      <c r="H194" s="14">
        <v>-5</v>
      </c>
      <c r="I194" s="15" t="s">
        <v>110</v>
      </c>
      <c r="J194" s="14"/>
      <c r="K194" s="15" t="str">
        <f t="shared" si="27"/>
        <v/>
      </c>
      <c r="L194" s="14">
        <v>-5</v>
      </c>
      <c r="M194" s="15" t="s">
        <v>110</v>
      </c>
      <c r="N194" s="14"/>
      <c r="O194" s="15" t="str">
        <f t="shared" si="28"/>
        <v/>
      </c>
      <c r="P194" s="14">
        <v>-5</v>
      </c>
      <c r="Q194" s="15" t="s">
        <v>110</v>
      </c>
      <c r="R194" s="14"/>
      <c r="S194" s="15" t="str">
        <f t="shared" si="29"/>
        <v/>
      </c>
      <c r="T194" s="14">
        <v>-5</v>
      </c>
      <c r="U194" s="16" t="s">
        <v>110</v>
      </c>
    </row>
    <row r="195" spans="3:21" ht="15.75" thickBot="1" x14ac:dyDescent="0.3"/>
    <row r="196" spans="3:21" ht="15.75" thickBot="1" x14ac:dyDescent="0.3">
      <c r="C196" s="72" t="s">
        <v>92</v>
      </c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4"/>
    </row>
    <row r="197" spans="3:21" ht="15.75" thickBot="1" x14ac:dyDescent="0.3">
      <c r="C197" s="75" t="s">
        <v>89</v>
      </c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7"/>
    </row>
    <row r="198" spans="3:21" ht="15.75" thickBot="1" x14ac:dyDescent="0.3">
      <c r="C198" s="78" t="s">
        <v>49</v>
      </c>
      <c r="D198" s="79"/>
      <c r="E198" s="80"/>
      <c r="F198" s="7"/>
      <c r="G198" s="78" t="s">
        <v>33</v>
      </c>
      <c r="H198" s="79"/>
      <c r="I198" s="80"/>
      <c r="J198" s="7"/>
      <c r="K198" s="78" t="s">
        <v>34</v>
      </c>
      <c r="L198" s="79"/>
      <c r="M198" s="80"/>
      <c r="N198" s="7"/>
      <c r="O198" s="78" t="s">
        <v>35</v>
      </c>
      <c r="P198" s="79"/>
      <c r="Q198" s="80"/>
      <c r="R198" s="7"/>
      <c r="S198" s="78" t="s">
        <v>36</v>
      </c>
      <c r="T198" s="79"/>
      <c r="U198" s="80"/>
    </row>
    <row r="199" spans="3:21" x14ac:dyDescent="0.25">
      <c r="C199" s="8" t="s">
        <v>97</v>
      </c>
      <c r="D199" s="7" t="s">
        <v>98</v>
      </c>
      <c r="E199" s="7" t="s">
        <v>99</v>
      </c>
      <c r="F199" s="7"/>
      <c r="G199" s="7" t="s">
        <v>97</v>
      </c>
      <c r="H199" s="7" t="s">
        <v>98</v>
      </c>
      <c r="I199" s="7" t="s">
        <v>99</v>
      </c>
      <c r="J199" s="7"/>
      <c r="K199" s="7" t="s">
        <v>97</v>
      </c>
      <c r="L199" s="7" t="s">
        <v>98</v>
      </c>
      <c r="M199" s="7" t="s">
        <v>99</v>
      </c>
      <c r="N199" s="7"/>
      <c r="O199" s="7" t="s">
        <v>97</v>
      </c>
      <c r="P199" s="7" t="s">
        <v>98</v>
      </c>
      <c r="Q199" s="7" t="s">
        <v>99</v>
      </c>
      <c r="R199" s="7"/>
      <c r="S199" s="7" t="s">
        <v>97</v>
      </c>
      <c r="T199" s="7" t="s">
        <v>98</v>
      </c>
      <c r="U199" s="9" t="s">
        <v>99</v>
      </c>
    </row>
    <row r="200" spans="3:21" ht="60" x14ac:dyDescent="0.25">
      <c r="C200" s="12" t="str">
        <f t="shared" ref="C200:C210" si="30">_xlfn.TEXTJOIN(","&amp;CHAR(10),TRUE,IF(D200=0,"Historic Baseline ("&amp;TEXT(N$41,"0%")&amp;")",""),IF(-MAX(-5,MIN(5,ROUND((N$50-N$41)*100,0)))=D200,"+30% Outflow",""),IF(-MAX(-5,MIN(5,ROUND((N$59-N$41)*100,0)))=D200,"-10% Outflow",""))</f>
        <v/>
      </c>
      <c r="D200" s="7">
        <v>5</v>
      </c>
      <c r="E200" s="10" t="s">
        <v>100</v>
      </c>
      <c r="F200" s="7"/>
      <c r="G200" s="10" t="str">
        <f t="shared" ref="G200:G210" si="31">_xlfn.TEXTJOIN(","&amp;CHAR(10),TRUE,IF(H200=0,"Historic Baseline ("&amp;TEXT(O$41,"0%")&amp;")",""),IF(-MAX(-5,MIN(5,ROUND((O$50-O$41)*100,0)))=H200,"+30% Outflow",""),IF(-MAX(-5,MIN(5,ROUND((O$59-O$41)*100,0)))=H200,"-10% Outflow",""))</f>
        <v/>
      </c>
      <c r="H200" s="7">
        <v>5</v>
      </c>
      <c r="I200" s="10" t="s">
        <v>100</v>
      </c>
      <c r="J200" s="7"/>
      <c r="K200" s="10" t="str">
        <f t="shared" ref="K200:K210" si="32">_xlfn.TEXTJOIN(","&amp;CHAR(10),TRUE,IF(L200=0,"Historic Baseline ("&amp;TEXT(P$41,"0%")&amp;")",""),IF(-MAX(-5,MIN(5,ROUND((P$50-P$41)*100,0)))=L200,"+30% Outflow",""),IF(-MAX(-5,MIN(5,ROUND((P$59-P$41)*100,0)))=L200,"-10% Outflow",""))</f>
        <v/>
      </c>
      <c r="L200" s="7">
        <v>5</v>
      </c>
      <c r="M200" s="10" t="s">
        <v>100</v>
      </c>
      <c r="N200" s="7"/>
      <c r="O200" s="10" t="str">
        <f t="shared" ref="O200:O210" si="33">_xlfn.TEXTJOIN(","&amp;CHAR(10),TRUE,IF(P200=0,"Historic Baseline ("&amp;TEXT(Q$41,"0%")&amp;")",""),IF(-MAX(-5,MIN(5,ROUND((Q$50-Q$41)*100,0)))=P200,"+30% Outflow",""),IF(-MAX(-5,MIN(5,ROUND((Q$59-Q$41)*100,0)))=P200,"-10% Outflow",""))</f>
        <v/>
      </c>
      <c r="P200" s="7">
        <v>5</v>
      </c>
      <c r="Q200" s="10" t="s">
        <v>100</v>
      </c>
      <c r="R200" s="7"/>
      <c r="S200" s="10" t="str">
        <f t="shared" ref="S200:S210" si="34">_xlfn.TEXTJOIN(","&amp;CHAR(10),TRUE,IF(T200=0,"Historic Baseline ("&amp;TEXT(R$41,"0%")&amp;")",""),IF(-MAX(-5,MIN(5,ROUND((R$50-R$41)*100,0)))=T200,"+30% Outflow",""),IF(-MAX(-5,MIN(5,ROUND((R$59-R$41)*100,0)))=T200,"-10% Outflow",""))</f>
        <v/>
      </c>
      <c r="T200" s="7">
        <v>5</v>
      </c>
      <c r="U200" s="11" t="s">
        <v>100</v>
      </c>
    </row>
    <row r="201" spans="3:21" x14ac:dyDescent="0.25">
      <c r="C201" s="12" t="str">
        <f t="shared" si="30"/>
        <v/>
      </c>
      <c r="D201" s="7">
        <v>4</v>
      </c>
      <c r="E201" s="10" t="s">
        <v>101</v>
      </c>
      <c r="F201" s="7"/>
      <c r="G201" s="10" t="str">
        <f t="shared" si="31"/>
        <v/>
      </c>
      <c r="H201" s="7">
        <v>4</v>
      </c>
      <c r="I201" s="10" t="s">
        <v>101</v>
      </c>
      <c r="J201" s="7"/>
      <c r="K201" s="10" t="str">
        <f t="shared" si="32"/>
        <v/>
      </c>
      <c r="L201" s="7">
        <v>4</v>
      </c>
      <c r="M201" s="10" t="s">
        <v>101</v>
      </c>
      <c r="N201" s="7"/>
      <c r="O201" s="10" t="str">
        <f t="shared" si="33"/>
        <v/>
      </c>
      <c r="P201" s="7">
        <v>4</v>
      </c>
      <c r="Q201" s="10" t="s">
        <v>101</v>
      </c>
      <c r="R201" s="7"/>
      <c r="S201" s="10" t="str">
        <f t="shared" si="34"/>
        <v/>
      </c>
      <c r="T201" s="7">
        <v>4</v>
      </c>
      <c r="U201" s="11" t="s">
        <v>101</v>
      </c>
    </row>
    <row r="202" spans="3:21" x14ac:dyDescent="0.25">
      <c r="C202" s="12" t="str">
        <f t="shared" si="30"/>
        <v/>
      </c>
      <c r="D202" s="7">
        <v>3</v>
      </c>
      <c r="E202" s="10" t="s">
        <v>102</v>
      </c>
      <c r="F202" s="7"/>
      <c r="G202" s="10" t="str">
        <f t="shared" si="31"/>
        <v/>
      </c>
      <c r="H202" s="7">
        <v>3</v>
      </c>
      <c r="I202" s="10" t="s">
        <v>102</v>
      </c>
      <c r="J202" s="7"/>
      <c r="K202" s="10" t="str">
        <f t="shared" si="32"/>
        <v/>
      </c>
      <c r="L202" s="7">
        <v>3</v>
      </c>
      <c r="M202" s="10" t="s">
        <v>102</v>
      </c>
      <c r="N202" s="7"/>
      <c r="O202" s="10" t="str">
        <f t="shared" si="33"/>
        <v/>
      </c>
      <c r="P202" s="7">
        <v>3</v>
      </c>
      <c r="Q202" s="10" t="s">
        <v>102</v>
      </c>
      <c r="R202" s="7"/>
      <c r="S202" s="10" t="str">
        <f t="shared" si="34"/>
        <v/>
      </c>
      <c r="T202" s="7">
        <v>3</v>
      </c>
      <c r="U202" s="11" t="s">
        <v>102</v>
      </c>
    </row>
    <row r="203" spans="3:21" x14ac:dyDescent="0.25">
      <c r="C203" s="12" t="str">
        <f t="shared" si="30"/>
        <v/>
      </c>
      <c r="D203" s="7">
        <v>2</v>
      </c>
      <c r="E203" s="10" t="s">
        <v>103</v>
      </c>
      <c r="F203" s="7"/>
      <c r="G203" s="10" t="str">
        <f t="shared" si="31"/>
        <v/>
      </c>
      <c r="H203" s="7">
        <v>2</v>
      </c>
      <c r="I203" s="10" t="s">
        <v>103</v>
      </c>
      <c r="J203" s="7"/>
      <c r="K203" s="10" t="str">
        <f t="shared" si="32"/>
        <v/>
      </c>
      <c r="L203" s="7">
        <v>2</v>
      </c>
      <c r="M203" s="10" t="s">
        <v>103</v>
      </c>
      <c r="N203" s="7"/>
      <c r="O203" s="10" t="str">
        <f t="shared" si="33"/>
        <v/>
      </c>
      <c r="P203" s="7">
        <v>2</v>
      </c>
      <c r="Q203" s="10" t="s">
        <v>103</v>
      </c>
      <c r="R203" s="7"/>
      <c r="S203" s="10" t="str">
        <f t="shared" si="34"/>
        <v/>
      </c>
      <c r="T203" s="7">
        <v>2</v>
      </c>
      <c r="U203" s="11" t="s">
        <v>103</v>
      </c>
    </row>
    <row r="204" spans="3:21" ht="30" x14ac:dyDescent="0.25">
      <c r="C204" s="12" t="str">
        <f t="shared" si="30"/>
        <v/>
      </c>
      <c r="D204" s="7">
        <v>1</v>
      </c>
      <c r="E204" s="10" t="s">
        <v>104</v>
      </c>
      <c r="F204" s="7"/>
      <c r="G204" s="10" t="str">
        <f t="shared" si="31"/>
        <v/>
      </c>
      <c r="H204" s="7">
        <v>1</v>
      </c>
      <c r="I204" s="10" t="s">
        <v>104</v>
      </c>
      <c r="J204" s="7"/>
      <c r="K204" s="10" t="str">
        <f t="shared" si="32"/>
        <v/>
      </c>
      <c r="L204" s="7">
        <v>1</v>
      </c>
      <c r="M204" s="10" t="s">
        <v>104</v>
      </c>
      <c r="N204" s="7"/>
      <c r="O204" s="10" t="str">
        <f t="shared" si="33"/>
        <v>-10% Outflow</v>
      </c>
      <c r="P204" s="7">
        <v>1</v>
      </c>
      <c r="Q204" s="10" t="s">
        <v>104</v>
      </c>
      <c r="R204" s="7"/>
      <c r="S204" s="10" t="str">
        <f t="shared" si="34"/>
        <v>+30% Outflow</v>
      </c>
      <c r="T204" s="7">
        <v>1</v>
      </c>
      <c r="U204" s="11" t="s">
        <v>104</v>
      </c>
    </row>
    <row r="205" spans="3:21" ht="105" x14ac:dyDescent="0.25">
      <c r="C205" s="12" t="str">
        <f t="shared" si="30"/>
        <v>Historic Baseline (28%),
+30% Outflow,
-10% Outflow</v>
      </c>
      <c r="D205" s="7">
        <v>0</v>
      </c>
      <c r="E205" s="10" t="s">
        <v>105</v>
      </c>
      <c r="F205" s="7"/>
      <c r="G205" s="10" t="str">
        <f t="shared" si="31"/>
        <v>Historic Baseline (3%),
+30% Outflow,
-10% Outflow</v>
      </c>
      <c r="H205" s="7">
        <v>0</v>
      </c>
      <c r="I205" s="10" t="s">
        <v>105</v>
      </c>
      <c r="J205" s="7"/>
      <c r="K205" s="10" t="str">
        <f t="shared" si="32"/>
        <v>Historic Baseline (26%),
+30% Outflow,
-10% Outflow</v>
      </c>
      <c r="L205" s="7">
        <v>0</v>
      </c>
      <c r="M205" s="10" t="s">
        <v>105</v>
      </c>
      <c r="N205" s="7"/>
      <c r="O205" s="10" t="str">
        <f t="shared" si="33"/>
        <v>Historic Baseline (24%),
+30% Outflow</v>
      </c>
      <c r="P205" s="7">
        <v>0</v>
      </c>
      <c r="Q205" s="10" t="s">
        <v>105</v>
      </c>
      <c r="R205" s="7"/>
      <c r="S205" s="10" t="str">
        <f t="shared" si="34"/>
        <v>Historic Baseline (53%),
-10% Outflow</v>
      </c>
      <c r="T205" s="7">
        <v>0</v>
      </c>
      <c r="U205" s="11" t="s">
        <v>105</v>
      </c>
    </row>
    <row r="206" spans="3:21" ht="45" x14ac:dyDescent="0.25">
      <c r="C206" s="12" t="str">
        <f t="shared" si="30"/>
        <v/>
      </c>
      <c r="D206" s="7">
        <v>-1</v>
      </c>
      <c r="E206" s="10" t="s">
        <v>106</v>
      </c>
      <c r="F206" s="7"/>
      <c r="G206" s="10" t="str">
        <f t="shared" si="31"/>
        <v/>
      </c>
      <c r="H206" s="7">
        <v>-1</v>
      </c>
      <c r="I206" s="10" t="s">
        <v>106</v>
      </c>
      <c r="J206" s="7"/>
      <c r="K206" s="10" t="str">
        <f t="shared" si="32"/>
        <v/>
      </c>
      <c r="L206" s="7">
        <v>-1</v>
      </c>
      <c r="M206" s="10" t="s">
        <v>106</v>
      </c>
      <c r="N206" s="7"/>
      <c r="O206" s="10" t="str">
        <f t="shared" si="33"/>
        <v/>
      </c>
      <c r="P206" s="7">
        <v>-1</v>
      </c>
      <c r="Q206" s="10" t="s">
        <v>106</v>
      </c>
      <c r="R206" s="7"/>
      <c r="S206" s="10" t="str">
        <f t="shared" si="34"/>
        <v/>
      </c>
      <c r="T206" s="7">
        <v>-1</v>
      </c>
      <c r="U206" s="11" t="s">
        <v>106</v>
      </c>
    </row>
    <row r="207" spans="3:21" x14ac:dyDescent="0.25">
      <c r="C207" s="12" t="str">
        <f t="shared" si="30"/>
        <v/>
      </c>
      <c r="D207" s="7">
        <v>-2</v>
      </c>
      <c r="E207" s="10" t="s">
        <v>107</v>
      </c>
      <c r="F207" s="7"/>
      <c r="G207" s="10" t="str">
        <f t="shared" si="31"/>
        <v/>
      </c>
      <c r="H207" s="7">
        <v>-2</v>
      </c>
      <c r="I207" s="10" t="s">
        <v>107</v>
      </c>
      <c r="J207" s="7"/>
      <c r="K207" s="10" t="str">
        <f t="shared" si="32"/>
        <v/>
      </c>
      <c r="L207" s="7">
        <v>-2</v>
      </c>
      <c r="M207" s="10" t="s">
        <v>107</v>
      </c>
      <c r="N207" s="7"/>
      <c r="O207" s="10" t="str">
        <f t="shared" si="33"/>
        <v/>
      </c>
      <c r="P207" s="7">
        <v>-2</v>
      </c>
      <c r="Q207" s="10" t="s">
        <v>107</v>
      </c>
      <c r="R207" s="7"/>
      <c r="S207" s="10" t="str">
        <f t="shared" si="34"/>
        <v/>
      </c>
      <c r="T207" s="7">
        <v>-2</v>
      </c>
      <c r="U207" s="11" t="s">
        <v>107</v>
      </c>
    </row>
    <row r="208" spans="3:21" x14ac:dyDescent="0.25">
      <c r="C208" s="12" t="str">
        <f t="shared" si="30"/>
        <v/>
      </c>
      <c r="D208" s="7">
        <v>-3</v>
      </c>
      <c r="E208" s="10" t="s">
        <v>108</v>
      </c>
      <c r="F208" s="7"/>
      <c r="G208" s="10" t="str">
        <f t="shared" si="31"/>
        <v/>
      </c>
      <c r="H208" s="7">
        <v>-3</v>
      </c>
      <c r="I208" s="10" t="s">
        <v>108</v>
      </c>
      <c r="J208" s="7"/>
      <c r="K208" s="10" t="str">
        <f t="shared" si="32"/>
        <v/>
      </c>
      <c r="L208" s="7">
        <v>-3</v>
      </c>
      <c r="M208" s="10" t="s">
        <v>108</v>
      </c>
      <c r="N208" s="7"/>
      <c r="O208" s="10" t="str">
        <f t="shared" si="33"/>
        <v/>
      </c>
      <c r="P208" s="7">
        <v>-3</v>
      </c>
      <c r="Q208" s="10" t="s">
        <v>108</v>
      </c>
      <c r="R208" s="7"/>
      <c r="S208" s="10" t="str">
        <f t="shared" si="34"/>
        <v/>
      </c>
      <c r="T208" s="7">
        <v>-3</v>
      </c>
      <c r="U208" s="11" t="s">
        <v>108</v>
      </c>
    </row>
    <row r="209" spans="3:21" x14ac:dyDescent="0.25">
      <c r="C209" s="12" t="str">
        <f t="shared" si="30"/>
        <v/>
      </c>
      <c r="D209" s="7">
        <v>-4</v>
      </c>
      <c r="E209" s="10" t="s">
        <v>109</v>
      </c>
      <c r="F209" s="7"/>
      <c r="G209" s="10" t="str">
        <f t="shared" si="31"/>
        <v/>
      </c>
      <c r="H209" s="7">
        <v>-4</v>
      </c>
      <c r="I209" s="10" t="s">
        <v>109</v>
      </c>
      <c r="J209" s="7"/>
      <c r="K209" s="10" t="str">
        <f t="shared" si="32"/>
        <v/>
      </c>
      <c r="L209" s="7">
        <v>-4</v>
      </c>
      <c r="M209" s="10" t="s">
        <v>109</v>
      </c>
      <c r="N209" s="7"/>
      <c r="O209" s="10" t="str">
        <f t="shared" si="33"/>
        <v/>
      </c>
      <c r="P209" s="7">
        <v>-4</v>
      </c>
      <c r="Q209" s="10" t="s">
        <v>109</v>
      </c>
      <c r="R209" s="7"/>
      <c r="S209" s="10" t="str">
        <f t="shared" si="34"/>
        <v/>
      </c>
      <c r="T209" s="7">
        <v>-4</v>
      </c>
      <c r="U209" s="11" t="s">
        <v>109</v>
      </c>
    </row>
    <row r="210" spans="3:21" ht="60.75" thickBot="1" x14ac:dyDescent="0.3">
      <c r="C210" s="35" t="str">
        <f t="shared" si="30"/>
        <v/>
      </c>
      <c r="D210" s="14">
        <v>-5</v>
      </c>
      <c r="E210" s="15" t="s">
        <v>110</v>
      </c>
      <c r="F210" s="14"/>
      <c r="G210" s="15" t="str">
        <f t="shared" si="31"/>
        <v/>
      </c>
      <c r="H210" s="14">
        <v>-5</v>
      </c>
      <c r="I210" s="15" t="s">
        <v>110</v>
      </c>
      <c r="J210" s="14"/>
      <c r="K210" s="15" t="str">
        <f t="shared" si="32"/>
        <v/>
      </c>
      <c r="L210" s="14">
        <v>-5</v>
      </c>
      <c r="M210" s="15" t="s">
        <v>110</v>
      </c>
      <c r="N210" s="14"/>
      <c r="O210" s="15" t="str">
        <f t="shared" si="33"/>
        <v/>
      </c>
      <c r="P210" s="14">
        <v>-5</v>
      </c>
      <c r="Q210" s="15" t="s">
        <v>110</v>
      </c>
      <c r="R210" s="14"/>
      <c r="S210" s="15" t="str">
        <f t="shared" si="34"/>
        <v/>
      </c>
      <c r="T210" s="14">
        <v>-5</v>
      </c>
      <c r="U210" s="16" t="s">
        <v>110</v>
      </c>
    </row>
    <row r="213" spans="3:21" ht="15.75" thickBot="1" x14ac:dyDescent="0.3"/>
    <row r="214" spans="3:21" ht="15.75" thickBot="1" x14ac:dyDescent="0.3">
      <c r="C214" s="45" t="s">
        <v>93</v>
      </c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7"/>
    </row>
    <row r="215" spans="3:21" ht="15.75" thickBot="1" x14ac:dyDescent="0.3">
      <c r="C215" s="61" t="s">
        <v>87</v>
      </c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3"/>
    </row>
    <row r="216" spans="3:21" ht="15.75" thickBot="1" x14ac:dyDescent="0.3">
      <c r="C216" s="51" t="s">
        <v>49</v>
      </c>
      <c r="D216" s="52"/>
      <c r="E216" s="53"/>
      <c r="F216" s="17"/>
      <c r="G216" s="51" t="s">
        <v>33</v>
      </c>
      <c r="H216" s="52"/>
      <c r="I216" s="53"/>
      <c r="J216" s="17"/>
      <c r="K216" s="51" t="s">
        <v>34</v>
      </c>
      <c r="L216" s="52"/>
      <c r="M216" s="53"/>
      <c r="N216" s="17"/>
      <c r="O216" s="51" t="s">
        <v>35</v>
      </c>
      <c r="P216" s="52"/>
      <c r="Q216" s="53"/>
      <c r="R216" s="17"/>
      <c r="S216" s="51" t="s">
        <v>36</v>
      </c>
      <c r="T216" s="52"/>
      <c r="U216" s="53"/>
    </row>
    <row r="217" spans="3:21" x14ac:dyDescent="0.25">
      <c r="C217" s="18" t="s">
        <v>97</v>
      </c>
      <c r="D217" s="17" t="s">
        <v>98</v>
      </c>
      <c r="E217" s="17" t="s">
        <v>99</v>
      </c>
      <c r="F217" s="17"/>
      <c r="G217" s="17" t="s">
        <v>97</v>
      </c>
      <c r="H217" s="17" t="s">
        <v>98</v>
      </c>
      <c r="I217" s="17" t="s">
        <v>99</v>
      </c>
      <c r="J217" s="17"/>
      <c r="K217" s="17" t="s">
        <v>97</v>
      </c>
      <c r="L217" s="17" t="s">
        <v>98</v>
      </c>
      <c r="M217" s="17" t="s">
        <v>99</v>
      </c>
      <c r="N217" s="17"/>
      <c r="O217" s="17" t="s">
        <v>97</v>
      </c>
      <c r="P217" s="17" t="s">
        <v>98</v>
      </c>
      <c r="Q217" s="17" t="s">
        <v>99</v>
      </c>
      <c r="R217" s="17"/>
      <c r="S217" s="17" t="s">
        <v>97</v>
      </c>
      <c r="T217" s="17" t="s">
        <v>98</v>
      </c>
      <c r="U217" s="19" t="s">
        <v>99</v>
      </c>
    </row>
    <row r="218" spans="3:21" ht="60" x14ac:dyDescent="0.25">
      <c r="C218" s="22" t="str">
        <f t="shared" ref="C218:C228" si="35">_xlfn.TEXTJOIN(","&amp;CHAR(10),TRUE,IF(D218=0,"Historic Baseline ("&amp;TEXT(D$42,"0%")&amp;")",""),IF(-MAX(-5,MIN(5,ROUND((D$51-D$42)*100,0)))=D218,"+30% Outflow",""),IF(-MAX(-5,MIN(5,ROUND((D$60-D$42)*100,0)))=D218,"-10% Outflow",""))</f>
        <v/>
      </c>
      <c r="D218" s="17">
        <v>5</v>
      </c>
      <c r="E218" s="20" t="s">
        <v>100</v>
      </c>
      <c r="F218" s="17"/>
      <c r="G218" s="20" t="str">
        <f t="shared" ref="G218:G228" si="36">_xlfn.TEXTJOIN(","&amp;CHAR(10),TRUE,IF(H218=0,"Historic Baseline ("&amp;TEXT(E$42,"0%")&amp;")",""),IF(-MAX(-5,MIN(5,ROUND((E$51-E$42)*100,0)))=H218,"+30% Outflow",""),IF(-MAX(-5,MIN(5,ROUND((E$60-E$42)*100,0)))=H218,"-10% Outflow",""))</f>
        <v/>
      </c>
      <c r="H218" s="17">
        <v>5</v>
      </c>
      <c r="I218" s="20" t="s">
        <v>100</v>
      </c>
      <c r="J218" s="17"/>
      <c r="K218" s="20" t="str">
        <f t="shared" ref="K218:K228" si="37">_xlfn.TEXTJOIN(","&amp;CHAR(10),TRUE,IF(L218=0,"Historic Baseline ("&amp;TEXT(F$42,"0%")&amp;")",""),IF(-MAX(-5,MIN(5,ROUND((F$51-F$42)*100,0)))=L218,"+30% Outflow",""),IF(-MAX(-5,MIN(5,ROUND((F$60-F$42)*100,0)))=L218,"-10% Outflow",""))</f>
        <v/>
      </c>
      <c r="L218" s="17">
        <v>5</v>
      </c>
      <c r="M218" s="20" t="s">
        <v>100</v>
      </c>
      <c r="N218" s="17"/>
      <c r="O218" s="20" t="str">
        <f t="shared" ref="O218:O228" si="38">_xlfn.TEXTJOIN(","&amp;CHAR(10),TRUE,IF(P218=0,"Historic Baseline ("&amp;TEXT(G$42,"0%")&amp;")",""),IF(-MAX(-5,MIN(5,ROUND((G$51-G$42)*100,0)))=P218,"+30% Outflow",""),IF(-MAX(-5,MIN(5,ROUND((G$60-G$42)*100,0)))=P218,"-10% Outflow",""))</f>
        <v/>
      </c>
      <c r="P218" s="17">
        <v>5</v>
      </c>
      <c r="Q218" s="20" t="s">
        <v>100</v>
      </c>
      <c r="R218" s="17"/>
      <c r="S218" s="20" t="str">
        <f t="shared" ref="S218:S228" si="39">_xlfn.TEXTJOIN(","&amp;CHAR(10),TRUE,IF(T218=0,"Historic Baseline ("&amp;TEXT(H$42,"0%")&amp;")",""),IF(-MAX(-5,MIN(5,ROUND((H$51-H$42)*100,0)))=T218,"+30% Outflow",""),IF(-MAX(-5,MIN(5,ROUND((H$60-H$42)*100,0)))=T218,"-10% Outflow",""))</f>
        <v/>
      </c>
      <c r="T218" s="17">
        <v>5</v>
      </c>
      <c r="U218" s="21" t="s">
        <v>100</v>
      </c>
    </row>
    <row r="219" spans="3:21" x14ac:dyDescent="0.25">
      <c r="C219" s="22" t="str">
        <f t="shared" si="35"/>
        <v/>
      </c>
      <c r="D219" s="17">
        <v>4</v>
      </c>
      <c r="E219" s="20" t="s">
        <v>101</v>
      </c>
      <c r="F219" s="17"/>
      <c r="G219" s="20" t="str">
        <f t="shared" si="36"/>
        <v/>
      </c>
      <c r="H219" s="17">
        <v>4</v>
      </c>
      <c r="I219" s="20" t="s">
        <v>101</v>
      </c>
      <c r="J219" s="17"/>
      <c r="K219" s="20" t="str">
        <f t="shared" si="37"/>
        <v/>
      </c>
      <c r="L219" s="17">
        <v>4</v>
      </c>
      <c r="M219" s="20" t="s">
        <v>101</v>
      </c>
      <c r="N219" s="17"/>
      <c r="O219" s="20" t="str">
        <f t="shared" si="38"/>
        <v/>
      </c>
      <c r="P219" s="17">
        <v>4</v>
      </c>
      <c r="Q219" s="20" t="s">
        <v>101</v>
      </c>
      <c r="R219" s="17"/>
      <c r="S219" s="20" t="str">
        <f t="shared" si="39"/>
        <v/>
      </c>
      <c r="T219" s="17">
        <v>4</v>
      </c>
      <c r="U219" s="21" t="s">
        <v>101</v>
      </c>
    </row>
    <row r="220" spans="3:21" x14ac:dyDescent="0.25">
      <c r="C220" s="22" t="str">
        <f t="shared" si="35"/>
        <v/>
      </c>
      <c r="D220" s="17">
        <v>3</v>
      </c>
      <c r="E220" s="20" t="s">
        <v>102</v>
      </c>
      <c r="F220" s="17"/>
      <c r="G220" s="20" t="str">
        <f t="shared" si="36"/>
        <v/>
      </c>
      <c r="H220" s="17">
        <v>3</v>
      </c>
      <c r="I220" s="20" t="s">
        <v>102</v>
      </c>
      <c r="J220" s="17"/>
      <c r="K220" s="20" t="str">
        <f t="shared" si="37"/>
        <v/>
      </c>
      <c r="L220" s="17">
        <v>3</v>
      </c>
      <c r="M220" s="20" t="s">
        <v>102</v>
      </c>
      <c r="N220" s="17"/>
      <c r="O220" s="20" t="str">
        <f t="shared" si="38"/>
        <v/>
      </c>
      <c r="P220" s="17">
        <v>3</v>
      </c>
      <c r="Q220" s="20" t="s">
        <v>102</v>
      </c>
      <c r="R220" s="17"/>
      <c r="S220" s="20" t="str">
        <f t="shared" si="39"/>
        <v/>
      </c>
      <c r="T220" s="17">
        <v>3</v>
      </c>
      <c r="U220" s="21" t="s">
        <v>102</v>
      </c>
    </row>
    <row r="221" spans="3:21" x14ac:dyDescent="0.25">
      <c r="C221" s="22" t="str">
        <f t="shared" si="35"/>
        <v/>
      </c>
      <c r="D221" s="17">
        <v>2</v>
      </c>
      <c r="E221" s="20" t="s">
        <v>103</v>
      </c>
      <c r="F221" s="17"/>
      <c r="G221" s="20" t="str">
        <f t="shared" si="36"/>
        <v/>
      </c>
      <c r="H221" s="17">
        <v>2</v>
      </c>
      <c r="I221" s="20" t="s">
        <v>103</v>
      </c>
      <c r="J221" s="17"/>
      <c r="K221" s="20" t="str">
        <f t="shared" si="37"/>
        <v/>
      </c>
      <c r="L221" s="17">
        <v>2</v>
      </c>
      <c r="M221" s="20" t="s">
        <v>103</v>
      </c>
      <c r="N221" s="17"/>
      <c r="O221" s="20" t="str">
        <f t="shared" si="38"/>
        <v/>
      </c>
      <c r="P221" s="17">
        <v>2</v>
      </c>
      <c r="Q221" s="20" t="s">
        <v>103</v>
      </c>
      <c r="R221" s="17"/>
      <c r="S221" s="20" t="str">
        <f t="shared" si="39"/>
        <v/>
      </c>
      <c r="T221" s="17">
        <v>2</v>
      </c>
      <c r="U221" s="21" t="s">
        <v>103</v>
      </c>
    </row>
    <row r="222" spans="3:21" x14ac:dyDescent="0.25">
      <c r="C222" s="22" t="str">
        <f t="shared" si="35"/>
        <v/>
      </c>
      <c r="D222" s="17">
        <v>1</v>
      </c>
      <c r="E222" s="20" t="s">
        <v>104</v>
      </c>
      <c r="F222" s="17"/>
      <c r="G222" s="20" t="str">
        <f t="shared" si="36"/>
        <v/>
      </c>
      <c r="H222" s="17">
        <v>1</v>
      </c>
      <c r="I222" s="20" t="s">
        <v>104</v>
      </c>
      <c r="J222" s="17"/>
      <c r="K222" s="20" t="str">
        <f t="shared" si="37"/>
        <v/>
      </c>
      <c r="L222" s="17">
        <v>1</v>
      </c>
      <c r="M222" s="20" t="s">
        <v>104</v>
      </c>
      <c r="N222" s="17"/>
      <c r="O222" s="20" t="str">
        <f t="shared" si="38"/>
        <v/>
      </c>
      <c r="P222" s="17">
        <v>1</v>
      </c>
      <c r="Q222" s="20" t="s">
        <v>104</v>
      </c>
      <c r="R222" s="17"/>
      <c r="S222" s="20" t="str">
        <f t="shared" si="39"/>
        <v/>
      </c>
      <c r="T222" s="17">
        <v>1</v>
      </c>
      <c r="U222" s="21" t="s">
        <v>104</v>
      </c>
    </row>
    <row r="223" spans="3:21" ht="105" x14ac:dyDescent="0.25">
      <c r="C223" s="22" t="str">
        <f t="shared" si="35"/>
        <v>Historic Baseline (44%),
+30% Outflow,
-10% Outflow</v>
      </c>
      <c r="D223" s="17">
        <v>0</v>
      </c>
      <c r="E223" s="20" t="s">
        <v>105</v>
      </c>
      <c r="F223" s="17"/>
      <c r="G223" s="20" t="str">
        <f t="shared" si="36"/>
        <v>Historic Baseline (41%)</v>
      </c>
      <c r="H223" s="17">
        <v>0</v>
      </c>
      <c r="I223" s="20" t="s">
        <v>105</v>
      </c>
      <c r="J223" s="17"/>
      <c r="K223" s="20" t="str">
        <f t="shared" si="37"/>
        <v>Historic Baseline (45%),
+30% Outflow,
-10% Outflow</v>
      </c>
      <c r="L223" s="17">
        <v>0</v>
      </c>
      <c r="M223" s="20" t="s">
        <v>105</v>
      </c>
      <c r="N223" s="17"/>
      <c r="O223" s="10" t="str">
        <f t="shared" si="38"/>
        <v>Historic Baseline (43%),
+30% Outflow,
-10% Outflow</v>
      </c>
      <c r="P223" s="17">
        <v>0</v>
      </c>
      <c r="Q223" s="20" t="s">
        <v>105</v>
      </c>
      <c r="R223" s="17"/>
      <c r="S223" s="10" t="str">
        <f t="shared" si="39"/>
        <v>Historic Baseline (47%),
+30% Outflow,
-10% Outflow</v>
      </c>
      <c r="T223" s="17">
        <v>0</v>
      </c>
      <c r="U223" s="21" t="s">
        <v>105</v>
      </c>
    </row>
    <row r="224" spans="3:21" ht="60" x14ac:dyDescent="0.25">
      <c r="C224" s="22" t="str">
        <f t="shared" si="35"/>
        <v/>
      </c>
      <c r="D224" s="17">
        <v>-1</v>
      </c>
      <c r="E224" s="20" t="s">
        <v>106</v>
      </c>
      <c r="F224" s="17"/>
      <c r="G224" s="20" t="str">
        <f t="shared" si="36"/>
        <v>+30% Outflow,
-10% Outflow</v>
      </c>
      <c r="H224" s="17">
        <v>-1</v>
      </c>
      <c r="I224" s="20" t="s">
        <v>106</v>
      </c>
      <c r="J224" s="17"/>
      <c r="K224" s="20" t="str">
        <f t="shared" si="37"/>
        <v/>
      </c>
      <c r="L224" s="17">
        <v>-1</v>
      </c>
      <c r="M224" s="20" t="s">
        <v>106</v>
      </c>
      <c r="N224" s="17"/>
      <c r="O224" s="20" t="str">
        <f t="shared" si="38"/>
        <v/>
      </c>
      <c r="P224" s="17">
        <v>-1</v>
      </c>
      <c r="Q224" s="20" t="s">
        <v>106</v>
      </c>
      <c r="R224" s="17"/>
      <c r="S224" s="20" t="str">
        <f t="shared" si="39"/>
        <v/>
      </c>
      <c r="T224" s="17">
        <v>-1</v>
      </c>
      <c r="U224" s="21" t="s">
        <v>106</v>
      </c>
    </row>
    <row r="225" spans="3:21" x14ac:dyDescent="0.25">
      <c r="C225" s="22" t="str">
        <f t="shared" si="35"/>
        <v/>
      </c>
      <c r="D225" s="17">
        <v>-2</v>
      </c>
      <c r="E225" s="20" t="s">
        <v>107</v>
      </c>
      <c r="F225" s="17"/>
      <c r="G225" s="20" t="str">
        <f t="shared" si="36"/>
        <v/>
      </c>
      <c r="H225" s="17">
        <v>-2</v>
      </c>
      <c r="I225" s="20" t="s">
        <v>107</v>
      </c>
      <c r="J225" s="17"/>
      <c r="K225" s="20" t="str">
        <f t="shared" si="37"/>
        <v/>
      </c>
      <c r="L225" s="17">
        <v>-2</v>
      </c>
      <c r="M225" s="20" t="s">
        <v>107</v>
      </c>
      <c r="N225" s="17"/>
      <c r="O225" s="20" t="str">
        <f t="shared" si="38"/>
        <v/>
      </c>
      <c r="P225" s="17">
        <v>-2</v>
      </c>
      <c r="Q225" s="20" t="s">
        <v>107</v>
      </c>
      <c r="R225" s="17"/>
      <c r="S225" s="20" t="str">
        <f t="shared" si="39"/>
        <v/>
      </c>
      <c r="T225" s="17">
        <v>-2</v>
      </c>
      <c r="U225" s="21" t="s">
        <v>107</v>
      </c>
    </row>
    <row r="226" spans="3:21" x14ac:dyDescent="0.25">
      <c r="C226" s="22" t="str">
        <f t="shared" si="35"/>
        <v/>
      </c>
      <c r="D226" s="17">
        <v>-3</v>
      </c>
      <c r="E226" s="20" t="s">
        <v>108</v>
      </c>
      <c r="F226" s="17"/>
      <c r="G226" s="20" t="str">
        <f t="shared" si="36"/>
        <v/>
      </c>
      <c r="H226" s="17">
        <v>-3</v>
      </c>
      <c r="I226" s="20" t="s">
        <v>108</v>
      </c>
      <c r="J226" s="17"/>
      <c r="K226" s="20" t="str">
        <f t="shared" si="37"/>
        <v/>
      </c>
      <c r="L226" s="17">
        <v>-3</v>
      </c>
      <c r="M226" s="20" t="s">
        <v>108</v>
      </c>
      <c r="N226" s="17"/>
      <c r="O226" s="20" t="str">
        <f t="shared" si="38"/>
        <v/>
      </c>
      <c r="P226" s="17">
        <v>-3</v>
      </c>
      <c r="Q226" s="20" t="s">
        <v>108</v>
      </c>
      <c r="R226" s="17"/>
      <c r="S226" s="20" t="str">
        <f t="shared" si="39"/>
        <v/>
      </c>
      <c r="T226" s="17">
        <v>-3</v>
      </c>
      <c r="U226" s="21" t="s">
        <v>108</v>
      </c>
    </row>
    <row r="227" spans="3:21" x14ac:dyDescent="0.25">
      <c r="C227" s="22" t="str">
        <f t="shared" si="35"/>
        <v/>
      </c>
      <c r="D227" s="17">
        <v>-4</v>
      </c>
      <c r="E227" s="20" t="s">
        <v>109</v>
      </c>
      <c r="F227" s="17"/>
      <c r="G227" s="20" t="str">
        <f t="shared" si="36"/>
        <v/>
      </c>
      <c r="H227" s="17">
        <v>-4</v>
      </c>
      <c r="I227" s="20" t="s">
        <v>109</v>
      </c>
      <c r="J227" s="17"/>
      <c r="K227" s="20" t="str">
        <f t="shared" si="37"/>
        <v/>
      </c>
      <c r="L227" s="17">
        <v>-4</v>
      </c>
      <c r="M227" s="20" t="s">
        <v>109</v>
      </c>
      <c r="N227" s="17"/>
      <c r="O227" s="20" t="str">
        <f t="shared" si="38"/>
        <v/>
      </c>
      <c r="P227" s="17">
        <v>-4</v>
      </c>
      <c r="Q227" s="20" t="s">
        <v>109</v>
      </c>
      <c r="R227" s="17"/>
      <c r="S227" s="20" t="str">
        <f t="shared" si="39"/>
        <v/>
      </c>
      <c r="T227" s="17">
        <v>-4</v>
      </c>
      <c r="U227" s="21" t="s">
        <v>109</v>
      </c>
    </row>
    <row r="228" spans="3:21" ht="60.75" thickBot="1" x14ac:dyDescent="0.3">
      <c r="C228" s="36" t="str">
        <f t="shared" si="35"/>
        <v/>
      </c>
      <c r="D228" s="23">
        <v>-5</v>
      </c>
      <c r="E228" s="24" t="s">
        <v>110</v>
      </c>
      <c r="F228" s="23"/>
      <c r="G228" s="24" t="str">
        <f t="shared" si="36"/>
        <v/>
      </c>
      <c r="H228" s="23">
        <v>-5</v>
      </c>
      <c r="I228" s="24" t="s">
        <v>110</v>
      </c>
      <c r="J228" s="23"/>
      <c r="K228" s="24" t="str">
        <f t="shared" si="37"/>
        <v/>
      </c>
      <c r="L228" s="23">
        <v>-5</v>
      </c>
      <c r="M228" s="24" t="s">
        <v>110</v>
      </c>
      <c r="N228" s="23"/>
      <c r="O228" s="24" t="str">
        <f t="shared" si="38"/>
        <v/>
      </c>
      <c r="P228" s="23">
        <v>-5</v>
      </c>
      <c r="Q228" s="24" t="s">
        <v>110</v>
      </c>
      <c r="R228" s="23"/>
      <c r="S228" s="24" t="str">
        <f t="shared" si="39"/>
        <v/>
      </c>
      <c r="T228" s="23">
        <v>-5</v>
      </c>
      <c r="U228" s="25" t="s">
        <v>110</v>
      </c>
    </row>
    <row r="229" spans="3:21" ht="15.75" thickBot="1" x14ac:dyDescent="0.3"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</row>
    <row r="230" spans="3:21" ht="15.75" thickBot="1" x14ac:dyDescent="0.3">
      <c r="C230" s="45" t="s">
        <v>93</v>
      </c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7"/>
    </row>
    <row r="231" spans="3:21" ht="15.75" thickBot="1" x14ac:dyDescent="0.3">
      <c r="C231" s="54" t="s">
        <v>88</v>
      </c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6"/>
    </row>
    <row r="232" spans="3:21" ht="15.75" thickBot="1" x14ac:dyDescent="0.3">
      <c r="C232" s="51" t="s">
        <v>49</v>
      </c>
      <c r="D232" s="52"/>
      <c r="E232" s="53"/>
      <c r="F232" s="17"/>
      <c r="G232" s="51" t="s">
        <v>33</v>
      </c>
      <c r="H232" s="52"/>
      <c r="I232" s="53"/>
      <c r="J232" s="17"/>
      <c r="K232" s="51" t="s">
        <v>34</v>
      </c>
      <c r="L232" s="52"/>
      <c r="M232" s="53"/>
      <c r="N232" s="17"/>
      <c r="O232" s="51" t="s">
        <v>35</v>
      </c>
      <c r="P232" s="52"/>
      <c r="Q232" s="53"/>
      <c r="R232" s="17"/>
      <c r="S232" s="51" t="s">
        <v>36</v>
      </c>
      <c r="T232" s="52"/>
      <c r="U232" s="53"/>
    </row>
    <row r="233" spans="3:21" x14ac:dyDescent="0.25">
      <c r="C233" s="18" t="s">
        <v>97</v>
      </c>
      <c r="D233" s="17" t="s">
        <v>98</v>
      </c>
      <c r="E233" s="17" t="s">
        <v>99</v>
      </c>
      <c r="F233" s="17"/>
      <c r="G233" s="17" t="s">
        <v>97</v>
      </c>
      <c r="H233" s="17" t="s">
        <v>98</v>
      </c>
      <c r="I233" s="17" t="s">
        <v>99</v>
      </c>
      <c r="J233" s="17"/>
      <c r="K233" s="17" t="s">
        <v>97</v>
      </c>
      <c r="L233" s="17" t="s">
        <v>98</v>
      </c>
      <c r="M233" s="17" t="s">
        <v>99</v>
      </c>
      <c r="N233" s="17"/>
      <c r="O233" s="17" t="s">
        <v>97</v>
      </c>
      <c r="P233" s="17" t="s">
        <v>98</v>
      </c>
      <c r="Q233" s="17" t="s">
        <v>99</v>
      </c>
      <c r="R233" s="17"/>
      <c r="S233" s="17" t="s">
        <v>97</v>
      </c>
      <c r="T233" s="17" t="s">
        <v>98</v>
      </c>
      <c r="U233" s="19" t="s">
        <v>99</v>
      </c>
    </row>
    <row r="234" spans="3:21" ht="60" x14ac:dyDescent="0.25">
      <c r="C234" s="22" t="str">
        <f t="shared" ref="C234:C244" si="40">_xlfn.TEXTJOIN(","&amp;CHAR(10),TRUE,IF(D234=0,"Historic Baseline ("&amp;TEXT(I$42,"0%")&amp;")",""),IF(-MAX(-5,MIN(5,ROUND((I$51-I$42)*100,0)))=D234,"+30% Outflow",""),IF(-MAX(-5,MIN(5,ROUND((I$60-I$42)*100,0)))=D234,"-10% Outflow",""))</f>
        <v/>
      </c>
      <c r="D234" s="17">
        <v>5</v>
      </c>
      <c r="E234" s="20" t="s">
        <v>100</v>
      </c>
      <c r="F234" s="17"/>
      <c r="G234" s="20" t="str">
        <f t="shared" ref="G234:G244" si="41">_xlfn.TEXTJOIN(","&amp;CHAR(10),TRUE,IF(H234=0,"Historic Baseline ("&amp;TEXT(J$42,"0%")&amp;")",""),IF(-MAX(-5,MIN(5,ROUND((J$51-J$42)*100,0)))=H234,"+30% Outflow",""),IF(-MAX(-5,MIN(5,ROUND((J$60-J$42)*100,0)))=H234,"-10% Outflow",""))</f>
        <v/>
      </c>
      <c r="H234" s="17">
        <v>5</v>
      </c>
      <c r="I234" s="20" t="s">
        <v>100</v>
      </c>
      <c r="J234" s="17"/>
      <c r="K234" s="20" t="str">
        <f t="shared" ref="K234:K244" si="42">_xlfn.TEXTJOIN(","&amp;CHAR(10),TRUE,IF(L234=0,"Historic Baseline ("&amp;TEXT(K$42,"0%")&amp;")",""),IF(-MAX(-5,MIN(5,ROUND((K$51-K$42)*100,0)))=L234,"+30% Outflow",""),IF(-MAX(-5,MIN(5,ROUND((K$60-K$42)*100,0)))=L234,"-10% Outflow",""))</f>
        <v/>
      </c>
      <c r="L234" s="17">
        <v>5</v>
      </c>
      <c r="M234" s="20" t="s">
        <v>100</v>
      </c>
      <c r="N234" s="17"/>
      <c r="O234" s="20" t="str">
        <f t="shared" ref="O234:O244" si="43">_xlfn.TEXTJOIN(","&amp;CHAR(10),TRUE,IF(P234=0,"Historic Baseline ("&amp;TEXT(L$42,"0%")&amp;")",""),IF(-MAX(-5,MIN(5,ROUND((L$51-L$42)*100,0)))=P234,"+30% Outflow",""),IF(-MAX(-5,MIN(5,ROUND((L$60-L$42)*100,0)))=P234,"-10% Outflow",""))</f>
        <v/>
      </c>
      <c r="P234" s="17">
        <v>5</v>
      </c>
      <c r="Q234" s="20" t="s">
        <v>100</v>
      </c>
      <c r="R234" s="17"/>
      <c r="S234" s="20" t="str">
        <f t="shared" ref="S234:S244" si="44">_xlfn.TEXTJOIN(","&amp;CHAR(10),TRUE,IF(T234=0,"Historic Baseline ("&amp;TEXT(M$42,"0%")&amp;")",""),IF(-MAX(-5,MIN(5,ROUND((M$51-M$42)*100,0)))=T234,"+30% Outflow",""),IF(-MAX(-5,MIN(5,ROUND((M$60-M$42)*100,0)))=T234,"-10% Outflow",""))</f>
        <v/>
      </c>
      <c r="T234" s="17">
        <v>5</v>
      </c>
      <c r="U234" s="21" t="s">
        <v>100</v>
      </c>
    </row>
    <row r="235" spans="3:21" x14ac:dyDescent="0.25">
      <c r="C235" s="22" t="str">
        <f t="shared" si="40"/>
        <v/>
      </c>
      <c r="D235" s="17">
        <v>4</v>
      </c>
      <c r="E235" s="20" t="s">
        <v>101</v>
      </c>
      <c r="F235" s="17"/>
      <c r="G235" s="20" t="str">
        <f t="shared" si="41"/>
        <v/>
      </c>
      <c r="H235" s="17">
        <v>4</v>
      </c>
      <c r="I235" s="20" t="s">
        <v>101</v>
      </c>
      <c r="J235" s="17"/>
      <c r="K235" s="20" t="str">
        <f t="shared" si="42"/>
        <v/>
      </c>
      <c r="L235" s="17">
        <v>4</v>
      </c>
      <c r="M235" s="20" t="s">
        <v>101</v>
      </c>
      <c r="N235" s="17"/>
      <c r="O235" s="20" t="str">
        <f t="shared" si="43"/>
        <v/>
      </c>
      <c r="P235" s="17">
        <v>4</v>
      </c>
      <c r="Q235" s="20" t="s">
        <v>101</v>
      </c>
      <c r="R235" s="17"/>
      <c r="S235" s="20" t="str">
        <f t="shared" si="44"/>
        <v/>
      </c>
      <c r="T235" s="17">
        <v>4</v>
      </c>
      <c r="U235" s="21" t="s">
        <v>101</v>
      </c>
    </row>
    <row r="236" spans="3:21" x14ac:dyDescent="0.25">
      <c r="C236" s="22" t="str">
        <f t="shared" si="40"/>
        <v/>
      </c>
      <c r="D236" s="17">
        <v>3</v>
      </c>
      <c r="E236" s="20" t="s">
        <v>102</v>
      </c>
      <c r="F236" s="17"/>
      <c r="G236" s="20" t="str">
        <f t="shared" si="41"/>
        <v/>
      </c>
      <c r="H236" s="17">
        <v>3</v>
      </c>
      <c r="I236" s="20" t="s">
        <v>102</v>
      </c>
      <c r="J236" s="17"/>
      <c r="K236" s="20" t="str">
        <f t="shared" si="42"/>
        <v/>
      </c>
      <c r="L236" s="17">
        <v>3</v>
      </c>
      <c r="M236" s="20" t="s">
        <v>102</v>
      </c>
      <c r="N236" s="17"/>
      <c r="O236" s="20" t="str">
        <f t="shared" si="43"/>
        <v/>
      </c>
      <c r="P236" s="17">
        <v>3</v>
      </c>
      <c r="Q236" s="20" t="s">
        <v>102</v>
      </c>
      <c r="R236" s="17"/>
      <c r="S236" s="20" t="str">
        <f t="shared" si="44"/>
        <v/>
      </c>
      <c r="T236" s="17">
        <v>3</v>
      </c>
      <c r="U236" s="21" t="s">
        <v>102</v>
      </c>
    </row>
    <row r="237" spans="3:21" x14ac:dyDescent="0.25">
      <c r="C237" s="22" t="str">
        <f t="shared" si="40"/>
        <v/>
      </c>
      <c r="D237" s="17">
        <v>2</v>
      </c>
      <c r="E237" s="20" t="s">
        <v>103</v>
      </c>
      <c r="F237" s="17"/>
      <c r="G237" s="20" t="str">
        <f t="shared" si="41"/>
        <v/>
      </c>
      <c r="H237" s="17">
        <v>2</v>
      </c>
      <c r="I237" s="20" t="s">
        <v>103</v>
      </c>
      <c r="J237" s="17"/>
      <c r="K237" s="20" t="str">
        <f t="shared" si="42"/>
        <v/>
      </c>
      <c r="L237" s="17">
        <v>2</v>
      </c>
      <c r="M237" s="20" t="s">
        <v>103</v>
      </c>
      <c r="N237" s="17"/>
      <c r="O237" s="20" t="str">
        <f t="shared" si="43"/>
        <v/>
      </c>
      <c r="P237" s="17">
        <v>2</v>
      </c>
      <c r="Q237" s="20" t="s">
        <v>103</v>
      </c>
      <c r="R237" s="17"/>
      <c r="S237" s="20" t="str">
        <f t="shared" si="44"/>
        <v/>
      </c>
      <c r="T237" s="17">
        <v>2</v>
      </c>
      <c r="U237" s="21" t="s">
        <v>103</v>
      </c>
    </row>
    <row r="238" spans="3:21" ht="30" x14ac:dyDescent="0.25">
      <c r="C238" s="22" t="str">
        <f t="shared" si="40"/>
        <v/>
      </c>
      <c r="D238" s="17">
        <v>1</v>
      </c>
      <c r="E238" s="20" t="s">
        <v>104</v>
      </c>
      <c r="F238" s="17"/>
      <c r="G238" s="20" t="str">
        <f t="shared" si="41"/>
        <v/>
      </c>
      <c r="H238" s="17">
        <v>1</v>
      </c>
      <c r="I238" s="20" t="s">
        <v>104</v>
      </c>
      <c r="J238" s="17"/>
      <c r="K238" s="20" t="str">
        <f t="shared" si="42"/>
        <v/>
      </c>
      <c r="L238" s="17">
        <v>1</v>
      </c>
      <c r="M238" s="20" t="s">
        <v>104</v>
      </c>
      <c r="N238" s="17"/>
      <c r="O238" s="20" t="str">
        <f t="shared" si="43"/>
        <v>+30% Outflow</v>
      </c>
      <c r="P238" s="17">
        <v>1</v>
      </c>
      <c r="Q238" s="20" t="s">
        <v>104</v>
      </c>
      <c r="R238" s="17"/>
      <c r="S238" s="20" t="str">
        <f t="shared" si="44"/>
        <v/>
      </c>
      <c r="T238" s="17">
        <v>1</v>
      </c>
      <c r="U238" s="21" t="s">
        <v>104</v>
      </c>
    </row>
    <row r="239" spans="3:21" ht="105" x14ac:dyDescent="0.25">
      <c r="C239" s="22" t="str">
        <f t="shared" si="40"/>
        <v>Historic Baseline (11%),
+30% Outflow,
-10% Outflow</v>
      </c>
      <c r="D239" s="17">
        <v>0</v>
      </c>
      <c r="E239" s="20" t="s">
        <v>105</v>
      </c>
      <c r="F239" s="17"/>
      <c r="G239" s="20" t="str">
        <f t="shared" si="41"/>
        <v>Historic Baseline (10%),
+30% Outflow,
-10% Outflow</v>
      </c>
      <c r="H239" s="17">
        <v>0</v>
      </c>
      <c r="I239" s="20" t="s">
        <v>105</v>
      </c>
      <c r="J239" s="17"/>
      <c r="K239" s="20" t="str">
        <f t="shared" si="42"/>
        <v>Historic Baseline (12%),
+30% Outflow,
-10% Outflow</v>
      </c>
      <c r="L239" s="17">
        <v>0</v>
      </c>
      <c r="M239" s="20" t="s">
        <v>105</v>
      </c>
      <c r="N239" s="17"/>
      <c r="O239" s="10" t="str">
        <f t="shared" si="43"/>
        <v>Historic Baseline (8%),
-10% Outflow</v>
      </c>
      <c r="P239" s="17">
        <v>0</v>
      </c>
      <c r="Q239" s="20" t="s">
        <v>105</v>
      </c>
      <c r="R239" s="17"/>
      <c r="S239" s="10" t="str">
        <f t="shared" si="44"/>
        <v>Historic Baseline (12%),
+30% Outflow,
-10% Outflow</v>
      </c>
      <c r="T239" s="17">
        <v>0</v>
      </c>
      <c r="U239" s="21" t="s">
        <v>105</v>
      </c>
    </row>
    <row r="240" spans="3:21" ht="45" x14ac:dyDescent="0.25">
      <c r="C240" s="22" t="str">
        <f t="shared" si="40"/>
        <v/>
      </c>
      <c r="D240" s="17">
        <v>-1</v>
      </c>
      <c r="E240" s="20" t="s">
        <v>106</v>
      </c>
      <c r="F240" s="17"/>
      <c r="G240" s="20" t="str">
        <f t="shared" si="41"/>
        <v/>
      </c>
      <c r="H240" s="17">
        <v>-1</v>
      </c>
      <c r="I240" s="20" t="s">
        <v>106</v>
      </c>
      <c r="J240" s="17"/>
      <c r="K240" s="20" t="str">
        <f t="shared" si="42"/>
        <v/>
      </c>
      <c r="L240" s="17">
        <v>-1</v>
      </c>
      <c r="M240" s="20" t="s">
        <v>106</v>
      </c>
      <c r="N240" s="17"/>
      <c r="O240" s="20" t="str">
        <f t="shared" si="43"/>
        <v/>
      </c>
      <c r="P240" s="17">
        <v>-1</v>
      </c>
      <c r="Q240" s="20" t="s">
        <v>106</v>
      </c>
      <c r="R240" s="17"/>
      <c r="S240" s="20" t="str">
        <f t="shared" si="44"/>
        <v/>
      </c>
      <c r="T240" s="17">
        <v>-1</v>
      </c>
      <c r="U240" s="21" t="s">
        <v>106</v>
      </c>
    </row>
    <row r="241" spans="3:21" x14ac:dyDescent="0.25">
      <c r="C241" s="22" t="str">
        <f t="shared" si="40"/>
        <v/>
      </c>
      <c r="D241" s="17">
        <v>-2</v>
      </c>
      <c r="E241" s="20" t="s">
        <v>107</v>
      </c>
      <c r="F241" s="17"/>
      <c r="G241" s="20" t="str">
        <f t="shared" si="41"/>
        <v/>
      </c>
      <c r="H241" s="17">
        <v>-2</v>
      </c>
      <c r="I241" s="20" t="s">
        <v>107</v>
      </c>
      <c r="J241" s="17"/>
      <c r="K241" s="20" t="str">
        <f t="shared" si="42"/>
        <v/>
      </c>
      <c r="L241" s="17">
        <v>-2</v>
      </c>
      <c r="M241" s="20" t="s">
        <v>107</v>
      </c>
      <c r="N241" s="17"/>
      <c r="O241" s="20" t="str">
        <f t="shared" si="43"/>
        <v/>
      </c>
      <c r="P241" s="17">
        <v>-2</v>
      </c>
      <c r="Q241" s="20" t="s">
        <v>107</v>
      </c>
      <c r="R241" s="17"/>
      <c r="S241" s="20" t="str">
        <f t="shared" si="44"/>
        <v/>
      </c>
      <c r="T241" s="17">
        <v>-2</v>
      </c>
      <c r="U241" s="21" t="s">
        <v>107</v>
      </c>
    </row>
    <row r="242" spans="3:21" x14ac:dyDescent="0.25">
      <c r="C242" s="22" t="str">
        <f t="shared" si="40"/>
        <v/>
      </c>
      <c r="D242" s="17">
        <v>-3</v>
      </c>
      <c r="E242" s="20" t="s">
        <v>108</v>
      </c>
      <c r="F242" s="17"/>
      <c r="G242" s="20" t="str">
        <f t="shared" si="41"/>
        <v/>
      </c>
      <c r="H242" s="17">
        <v>-3</v>
      </c>
      <c r="I242" s="20" t="s">
        <v>108</v>
      </c>
      <c r="J242" s="17"/>
      <c r="K242" s="20" t="str">
        <f t="shared" si="42"/>
        <v/>
      </c>
      <c r="L242" s="17">
        <v>-3</v>
      </c>
      <c r="M242" s="20" t="s">
        <v>108</v>
      </c>
      <c r="N242" s="17"/>
      <c r="O242" s="20" t="str">
        <f t="shared" si="43"/>
        <v/>
      </c>
      <c r="P242" s="17">
        <v>-3</v>
      </c>
      <c r="Q242" s="20" t="s">
        <v>108</v>
      </c>
      <c r="R242" s="17"/>
      <c r="S242" s="20" t="str">
        <f t="shared" si="44"/>
        <v/>
      </c>
      <c r="T242" s="17">
        <v>-3</v>
      </c>
      <c r="U242" s="21" t="s">
        <v>108</v>
      </c>
    </row>
    <row r="243" spans="3:21" x14ac:dyDescent="0.25">
      <c r="C243" s="22" t="str">
        <f t="shared" si="40"/>
        <v/>
      </c>
      <c r="D243" s="17">
        <v>-4</v>
      </c>
      <c r="E243" s="20" t="s">
        <v>109</v>
      </c>
      <c r="F243" s="17"/>
      <c r="G243" s="20" t="str">
        <f t="shared" si="41"/>
        <v/>
      </c>
      <c r="H243" s="17">
        <v>-4</v>
      </c>
      <c r="I243" s="20" t="s">
        <v>109</v>
      </c>
      <c r="J243" s="17"/>
      <c r="K243" s="20" t="str">
        <f t="shared" si="42"/>
        <v/>
      </c>
      <c r="L243" s="17">
        <v>-4</v>
      </c>
      <c r="M243" s="20" t="s">
        <v>109</v>
      </c>
      <c r="N243" s="17"/>
      <c r="O243" s="20" t="str">
        <f t="shared" si="43"/>
        <v/>
      </c>
      <c r="P243" s="17">
        <v>-4</v>
      </c>
      <c r="Q243" s="20" t="s">
        <v>109</v>
      </c>
      <c r="R243" s="17"/>
      <c r="S243" s="20" t="str">
        <f t="shared" si="44"/>
        <v/>
      </c>
      <c r="T243" s="17">
        <v>-4</v>
      </c>
      <c r="U243" s="21" t="s">
        <v>109</v>
      </c>
    </row>
    <row r="244" spans="3:21" ht="60.75" thickBot="1" x14ac:dyDescent="0.3">
      <c r="C244" s="36" t="str">
        <f t="shared" si="40"/>
        <v/>
      </c>
      <c r="D244" s="23">
        <v>-5</v>
      </c>
      <c r="E244" s="24" t="s">
        <v>110</v>
      </c>
      <c r="F244" s="23"/>
      <c r="G244" s="24" t="str">
        <f t="shared" si="41"/>
        <v/>
      </c>
      <c r="H244" s="23">
        <v>-5</v>
      </c>
      <c r="I244" s="24" t="s">
        <v>110</v>
      </c>
      <c r="J244" s="23"/>
      <c r="K244" s="24" t="str">
        <f t="shared" si="42"/>
        <v/>
      </c>
      <c r="L244" s="23">
        <v>-5</v>
      </c>
      <c r="M244" s="24" t="s">
        <v>110</v>
      </c>
      <c r="N244" s="23"/>
      <c r="O244" s="24" t="str">
        <f t="shared" si="43"/>
        <v/>
      </c>
      <c r="P244" s="23">
        <v>-5</v>
      </c>
      <c r="Q244" s="24" t="s">
        <v>110</v>
      </c>
      <c r="R244" s="23"/>
      <c r="S244" s="24" t="str">
        <f t="shared" si="44"/>
        <v/>
      </c>
      <c r="T244" s="23">
        <v>-5</v>
      </c>
      <c r="U244" s="25" t="s">
        <v>110</v>
      </c>
    </row>
    <row r="245" spans="3:21" ht="15.75" thickBot="1" x14ac:dyDescent="0.3"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</row>
    <row r="246" spans="3:21" ht="15.75" thickBot="1" x14ac:dyDescent="0.3">
      <c r="C246" s="45" t="s">
        <v>93</v>
      </c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7"/>
    </row>
    <row r="247" spans="3:21" ht="15.75" thickBot="1" x14ac:dyDescent="0.3">
      <c r="C247" s="48" t="s">
        <v>89</v>
      </c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50"/>
    </row>
    <row r="248" spans="3:21" ht="15.75" thickBot="1" x14ac:dyDescent="0.3">
      <c r="C248" s="51" t="s">
        <v>49</v>
      </c>
      <c r="D248" s="52"/>
      <c r="E248" s="53"/>
      <c r="F248" s="17"/>
      <c r="G248" s="51" t="s">
        <v>33</v>
      </c>
      <c r="H248" s="52"/>
      <c r="I248" s="53"/>
      <c r="J248" s="17"/>
      <c r="K248" s="51" t="s">
        <v>34</v>
      </c>
      <c r="L248" s="52"/>
      <c r="M248" s="53"/>
      <c r="N248" s="17"/>
      <c r="O248" s="51" t="s">
        <v>35</v>
      </c>
      <c r="P248" s="52"/>
      <c r="Q248" s="53"/>
      <c r="R248" s="17"/>
      <c r="S248" s="51" t="s">
        <v>36</v>
      </c>
      <c r="T248" s="52"/>
      <c r="U248" s="53"/>
    </row>
    <row r="249" spans="3:21" x14ac:dyDescent="0.25">
      <c r="C249" s="18" t="s">
        <v>97</v>
      </c>
      <c r="D249" s="17" t="s">
        <v>98</v>
      </c>
      <c r="E249" s="17" t="s">
        <v>99</v>
      </c>
      <c r="F249" s="17"/>
      <c r="G249" s="17" t="s">
        <v>97</v>
      </c>
      <c r="H249" s="17" t="s">
        <v>98</v>
      </c>
      <c r="I249" s="17" t="s">
        <v>99</v>
      </c>
      <c r="J249" s="17"/>
      <c r="K249" s="17" t="s">
        <v>97</v>
      </c>
      <c r="L249" s="17" t="s">
        <v>98</v>
      </c>
      <c r="M249" s="17" t="s">
        <v>99</v>
      </c>
      <c r="N249" s="17"/>
      <c r="O249" s="17" t="s">
        <v>97</v>
      </c>
      <c r="P249" s="17" t="s">
        <v>98</v>
      </c>
      <c r="Q249" s="17" t="s">
        <v>99</v>
      </c>
      <c r="R249" s="17"/>
      <c r="S249" s="17" t="s">
        <v>97</v>
      </c>
      <c r="T249" s="17" t="s">
        <v>98</v>
      </c>
      <c r="U249" s="19" t="s">
        <v>99</v>
      </c>
    </row>
    <row r="250" spans="3:21" ht="60" x14ac:dyDescent="0.25">
      <c r="C250" s="22" t="str">
        <f t="shared" ref="C250:C260" si="45">_xlfn.TEXTJOIN(","&amp;CHAR(10),TRUE,IF(D250=0,"Historic Baseline ("&amp;TEXT(N$42,"0%")&amp;")",""),IF(-MAX(-5,MIN(5,ROUND((N$51-N$42)*100,0)))=D250,"+30% Outflow",""),IF(-MAX(-5,MIN(5,ROUND((N$60-N$42)*100,0)))=D250,"-10% Outflow",""))</f>
        <v/>
      </c>
      <c r="D250" s="17">
        <v>5</v>
      </c>
      <c r="E250" s="20" t="s">
        <v>100</v>
      </c>
      <c r="F250" s="17"/>
      <c r="G250" s="20" t="str">
        <f t="shared" ref="G250:G260" si="46">_xlfn.TEXTJOIN(","&amp;CHAR(10),TRUE,IF(H250=0,"Historic Baseline ("&amp;TEXT(O$42,"0%")&amp;")",""),IF(-MAX(-5,MIN(5,ROUND((O$51-O$42)*100,0)))=H250,"+30% Outflow",""),IF(-MAX(-5,MIN(5,ROUND((O$60-O$42)*100,0)))=H250,"-10% Outflow",""))</f>
        <v/>
      </c>
      <c r="H250" s="17">
        <v>5</v>
      </c>
      <c r="I250" s="20" t="s">
        <v>100</v>
      </c>
      <c r="J250" s="17"/>
      <c r="K250" s="20" t="str">
        <f t="shared" ref="K250:K260" si="47">_xlfn.TEXTJOIN(","&amp;CHAR(10),TRUE,IF(L250=0,"Historic Baseline ("&amp;TEXT(P$42,"0%")&amp;")",""),IF(-MAX(-5,MIN(5,ROUND((P$51-P$42)*100,0)))=L250,"+30% Outflow",""),IF(-MAX(-5,MIN(5,ROUND((P$60-P$42)*100,0)))=L250,"-10% Outflow",""))</f>
        <v/>
      </c>
      <c r="L250" s="17">
        <v>5</v>
      </c>
      <c r="M250" s="20" t="s">
        <v>100</v>
      </c>
      <c r="N250" s="17"/>
      <c r="O250" s="20" t="str">
        <f t="shared" ref="O250:O260" si="48">_xlfn.TEXTJOIN(","&amp;CHAR(10),TRUE,IF(P250=0,"Historic Baseline ("&amp;TEXT(Q$42,"0%")&amp;")",""),IF(-MAX(-5,MIN(5,ROUND((Q$51-Q$42)*100,0)))=P250,"+30% Outflow",""),IF(-MAX(-5,MIN(5,ROUND((Q$60-Q$42)*100,0)))=P250,"-10% Outflow",""))</f>
        <v/>
      </c>
      <c r="P250" s="17">
        <v>5</v>
      </c>
      <c r="Q250" s="20" t="s">
        <v>100</v>
      </c>
      <c r="R250" s="17"/>
      <c r="S250" s="20" t="str">
        <f t="shared" ref="S250:S260" si="49">_xlfn.TEXTJOIN(","&amp;CHAR(10),TRUE,IF(T250=0,"Historic Baseline ("&amp;TEXT(R$42,"0%")&amp;")",""),IF(-MAX(-5,MIN(5,ROUND((R$51-R$42)*100,0)))=T250,"+30% Outflow",""),IF(-MAX(-5,MIN(5,ROUND((R$60-R$42)*100,0)))=T250,"-10% Outflow",""))</f>
        <v/>
      </c>
      <c r="T250" s="17">
        <v>5</v>
      </c>
      <c r="U250" s="21" t="s">
        <v>100</v>
      </c>
    </row>
    <row r="251" spans="3:21" x14ac:dyDescent="0.25">
      <c r="C251" s="22" t="str">
        <f t="shared" si="45"/>
        <v/>
      </c>
      <c r="D251" s="17">
        <v>4</v>
      </c>
      <c r="E251" s="20" t="s">
        <v>101</v>
      </c>
      <c r="F251" s="17"/>
      <c r="G251" s="20" t="str">
        <f t="shared" si="46"/>
        <v/>
      </c>
      <c r="H251" s="17">
        <v>4</v>
      </c>
      <c r="I251" s="20" t="s">
        <v>101</v>
      </c>
      <c r="J251" s="17"/>
      <c r="K251" s="20" t="str">
        <f t="shared" si="47"/>
        <v/>
      </c>
      <c r="L251" s="17">
        <v>4</v>
      </c>
      <c r="M251" s="20" t="s">
        <v>101</v>
      </c>
      <c r="N251" s="17"/>
      <c r="O251" s="20" t="str">
        <f t="shared" si="48"/>
        <v/>
      </c>
      <c r="P251" s="17">
        <v>4</v>
      </c>
      <c r="Q251" s="20" t="s">
        <v>101</v>
      </c>
      <c r="R251" s="17"/>
      <c r="S251" s="20" t="str">
        <f t="shared" si="49"/>
        <v/>
      </c>
      <c r="T251" s="17">
        <v>4</v>
      </c>
      <c r="U251" s="21" t="s">
        <v>101</v>
      </c>
    </row>
    <row r="252" spans="3:21" x14ac:dyDescent="0.25">
      <c r="C252" s="22" t="str">
        <f t="shared" si="45"/>
        <v/>
      </c>
      <c r="D252" s="17">
        <v>3</v>
      </c>
      <c r="E252" s="20" t="s">
        <v>102</v>
      </c>
      <c r="F252" s="17"/>
      <c r="G252" s="20" t="str">
        <f t="shared" si="46"/>
        <v/>
      </c>
      <c r="H252" s="17">
        <v>3</v>
      </c>
      <c r="I252" s="20" t="s">
        <v>102</v>
      </c>
      <c r="J252" s="17"/>
      <c r="K252" s="20" t="str">
        <f t="shared" si="47"/>
        <v/>
      </c>
      <c r="L252" s="17">
        <v>3</v>
      </c>
      <c r="M252" s="20" t="s">
        <v>102</v>
      </c>
      <c r="N252" s="17"/>
      <c r="O252" s="20" t="str">
        <f t="shared" si="48"/>
        <v/>
      </c>
      <c r="P252" s="17">
        <v>3</v>
      </c>
      <c r="Q252" s="20" t="s">
        <v>102</v>
      </c>
      <c r="R252" s="17"/>
      <c r="S252" s="20" t="str">
        <f t="shared" si="49"/>
        <v/>
      </c>
      <c r="T252" s="17">
        <v>3</v>
      </c>
      <c r="U252" s="21" t="s">
        <v>102</v>
      </c>
    </row>
    <row r="253" spans="3:21" x14ac:dyDescent="0.25">
      <c r="C253" s="22" t="str">
        <f t="shared" si="45"/>
        <v/>
      </c>
      <c r="D253" s="17">
        <v>2</v>
      </c>
      <c r="E253" s="20" t="s">
        <v>103</v>
      </c>
      <c r="F253" s="17"/>
      <c r="G253" s="20" t="str">
        <f t="shared" si="46"/>
        <v/>
      </c>
      <c r="H253" s="17">
        <v>2</v>
      </c>
      <c r="I253" s="20" t="s">
        <v>103</v>
      </c>
      <c r="J253" s="17"/>
      <c r="K253" s="20" t="str">
        <f t="shared" si="47"/>
        <v/>
      </c>
      <c r="L253" s="17">
        <v>2</v>
      </c>
      <c r="M253" s="20" t="s">
        <v>103</v>
      </c>
      <c r="N253" s="17"/>
      <c r="O253" s="20" t="str">
        <f t="shared" si="48"/>
        <v/>
      </c>
      <c r="P253" s="17">
        <v>2</v>
      </c>
      <c r="Q253" s="20" t="s">
        <v>103</v>
      </c>
      <c r="R253" s="17"/>
      <c r="S253" s="20" t="str">
        <f t="shared" si="49"/>
        <v/>
      </c>
      <c r="T253" s="17">
        <v>2</v>
      </c>
      <c r="U253" s="21" t="s">
        <v>103</v>
      </c>
    </row>
    <row r="254" spans="3:21" x14ac:dyDescent="0.25">
      <c r="C254" s="22" t="str">
        <f t="shared" si="45"/>
        <v/>
      </c>
      <c r="D254" s="17">
        <v>1</v>
      </c>
      <c r="E254" s="20" t="s">
        <v>104</v>
      </c>
      <c r="F254" s="17"/>
      <c r="G254" s="20" t="str">
        <f t="shared" si="46"/>
        <v/>
      </c>
      <c r="H254" s="17">
        <v>1</v>
      </c>
      <c r="I254" s="20" t="s">
        <v>104</v>
      </c>
      <c r="J254" s="17"/>
      <c r="K254" s="20" t="str">
        <f t="shared" si="47"/>
        <v/>
      </c>
      <c r="L254" s="17">
        <v>1</v>
      </c>
      <c r="M254" s="20" t="s">
        <v>104</v>
      </c>
      <c r="N254" s="17"/>
      <c r="O254" s="20" t="str">
        <f t="shared" si="48"/>
        <v/>
      </c>
      <c r="P254" s="17">
        <v>1</v>
      </c>
      <c r="Q254" s="20" t="s">
        <v>104</v>
      </c>
      <c r="R254" s="17"/>
      <c r="S254" s="20" t="str">
        <f t="shared" si="49"/>
        <v/>
      </c>
      <c r="T254" s="17">
        <v>1</v>
      </c>
      <c r="U254" s="21" t="s">
        <v>104</v>
      </c>
    </row>
    <row r="255" spans="3:21" ht="105" x14ac:dyDescent="0.25">
      <c r="C255" s="22" t="str">
        <f t="shared" si="45"/>
        <v>Historic Baseline (83%),
-10% Outflow</v>
      </c>
      <c r="D255" s="17">
        <v>0</v>
      </c>
      <c r="E255" s="20" t="s">
        <v>105</v>
      </c>
      <c r="F255" s="17"/>
      <c r="G255" s="20" t="str">
        <f t="shared" si="46"/>
        <v>Historic Baseline (77%)</v>
      </c>
      <c r="H255" s="17">
        <v>0</v>
      </c>
      <c r="I255" s="20" t="s">
        <v>105</v>
      </c>
      <c r="J255" s="17"/>
      <c r="K255" s="20" t="str">
        <f t="shared" si="47"/>
        <v>Historic Baseline (85%),
-10% Outflow</v>
      </c>
      <c r="L255" s="17">
        <v>0</v>
      </c>
      <c r="M255" s="20" t="s">
        <v>105</v>
      </c>
      <c r="N255" s="17"/>
      <c r="O255" s="10" t="str">
        <f t="shared" si="48"/>
        <v>Historic Baseline (85%),
-10% Outflow</v>
      </c>
      <c r="P255" s="17">
        <v>0</v>
      </c>
      <c r="Q255" s="20" t="s">
        <v>105</v>
      </c>
      <c r="R255" s="17"/>
      <c r="S255" s="10" t="str">
        <f t="shared" si="49"/>
        <v>Historic Baseline (88%),
+30% Outflow,
-10% Outflow</v>
      </c>
      <c r="T255" s="17">
        <v>0</v>
      </c>
      <c r="U255" s="21" t="s">
        <v>105</v>
      </c>
    </row>
    <row r="256" spans="3:21" ht="60" x14ac:dyDescent="0.25">
      <c r="C256" s="22" t="str">
        <f t="shared" si="45"/>
        <v>+30% Outflow</v>
      </c>
      <c r="D256" s="17">
        <v>-1</v>
      </c>
      <c r="E256" s="20" t="s">
        <v>106</v>
      </c>
      <c r="F256" s="17"/>
      <c r="G256" s="20" t="str">
        <f t="shared" si="46"/>
        <v>+30% Outflow,
-10% Outflow</v>
      </c>
      <c r="H256" s="17">
        <v>-1</v>
      </c>
      <c r="I256" s="20" t="s">
        <v>106</v>
      </c>
      <c r="J256" s="17"/>
      <c r="K256" s="20" t="str">
        <f t="shared" si="47"/>
        <v>+30% Outflow</v>
      </c>
      <c r="L256" s="17">
        <v>-1</v>
      </c>
      <c r="M256" s="20" t="s">
        <v>106</v>
      </c>
      <c r="N256" s="17"/>
      <c r="O256" s="20" t="str">
        <f t="shared" si="48"/>
        <v>+30% Outflow</v>
      </c>
      <c r="P256" s="17">
        <v>-1</v>
      </c>
      <c r="Q256" s="20" t="s">
        <v>106</v>
      </c>
      <c r="R256" s="17"/>
      <c r="S256" s="20" t="str">
        <f t="shared" si="49"/>
        <v/>
      </c>
      <c r="T256" s="17">
        <v>-1</v>
      </c>
      <c r="U256" s="21" t="s">
        <v>106</v>
      </c>
    </row>
    <row r="257" spans="3:21" x14ac:dyDescent="0.25">
      <c r="C257" s="22" t="str">
        <f t="shared" si="45"/>
        <v/>
      </c>
      <c r="D257" s="17">
        <v>-2</v>
      </c>
      <c r="E257" s="20" t="s">
        <v>107</v>
      </c>
      <c r="F257" s="17"/>
      <c r="G257" s="20" t="str">
        <f t="shared" si="46"/>
        <v/>
      </c>
      <c r="H257" s="17">
        <v>-2</v>
      </c>
      <c r="I257" s="20" t="s">
        <v>107</v>
      </c>
      <c r="J257" s="17"/>
      <c r="K257" s="20" t="str">
        <f t="shared" si="47"/>
        <v/>
      </c>
      <c r="L257" s="17">
        <v>-2</v>
      </c>
      <c r="M257" s="20" t="s">
        <v>107</v>
      </c>
      <c r="N257" s="17"/>
      <c r="O257" s="20" t="str">
        <f t="shared" si="48"/>
        <v/>
      </c>
      <c r="P257" s="17">
        <v>-2</v>
      </c>
      <c r="Q257" s="20" t="s">
        <v>107</v>
      </c>
      <c r="R257" s="17"/>
      <c r="S257" s="20" t="str">
        <f t="shared" si="49"/>
        <v/>
      </c>
      <c r="T257" s="17">
        <v>-2</v>
      </c>
      <c r="U257" s="21" t="s">
        <v>107</v>
      </c>
    </row>
    <row r="258" spans="3:21" x14ac:dyDescent="0.25">
      <c r="C258" s="22" t="str">
        <f t="shared" si="45"/>
        <v/>
      </c>
      <c r="D258" s="17">
        <v>-3</v>
      </c>
      <c r="E258" s="20" t="s">
        <v>108</v>
      </c>
      <c r="F258" s="17"/>
      <c r="G258" s="20" t="str">
        <f t="shared" si="46"/>
        <v/>
      </c>
      <c r="H258" s="17">
        <v>-3</v>
      </c>
      <c r="I258" s="20" t="s">
        <v>108</v>
      </c>
      <c r="J258" s="17"/>
      <c r="K258" s="20" t="str">
        <f t="shared" si="47"/>
        <v/>
      </c>
      <c r="L258" s="17">
        <v>-3</v>
      </c>
      <c r="M258" s="20" t="s">
        <v>108</v>
      </c>
      <c r="N258" s="17"/>
      <c r="O258" s="20" t="str">
        <f t="shared" si="48"/>
        <v/>
      </c>
      <c r="P258" s="17">
        <v>-3</v>
      </c>
      <c r="Q258" s="20" t="s">
        <v>108</v>
      </c>
      <c r="R258" s="17"/>
      <c r="S258" s="20" t="str">
        <f t="shared" si="49"/>
        <v/>
      </c>
      <c r="T258" s="17">
        <v>-3</v>
      </c>
      <c r="U258" s="21" t="s">
        <v>108</v>
      </c>
    </row>
    <row r="259" spans="3:21" x14ac:dyDescent="0.25">
      <c r="C259" s="22" t="str">
        <f t="shared" si="45"/>
        <v/>
      </c>
      <c r="D259" s="17">
        <v>-4</v>
      </c>
      <c r="E259" s="20" t="s">
        <v>109</v>
      </c>
      <c r="F259" s="17"/>
      <c r="G259" s="20" t="str">
        <f t="shared" si="46"/>
        <v/>
      </c>
      <c r="H259" s="17">
        <v>-4</v>
      </c>
      <c r="I259" s="20" t="s">
        <v>109</v>
      </c>
      <c r="J259" s="17"/>
      <c r="K259" s="20" t="str">
        <f t="shared" si="47"/>
        <v/>
      </c>
      <c r="L259" s="17">
        <v>-4</v>
      </c>
      <c r="M259" s="20" t="s">
        <v>109</v>
      </c>
      <c r="N259" s="17"/>
      <c r="O259" s="20" t="str">
        <f t="shared" si="48"/>
        <v/>
      </c>
      <c r="P259" s="17">
        <v>-4</v>
      </c>
      <c r="Q259" s="20" t="s">
        <v>109</v>
      </c>
      <c r="R259" s="17"/>
      <c r="S259" s="20" t="str">
        <f t="shared" si="49"/>
        <v/>
      </c>
      <c r="T259" s="17">
        <v>-4</v>
      </c>
      <c r="U259" s="21" t="s">
        <v>109</v>
      </c>
    </row>
    <row r="260" spans="3:21" ht="60.75" thickBot="1" x14ac:dyDescent="0.3">
      <c r="C260" s="36" t="str">
        <f t="shared" si="45"/>
        <v/>
      </c>
      <c r="D260" s="23">
        <v>-5</v>
      </c>
      <c r="E260" s="24" t="s">
        <v>110</v>
      </c>
      <c r="F260" s="23"/>
      <c r="G260" s="24" t="str">
        <f t="shared" si="46"/>
        <v/>
      </c>
      <c r="H260" s="23">
        <v>-5</v>
      </c>
      <c r="I260" s="24" t="s">
        <v>110</v>
      </c>
      <c r="J260" s="23"/>
      <c r="K260" s="24" t="str">
        <f t="shared" si="47"/>
        <v/>
      </c>
      <c r="L260" s="23">
        <v>-5</v>
      </c>
      <c r="M260" s="24" t="s">
        <v>110</v>
      </c>
      <c r="N260" s="23"/>
      <c r="O260" s="24" t="str">
        <f t="shared" si="48"/>
        <v/>
      </c>
      <c r="P260" s="23">
        <v>-5</v>
      </c>
      <c r="Q260" s="24" t="s">
        <v>110</v>
      </c>
      <c r="R260" s="23"/>
      <c r="S260" s="24" t="str">
        <f t="shared" si="49"/>
        <v/>
      </c>
      <c r="T260" s="23">
        <v>-5</v>
      </c>
      <c r="U260" s="25" t="s">
        <v>110</v>
      </c>
    </row>
    <row r="263" spans="3:21" ht="15.75" thickBot="1" x14ac:dyDescent="0.3"/>
    <row r="264" spans="3:21" ht="15.75" thickBot="1" x14ac:dyDescent="0.3">
      <c r="C264" s="45" t="s">
        <v>126</v>
      </c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7"/>
    </row>
    <row r="265" spans="3:21" ht="15.75" thickBot="1" x14ac:dyDescent="0.3">
      <c r="C265" s="61" t="s">
        <v>87</v>
      </c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3"/>
    </row>
    <row r="266" spans="3:21" ht="15.75" thickBot="1" x14ac:dyDescent="0.3">
      <c r="C266" s="51" t="s">
        <v>49</v>
      </c>
      <c r="D266" s="52"/>
      <c r="E266" s="53"/>
      <c r="F266" s="17"/>
      <c r="G266" s="51" t="s">
        <v>33</v>
      </c>
      <c r="H266" s="52"/>
      <c r="I266" s="53"/>
      <c r="J266" s="17"/>
      <c r="K266" s="51" t="s">
        <v>34</v>
      </c>
      <c r="L266" s="52"/>
      <c r="M266" s="53"/>
      <c r="N266" s="17"/>
      <c r="O266" s="51" t="s">
        <v>35</v>
      </c>
      <c r="P266" s="52"/>
      <c r="Q266" s="53"/>
      <c r="R266" s="17"/>
      <c r="S266" s="51" t="s">
        <v>36</v>
      </c>
      <c r="T266" s="52"/>
      <c r="U266" s="53"/>
    </row>
    <row r="267" spans="3:21" x14ac:dyDescent="0.25">
      <c r="C267" s="18" t="s">
        <v>97</v>
      </c>
      <c r="D267" s="17" t="s">
        <v>98</v>
      </c>
      <c r="E267" s="17" t="s">
        <v>99</v>
      </c>
      <c r="F267" s="17"/>
      <c r="G267" s="17" t="s">
        <v>97</v>
      </c>
      <c r="H267" s="17" t="s">
        <v>98</v>
      </c>
      <c r="I267" s="17" t="s">
        <v>99</v>
      </c>
      <c r="J267" s="17"/>
      <c r="K267" s="17" t="s">
        <v>97</v>
      </c>
      <c r="L267" s="17" t="s">
        <v>98</v>
      </c>
      <c r="M267" s="17" t="s">
        <v>99</v>
      </c>
      <c r="N267" s="17"/>
      <c r="O267" s="17" t="s">
        <v>97</v>
      </c>
      <c r="P267" s="17" t="s">
        <v>98</v>
      </c>
      <c r="Q267" s="17" t="s">
        <v>99</v>
      </c>
      <c r="R267" s="17"/>
      <c r="S267" s="17" t="s">
        <v>97</v>
      </c>
      <c r="T267" s="17" t="s">
        <v>98</v>
      </c>
      <c r="U267" s="19" t="s">
        <v>99</v>
      </c>
    </row>
    <row r="268" spans="3:21" ht="60" x14ac:dyDescent="0.25">
      <c r="C268" s="22" t="str">
        <f t="shared" ref="C268:C278" si="50">_xlfn.TEXTJOIN(","&amp;CHAR(10),TRUE,IF(D268=0,"Historic Baseline ("&amp;TEXT(D$43,"0%")&amp;")",""),IF(-MAX(-5,MIN(5,ROUND((D$52-D$43)*100,0)))=D268,"+30% Outflow",""),IF(-MAX(-5,MIN(5,ROUND((D$61-D$43)*100,0)))=D268,"-10% Outflow",""))</f>
        <v/>
      </c>
      <c r="D268" s="17">
        <v>5</v>
      </c>
      <c r="E268" s="20" t="s">
        <v>100</v>
      </c>
      <c r="F268" s="17"/>
      <c r="G268" s="20" t="str">
        <f t="shared" ref="G268:G278" si="51">_xlfn.TEXTJOIN(","&amp;CHAR(10),TRUE,IF(H268=0,"Historic Baseline ("&amp;TEXT(E$43,"0%")&amp;")",""),IF(-MAX(-5,MIN(5,ROUND((E$52-E$43)*100,0)))=H268,"+30% Outflow",""),IF(-MAX(-5,MIN(5,ROUND((E$61-E$43)*100,0)))=H268,"-10% Outflow",""))</f>
        <v/>
      </c>
      <c r="H268" s="17">
        <v>5</v>
      </c>
      <c r="I268" s="20" t="s">
        <v>100</v>
      </c>
      <c r="J268" s="17"/>
      <c r="K268" s="20" t="str">
        <f t="shared" ref="K268:K278" si="52">_xlfn.TEXTJOIN(","&amp;CHAR(10),TRUE,IF(L268=0,"Historic Baseline ("&amp;TEXT(F$43,"0%")&amp;")",""),IF(-MAX(-5,MIN(5,ROUND((F$52-F$43)*100,0)))=L268,"+30% Outflow",""),IF(-MAX(-5,MIN(5,ROUND((F$61-F$43)*100,0)))=L268,"-10% Outflow",""))</f>
        <v/>
      </c>
      <c r="L268" s="17">
        <v>5</v>
      </c>
      <c r="M268" s="20" t="s">
        <v>100</v>
      </c>
      <c r="N268" s="17"/>
      <c r="O268" s="20" t="str">
        <f t="shared" ref="O268:O278" si="53">_xlfn.TEXTJOIN(","&amp;CHAR(10),TRUE,IF(P268=0,"Historic Baseline ("&amp;TEXT(G$43,"0%")&amp;")",""),IF(-MAX(-5,MIN(5,ROUND((G$52-G$43)*100,0)))=P268,"+30% Outflow",""),IF(-MAX(-5,MIN(5,ROUND((G$61-G$43)*100,0)))=P268,"-10% Outflow",""))</f>
        <v/>
      </c>
      <c r="P268" s="17">
        <v>5</v>
      </c>
      <c r="Q268" s="20" t="s">
        <v>100</v>
      </c>
      <c r="R268" s="17"/>
      <c r="S268" s="20" t="str">
        <f t="shared" ref="S268:S278" si="54">_xlfn.TEXTJOIN(","&amp;CHAR(10),TRUE,IF(T268=0,"Historic Baseline ("&amp;TEXT(H$43,"0%")&amp;")",""),IF(-MAX(-5,MIN(5,ROUND((H$52-H$43)*100,0)))=T268,"+30% Outflow",""),IF(-MAX(-5,MIN(5,ROUND((H$61-H$43)*100,0)))=T268,"-10% Outflow",""))</f>
        <v/>
      </c>
      <c r="T268" s="17">
        <v>5</v>
      </c>
      <c r="U268" s="21" t="s">
        <v>100</v>
      </c>
    </row>
    <row r="269" spans="3:21" x14ac:dyDescent="0.25">
      <c r="C269" s="22" t="str">
        <f t="shared" si="50"/>
        <v/>
      </c>
      <c r="D269" s="17">
        <v>4</v>
      </c>
      <c r="E269" s="20" t="s">
        <v>101</v>
      </c>
      <c r="F269" s="17"/>
      <c r="G269" s="20" t="str">
        <f t="shared" si="51"/>
        <v/>
      </c>
      <c r="H269" s="17">
        <v>4</v>
      </c>
      <c r="I269" s="20" t="s">
        <v>101</v>
      </c>
      <c r="J269" s="17"/>
      <c r="K269" s="20" t="str">
        <f t="shared" si="52"/>
        <v/>
      </c>
      <c r="L269" s="17">
        <v>4</v>
      </c>
      <c r="M269" s="20" t="s">
        <v>101</v>
      </c>
      <c r="N269" s="17"/>
      <c r="O269" s="20" t="str">
        <f t="shared" si="53"/>
        <v/>
      </c>
      <c r="P269" s="17">
        <v>4</v>
      </c>
      <c r="Q269" s="20" t="s">
        <v>101</v>
      </c>
      <c r="R269" s="17"/>
      <c r="S269" s="20" t="str">
        <f t="shared" si="54"/>
        <v/>
      </c>
      <c r="T269" s="17">
        <v>4</v>
      </c>
      <c r="U269" s="21" t="s">
        <v>101</v>
      </c>
    </row>
    <row r="270" spans="3:21" x14ac:dyDescent="0.25">
      <c r="C270" s="22" t="str">
        <f t="shared" si="50"/>
        <v/>
      </c>
      <c r="D270" s="17">
        <v>3</v>
      </c>
      <c r="E270" s="20" t="s">
        <v>102</v>
      </c>
      <c r="F270" s="17"/>
      <c r="G270" s="20" t="str">
        <f t="shared" si="51"/>
        <v/>
      </c>
      <c r="H270" s="17">
        <v>3</v>
      </c>
      <c r="I270" s="20" t="s">
        <v>102</v>
      </c>
      <c r="J270" s="17"/>
      <c r="K270" s="20" t="str">
        <f t="shared" si="52"/>
        <v/>
      </c>
      <c r="L270" s="17">
        <v>3</v>
      </c>
      <c r="M270" s="20" t="s">
        <v>102</v>
      </c>
      <c r="N270" s="17"/>
      <c r="O270" s="20" t="str">
        <f t="shared" si="53"/>
        <v/>
      </c>
      <c r="P270" s="17">
        <v>3</v>
      </c>
      <c r="Q270" s="20" t="s">
        <v>102</v>
      </c>
      <c r="R270" s="17"/>
      <c r="S270" s="20" t="str">
        <f t="shared" si="54"/>
        <v/>
      </c>
      <c r="T270" s="17">
        <v>3</v>
      </c>
      <c r="U270" s="21" t="s">
        <v>102</v>
      </c>
    </row>
    <row r="271" spans="3:21" x14ac:dyDescent="0.25">
      <c r="C271" s="22" t="str">
        <f t="shared" si="50"/>
        <v/>
      </c>
      <c r="D271" s="17">
        <v>2</v>
      </c>
      <c r="E271" s="20" t="s">
        <v>103</v>
      </c>
      <c r="F271" s="17"/>
      <c r="G271" s="20" t="str">
        <f t="shared" si="51"/>
        <v/>
      </c>
      <c r="H271" s="17">
        <v>2</v>
      </c>
      <c r="I271" s="20" t="s">
        <v>103</v>
      </c>
      <c r="J271" s="17"/>
      <c r="K271" s="20" t="str">
        <f t="shared" si="52"/>
        <v/>
      </c>
      <c r="L271" s="17">
        <v>2</v>
      </c>
      <c r="M271" s="20" t="s">
        <v>103</v>
      </c>
      <c r="N271" s="17"/>
      <c r="O271" s="20" t="str">
        <f t="shared" si="53"/>
        <v/>
      </c>
      <c r="P271" s="17">
        <v>2</v>
      </c>
      <c r="Q271" s="20" t="s">
        <v>103</v>
      </c>
      <c r="R271" s="17"/>
      <c r="S271" s="20" t="str">
        <f t="shared" si="54"/>
        <v/>
      </c>
      <c r="T271" s="17">
        <v>2</v>
      </c>
      <c r="U271" s="21" t="s">
        <v>103</v>
      </c>
    </row>
    <row r="272" spans="3:21" ht="60" x14ac:dyDescent="0.25">
      <c r="C272" s="22" t="str">
        <f t="shared" si="50"/>
        <v/>
      </c>
      <c r="D272" s="17">
        <v>1</v>
      </c>
      <c r="E272" s="20" t="s">
        <v>104</v>
      </c>
      <c r="F272" s="17"/>
      <c r="G272" s="20" t="str">
        <f t="shared" si="51"/>
        <v>+30% Outflow,
-10% Outflow</v>
      </c>
      <c r="H272" s="17">
        <v>1</v>
      </c>
      <c r="I272" s="20" t="s">
        <v>104</v>
      </c>
      <c r="J272" s="17"/>
      <c r="K272" s="20" t="str">
        <f t="shared" si="52"/>
        <v/>
      </c>
      <c r="L272" s="17">
        <v>1</v>
      </c>
      <c r="M272" s="20" t="s">
        <v>104</v>
      </c>
      <c r="N272" s="17"/>
      <c r="O272" s="20" t="str">
        <f t="shared" si="53"/>
        <v/>
      </c>
      <c r="P272" s="17">
        <v>1</v>
      </c>
      <c r="Q272" s="20" t="s">
        <v>104</v>
      </c>
      <c r="R272" s="17"/>
      <c r="S272" s="20" t="str">
        <f t="shared" si="54"/>
        <v/>
      </c>
      <c r="T272" s="17">
        <v>1</v>
      </c>
      <c r="U272" s="21" t="s">
        <v>104</v>
      </c>
    </row>
    <row r="273" spans="3:21" ht="105" x14ac:dyDescent="0.25">
      <c r="C273" s="22" t="str">
        <f t="shared" si="50"/>
        <v>Historic Baseline (54%),
+30% Outflow,
-10% Outflow</v>
      </c>
      <c r="D273" s="17">
        <v>0</v>
      </c>
      <c r="E273" s="20" t="s">
        <v>105</v>
      </c>
      <c r="F273" s="17"/>
      <c r="G273" s="20" t="str">
        <f t="shared" si="51"/>
        <v>Historic Baseline (57%)</v>
      </c>
      <c r="H273" s="17">
        <v>0</v>
      </c>
      <c r="I273" s="20" t="s">
        <v>105</v>
      </c>
      <c r="J273" s="17"/>
      <c r="K273" s="20" t="str">
        <f t="shared" si="52"/>
        <v>Historic Baseline (53%),
+30% Outflow,
-10% Outflow</v>
      </c>
      <c r="L273" s="17">
        <v>0</v>
      </c>
      <c r="M273" s="20" t="s">
        <v>105</v>
      </c>
      <c r="N273" s="17"/>
      <c r="O273" s="10" t="str">
        <f t="shared" si="53"/>
        <v>Historic Baseline (55%),
+30% Outflow,
-10% Outflow</v>
      </c>
      <c r="P273" s="17">
        <v>0</v>
      </c>
      <c r="Q273" s="20" t="s">
        <v>105</v>
      </c>
      <c r="R273" s="17"/>
      <c r="S273" s="10" t="str">
        <f t="shared" si="54"/>
        <v>Historic Baseline (52%),
+30% Outflow,
-10% Outflow</v>
      </c>
      <c r="T273" s="17">
        <v>0</v>
      </c>
      <c r="U273" s="21" t="s">
        <v>105</v>
      </c>
    </row>
    <row r="274" spans="3:21" ht="45" x14ac:dyDescent="0.25">
      <c r="C274" s="22" t="str">
        <f t="shared" si="50"/>
        <v/>
      </c>
      <c r="D274" s="17">
        <v>-1</v>
      </c>
      <c r="E274" s="20" t="s">
        <v>106</v>
      </c>
      <c r="F274" s="17"/>
      <c r="G274" s="20" t="str">
        <f t="shared" si="51"/>
        <v/>
      </c>
      <c r="H274" s="17">
        <v>-1</v>
      </c>
      <c r="I274" s="20" t="s">
        <v>106</v>
      </c>
      <c r="J274" s="17"/>
      <c r="K274" s="20" t="str">
        <f t="shared" si="52"/>
        <v/>
      </c>
      <c r="L274" s="17">
        <v>-1</v>
      </c>
      <c r="M274" s="20" t="s">
        <v>106</v>
      </c>
      <c r="N274" s="17"/>
      <c r="O274" s="20" t="str">
        <f t="shared" si="53"/>
        <v/>
      </c>
      <c r="P274" s="17">
        <v>-1</v>
      </c>
      <c r="Q274" s="20" t="s">
        <v>106</v>
      </c>
      <c r="R274" s="17"/>
      <c r="S274" s="20" t="str">
        <f t="shared" si="54"/>
        <v/>
      </c>
      <c r="T274" s="17">
        <v>-1</v>
      </c>
      <c r="U274" s="21" t="s">
        <v>106</v>
      </c>
    </row>
    <row r="275" spans="3:21" x14ac:dyDescent="0.25">
      <c r="C275" s="22" t="str">
        <f t="shared" si="50"/>
        <v/>
      </c>
      <c r="D275" s="17">
        <v>-2</v>
      </c>
      <c r="E275" s="20" t="s">
        <v>107</v>
      </c>
      <c r="F275" s="17"/>
      <c r="G275" s="20" t="str">
        <f t="shared" si="51"/>
        <v/>
      </c>
      <c r="H275" s="17">
        <v>-2</v>
      </c>
      <c r="I275" s="20" t="s">
        <v>107</v>
      </c>
      <c r="J275" s="17"/>
      <c r="K275" s="20" t="str">
        <f t="shared" si="52"/>
        <v/>
      </c>
      <c r="L275" s="17">
        <v>-2</v>
      </c>
      <c r="M275" s="20" t="s">
        <v>107</v>
      </c>
      <c r="N275" s="17"/>
      <c r="O275" s="20" t="str">
        <f t="shared" si="53"/>
        <v/>
      </c>
      <c r="P275" s="17">
        <v>-2</v>
      </c>
      <c r="Q275" s="20" t="s">
        <v>107</v>
      </c>
      <c r="R275" s="17"/>
      <c r="S275" s="20" t="str">
        <f t="shared" si="54"/>
        <v/>
      </c>
      <c r="T275" s="17">
        <v>-2</v>
      </c>
      <c r="U275" s="21" t="s">
        <v>107</v>
      </c>
    </row>
    <row r="276" spans="3:21" x14ac:dyDescent="0.25">
      <c r="C276" s="22" t="str">
        <f t="shared" si="50"/>
        <v/>
      </c>
      <c r="D276" s="17">
        <v>-3</v>
      </c>
      <c r="E276" s="20" t="s">
        <v>108</v>
      </c>
      <c r="F276" s="17"/>
      <c r="G276" s="20" t="str">
        <f t="shared" si="51"/>
        <v/>
      </c>
      <c r="H276" s="17">
        <v>-3</v>
      </c>
      <c r="I276" s="20" t="s">
        <v>108</v>
      </c>
      <c r="J276" s="17"/>
      <c r="K276" s="20" t="str">
        <f t="shared" si="52"/>
        <v/>
      </c>
      <c r="L276" s="17">
        <v>-3</v>
      </c>
      <c r="M276" s="20" t="s">
        <v>108</v>
      </c>
      <c r="N276" s="17"/>
      <c r="O276" s="20" t="str">
        <f t="shared" si="53"/>
        <v/>
      </c>
      <c r="P276" s="17">
        <v>-3</v>
      </c>
      <c r="Q276" s="20" t="s">
        <v>108</v>
      </c>
      <c r="R276" s="17"/>
      <c r="S276" s="20" t="str">
        <f t="shared" si="54"/>
        <v/>
      </c>
      <c r="T276" s="17">
        <v>-3</v>
      </c>
      <c r="U276" s="21" t="s">
        <v>108</v>
      </c>
    </row>
    <row r="277" spans="3:21" x14ac:dyDescent="0.25">
      <c r="C277" s="22" t="str">
        <f t="shared" si="50"/>
        <v/>
      </c>
      <c r="D277" s="17">
        <v>-4</v>
      </c>
      <c r="E277" s="20" t="s">
        <v>109</v>
      </c>
      <c r="F277" s="17"/>
      <c r="G277" s="20" t="str">
        <f t="shared" si="51"/>
        <v/>
      </c>
      <c r="H277" s="17">
        <v>-4</v>
      </c>
      <c r="I277" s="20" t="s">
        <v>109</v>
      </c>
      <c r="J277" s="17"/>
      <c r="K277" s="20" t="str">
        <f t="shared" si="52"/>
        <v/>
      </c>
      <c r="L277" s="17">
        <v>-4</v>
      </c>
      <c r="M277" s="20" t="s">
        <v>109</v>
      </c>
      <c r="N277" s="17"/>
      <c r="O277" s="20" t="str">
        <f t="shared" si="53"/>
        <v/>
      </c>
      <c r="P277" s="17">
        <v>-4</v>
      </c>
      <c r="Q277" s="20" t="s">
        <v>109</v>
      </c>
      <c r="R277" s="17"/>
      <c r="S277" s="20" t="str">
        <f t="shared" si="54"/>
        <v/>
      </c>
      <c r="T277" s="17">
        <v>-4</v>
      </c>
      <c r="U277" s="21" t="s">
        <v>109</v>
      </c>
    </row>
    <row r="278" spans="3:21" ht="60.75" thickBot="1" x14ac:dyDescent="0.3">
      <c r="C278" s="36" t="str">
        <f t="shared" si="50"/>
        <v/>
      </c>
      <c r="D278" s="23">
        <v>-5</v>
      </c>
      <c r="E278" s="24" t="s">
        <v>110</v>
      </c>
      <c r="F278" s="23"/>
      <c r="G278" s="24" t="str">
        <f t="shared" si="51"/>
        <v/>
      </c>
      <c r="H278" s="23">
        <v>-5</v>
      </c>
      <c r="I278" s="24" t="s">
        <v>110</v>
      </c>
      <c r="J278" s="23"/>
      <c r="K278" s="24" t="str">
        <f t="shared" si="52"/>
        <v/>
      </c>
      <c r="L278" s="23">
        <v>-5</v>
      </c>
      <c r="M278" s="24" t="s">
        <v>110</v>
      </c>
      <c r="N278" s="23"/>
      <c r="O278" s="24" t="str">
        <f t="shared" si="53"/>
        <v/>
      </c>
      <c r="P278" s="23">
        <v>-5</v>
      </c>
      <c r="Q278" s="24" t="s">
        <v>110</v>
      </c>
      <c r="R278" s="23"/>
      <c r="S278" s="24" t="str">
        <f t="shared" si="54"/>
        <v/>
      </c>
      <c r="T278" s="23">
        <v>-5</v>
      </c>
      <c r="U278" s="25" t="s">
        <v>110</v>
      </c>
    </row>
    <row r="279" spans="3:21" ht="15.75" thickBot="1" x14ac:dyDescent="0.3"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</row>
    <row r="280" spans="3:21" ht="15.75" thickBot="1" x14ac:dyDescent="0.3">
      <c r="C280" s="45" t="s">
        <v>126</v>
      </c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7"/>
    </row>
    <row r="281" spans="3:21" ht="15.75" thickBot="1" x14ac:dyDescent="0.3">
      <c r="C281" s="54" t="s">
        <v>88</v>
      </c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6"/>
    </row>
    <row r="282" spans="3:21" ht="15.75" thickBot="1" x14ac:dyDescent="0.3">
      <c r="C282" s="51" t="s">
        <v>49</v>
      </c>
      <c r="D282" s="52"/>
      <c r="E282" s="53"/>
      <c r="F282" s="17"/>
      <c r="G282" s="51" t="s">
        <v>33</v>
      </c>
      <c r="H282" s="52"/>
      <c r="I282" s="53"/>
      <c r="J282" s="17"/>
      <c r="K282" s="51" t="s">
        <v>34</v>
      </c>
      <c r="L282" s="52"/>
      <c r="M282" s="53"/>
      <c r="N282" s="17"/>
      <c r="O282" s="51" t="s">
        <v>35</v>
      </c>
      <c r="P282" s="52"/>
      <c r="Q282" s="53"/>
      <c r="R282" s="17"/>
      <c r="S282" s="51" t="s">
        <v>36</v>
      </c>
      <c r="T282" s="52"/>
      <c r="U282" s="53"/>
    </row>
    <row r="283" spans="3:21" x14ac:dyDescent="0.25">
      <c r="C283" s="18" t="s">
        <v>97</v>
      </c>
      <c r="D283" s="17" t="s">
        <v>98</v>
      </c>
      <c r="E283" s="17" t="s">
        <v>99</v>
      </c>
      <c r="F283" s="17"/>
      <c r="G283" s="17" t="s">
        <v>97</v>
      </c>
      <c r="H283" s="17" t="s">
        <v>98</v>
      </c>
      <c r="I283" s="17" t="s">
        <v>99</v>
      </c>
      <c r="J283" s="17"/>
      <c r="K283" s="17" t="s">
        <v>97</v>
      </c>
      <c r="L283" s="17" t="s">
        <v>98</v>
      </c>
      <c r="M283" s="17" t="s">
        <v>99</v>
      </c>
      <c r="N283" s="17"/>
      <c r="O283" s="17" t="s">
        <v>97</v>
      </c>
      <c r="P283" s="17" t="s">
        <v>98</v>
      </c>
      <c r="Q283" s="17" t="s">
        <v>99</v>
      </c>
      <c r="R283" s="17"/>
      <c r="S283" s="17" t="s">
        <v>97</v>
      </c>
      <c r="T283" s="17" t="s">
        <v>98</v>
      </c>
      <c r="U283" s="19" t="s">
        <v>99</v>
      </c>
    </row>
    <row r="284" spans="3:21" ht="60" x14ac:dyDescent="0.25">
      <c r="C284" s="22" t="str">
        <f t="shared" ref="C284:C294" si="55">_xlfn.TEXTJOIN(","&amp;CHAR(10),TRUE,IF(D284=0,"Historic Baseline ("&amp;TEXT(I$43,"0%")&amp;")",""),IF(-MAX(-5,MIN(5,ROUND((I$52-I$43)*100,0)))=D284,"+30% Outflow",""),IF(-MAX(-5,MIN(5,ROUND((I$61-I$43)*100,0)))=D284,"-10% Outflow",""))</f>
        <v/>
      </c>
      <c r="D284" s="17">
        <v>5</v>
      </c>
      <c r="E284" s="20" t="s">
        <v>100</v>
      </c>
      <c r="F284" s="17"/>
      <c r="G284" s="20" t="str">
        <f t="shared" ref="G284:G294" si="56">_xlfn.TEXTJOIN(","&amp;CHAR(10),TRUE,IF(H284=0,"Historic Baseline ("&amp;TEXT(J$43,"0%")&amp;")",""),IF(-MAX(-5,MIN(5,ROUND((J$52-J$43)*100,0)))=H284,"+30% Outflow",""),IF(-MAX(-5,MIN(5,ROUND((J$61-J$43)*100,0)))=H284,"-10% Outflow",""))</f>
        <v/>
      </c>
      <c r="H284" s="17">
        <v>5</v>
      </c>
      <c r="I284" s="20" t="s">
        <v>100</v>
      </c>
      <c r="J284" s="17"/>
      <c r="K284" s="20" t="str">
        <f t="shared" ref="K284:K294" si="57">_xlfn.TEXTJOIN(","&amp;CHAR(10),TRUE,IF(L284=0,"Historic Baseline ("&amp;TEXT(K$43,"0%")&amp;")",""),IF(-MAX(-5,MIN(5,ROUND((K$52-K$43)*100,0)))=L284,"+30% Outflow",""),IF(-MAX(-5,MIN(5,ROUND((K$61-K$43)*100,0)))=L284,"-10% Outflow",""))</f>
        <v/>
      </c>
      <c r="L284" s="17">
        <v>5</v>
      </c>
      <c r="M284" s="20" t="s">
        <v>100</v>
      </c>
      <c r="N284" s="17"/>
      <c r="O284" s="20" t="str">
        <f t="shared" ref="O284:O294" si="58">_xlfn.TEXTJOIN(","&amp;CHAR(10),TRUE,IF(P284=0,"Historic Baseline ("&amp;TEXT(L$43,"0%")&amp;")",""),IF(-MAX(-5,MIN(5,ROUND((L$52-L$43)*100,0)))=P284,"+30% Outflow",""),IF(-MAX(-5,MIN(5,ROUND((L$61-L$43)*100,0)))=P284,"-10% Outflow",""))</f>
        <v/>
      </c>
      <c r="P284" s="17">
        <v>5</v>
      </c>
      <c r="Q284" s="20" t="s">
        <v>100</v>
      </c>
      <c r="R284" s="17"/>
      <c r="S284" s="20" t="str">
        <f t="shared" ref="S284:S294" si="59">_xlfn.TEXTJOIN(","&amp;CHAR(10),TRUE,IF(T284=0,"Historic Baseline ("&amp;TEXT(M$43,"0%")&amp;")",""),IF(-MAX(-5,MIN(5,ROUND((M$52-M$43)*100,0)))=T284,"+30% Outflow",""),IF(-MAX(-5,MIN(5,ROUND((M$61-M$43)*100,0)))=T284,"-10% Outflow",""))</f>
        <v/>
      </c>
      <c r="T284" s="17">
        <v>5</v>
      </c>
      <c r="U284" s="21" t="s">
        <v>100</v>
      </c>
    </row>
    <row r="285" spans="3:21" x14ac:dyDescent="0.25">
      <c r="C285" s="22" t="str">
        <f t="shared" si="55"/>
        <v/>
      </c>
      <c r="D285" s="17">
        <v>4</v>
      </c>
      <c r="E285" s="20" t="s">
        <v>101</v>
      </c>
      <c r="F285" s="17"/>
      <c r="G285" s="20" t="str">
        <f t="shared" si="56"/>
        <v/>
      </c>
      <c r="H285" s="17">
        <v>4</v>
      </c>
      <c r="I285" s="20" t="s">
        <v>101</v>
      </c>
      <c r="J285" s="17"/>
      <c r="K285" s="20" t="str">
        <f t="shared" si="57"/>
        <v/>
      </c>
      <c r="L285" s="17">
        <v>4</v>
      </c>
      <c r="M285" s="20" t="s">
        <v>101</v>
      </c>
      <c r="N285" s="17"/>
      <c r="O285" s="20" t="str">
        <f t="shared" si="58"/>
        <v/>
      </c>
      <c r="P285" s="17">
        <v>4</v>
      </c>
      <c r="Q285" s="20" t="s">
        <v>101</v>
      </c>
      <c r="R285" s="17"/>
      <c r="S285" s="20" t="str">
        <f t="shared" si="59"/>
        <v/>
      </c>
      <c r="T285" s="17">
        <v>4</v>
      </c>
      <c r="U285" s="21" t="s">
        <v>101</v>
      </c>
    </row>
    <row r="286" spans="3:21" x14ac:dyDescent="0.25">
      <c r="C286" s="22" t="str">
        <f t="shared" si="55"/>
        <v/>
      </c>
      <c r="D286" s="17">
        <v>3</v>
      </c>
      <c r="E286" s="20" t="s">
        <v>102</v>
      </c>
      <c r="F286" s="17"/>
      <c r="G286" s="20" t="str">
        <f t="shared" si="56"/>
        <v/>
      </c>
      <c r="H286" s="17">
        <v>3</v>
      </c>
      <c r="I286" s="20" t="s">
        <v>102</v>
      </c>
      <c r="J286" s="17"/>
      <c r="K286" s="20" t="str">
        <f t="shared" si="57"/>
        <v/>
      </c>
      <c r="L286" s="17">
        <v>3</v>
      </c>
      <c r="M286" s="20" t="s">
        <v>102</v>
      </c>
      <c r="N286" s="17"/>
      <c r="O286" s="20" t="str">
        <f t="shared" si="58"/>
        <v/>
      </c>
      <c r="P286" s="17">
        <v>3</v>
      </c>
      <c r="Q286" s="20" t="s">
        <v>102</v>
      </c>
      <c r="R286" s="17"/>
      <c r="S286" s="20" t="str">
        <f t="shared" si="59"/>
        <v/>
      </c>
      <c r="T286" s="17">
        <v>3</v>
      </c>
      <c r="U286" s="21" t="s">
        <v>102</v>
      </c>
    </row>
    <row r="287" spans="3:21" x14ac:dyDescent="0.25">
      <c r="C287" s="22" t="str">
        <f t="shared" si="55"/>
        <v/>
      </c>
      <c r="D287" s="17">
        <v>2</v>
      </c>
      <c r="E287" s="20" t="s">
        <v>103</v>
      </c>
      <c r="F287" s="17"/>
      <c r="G287" s="20" t="str">
        <f t="shared" si="56"/>
        <v/>
      </c>
      <c r="H287" s="17">
        <v>2</v>
      </c>
      <c r="I287" s="20" t="s">
        <v>103</v>
      </c>
      <c r="J287" s="17"/>
      <c r="K287" s="20" t="str">
        <f t="shared" si="57"/>
        <v/>
      </c>
      <c r="L287" s="17">
        <v>2</v>
      </c>
      <c r="M287" s="20" t="s">
        <v>103</v>
      </c>
      <c r="N287" s="17"/>
      <c r="O287" s="20" t="str">
        <f t="shared" si="58"/>
        <v/>
      </c>
      <c r="P287" s="17">
        <v>2</v>
      </c>
      <c r="Q287" s="20" t="s">
        <v>103</v>
      </c>
      <c r="R287" s="17"/>
      <c r="S287" s="20" t="str">
        <f t="shared" si="59"/>
        <v/>
      </c>
      <c r="T287" s="17">
        <v>2</v>
      </c>
      <c r="U287" s="21" t="s">
        <v>103</v>
      </c>
    </row>
    <row r="288" spans="3:21" x14ac:dyDescent="0.25">
      <c r="C288" s="22" t="str">
        <f t="shared" si="55"/>
        <v/>
      </c>
      <c r="D288" s="17">
        <v>1</v>
      </c>
      <c r="E288" s="20" t="s">
        <v>104</v>
      </c>
      <c r="F288" s="17"/>
      <c r="G288" s="20" t="str">
        <f t="shared" si="56"/>
        <v/>
      </c>
      <c r="H288" s="17">
        <v>1</v>
      </c>
      <c r="I288" s="20" t="s">
        <v>104</v>
      </c>
      <c r="J288" s="17"/>
      <c r="K288" s="20" t="str">
        <f t="shared" si="57"/>
        <v/>
      </c>
      <c r="L288" s="17">
        <v>1</v>
      </c>
      <c r="M288" s="20" t="s">
        <v>104</v>
      </c>
      <c r="N288" s="17"/>
      <c r="O288" s="20" t="str">
        <f t="shared" si="58"/>
        <v/>
      </c>
      <c r="P288" s="17">
        <v>1</v>
      </c>
      <c r="Q288" s="20" t="s">
        <v>104</v>
      </c>
      <c r="R288" s="17"/>
      <c r="S288" s="20" t="str">
        <f t="shared" si="59"/>
        <v/>
      </c>
      <c r="T288" s="17">
        <v>1</v>
      </c>
      <c r="U288" s="21" t="s">
        <v>104</v>
      </c>
    </row>
    <row r="289" spans="3:21" ht="105" x14ac:dyDescent="0.25">
      <c r="C289" s="22" t="str">
        <f t="shared" si="55"/>
        <v>Historic Baseline (88%),
+30% Outflow,
-10% Outflow</v>
      </c>
      <c r="D289" s="17">
        <v>0</v>
      </c>
      <c r="E289" s="20" t="s">
        <v>105</v>
      </c>
      <c r="F289" s="17"/>
      <c r="G289" s="20" t="str">
        <f t="shared" si="56"/>
        <v>Historic Baseline (89%),
+30% Outflow,
-10% Outflow</v>
      </c>
      <c r="H289" s="17">
        <v>0</v>
      </c>
      <c r="I289" s="20" t="s">
        <v>105</v>
      </c>
      <c r="J289" s="17"/>
      <c r="K289" s="20" t="str">
        <f t="shared" si="57"/>
        <v>Historic Baseline (88%),
+30% Outflow,
-10% Outflow</v>
      </c>
      <c r="L289" s="17">
        <v>0</v>
      </c>
      <c r="M289" s="20" t="s">
        <v>105</v>
      </c>
      <c r="N289" s="17"/>
      <c r="O289" s="10" t="str">
        <f t="shared" si="58"/>
        <v>Historic Baseline (90%),
+30% Outflow,
-10% Outflow</v>
      </c>
      <c r="P289" s="17">
        <v>0</v>
      </c>
      <c r="Q289" s="20" t="s">
        <v>105</v>
      </c>
      <c r="R289" s="17"/>
      <c r="S289" s="10" t="str">
        <f t="shared" si="59"/>
        <v>Historic Baseline (88%),
+30% Outflow,
-10% Outflow</v>
      </c>
      <c r="T289" s="17">
        <v>0</v>
      </c>
      <c r="U289" s="21" t="s">
        <v>105</v>
      </c>
    </row>
    <row r="290" spans="3:21" ht="45" x14ac:dyDescent="0.25">
      <c r="C290" s="22" t="str">
        <f t="shared" si="55"/>
        <v/>
      </c>
      <c r="D290" s="17">
        <v>-1</v>
      </c>
      <c r="E290" s="20" t="s">
        <v>106</v>
      </c>
      <c r="F290" s="17"/>
      <c r="G290" s="20" t="str">
        <f t="shared" si="56"/>
        <v/>
      </c>
      <c r="H290" s="17">
        <v>-1</v>
      </c>
      <c r="I290" s="20" t="s">
        <v>106</v>
      </c>
      <c r="J290" s="17"/>
      <c r="K290" s="20" t="str">
        <f t="shared" si="57"/>
        <v/>
      </c>
      <c r="L290" s="17">
        <v>-1</v>
      </c>
      <c r="M290" s="20" t="s">
        <v>106</v>
      </c>
      <c r="N290" s="17"/>
      <c r="O290" s="20" t="str">
        <f t="shared" si="58"/>
        <v/>
      </c>
      <c r="P290" s="17">
        <v>-1</v>
      </c>
      <c r="Q290" s="20" t="s">
        <v>106</v>
      </c>
      <c r="R290" s="17"/>
      <c r="S290" s="20" t="str">
        <f t="shared" si="59"/>
        <v/>
      </c>
      <c r="T290" s="17">
        <v>-1</v>
      </c>
      <c r="U290" s="21" t="s">
        <v>106</v>
      </c>
    </row>
    <row r="291" spans="3:21" x14ac:dyDescent="0.25">
      <c r="C291" s="22" t="str">
        <f t="shared" si="55"/>
        <v/>
      </c>
      <c r="D291" s="17">
        <v>-2</v>
      </c>
      <c r="E291" s="20" t="s">
        <v>107</v>
      </c>
      <c r="F291" s="17"/>
      <c r="G291" s="20" t="str">
        <f t="shared" si="56"/>
        <v/>
      </c>
      <c r="H291" s="17">
        <v>-2</v>
      </c>
      <c r="I291" s="20" t="s">
        <v>107</v>
      </c>
      <c r="J291" s="17"/>
      <c r="K291" s="20" t="str">
        <f t="shared" si="57"/>
        <v/>
      </c>
      <c r="L291" s="17">
        <v>-2</v>
      </c>
      <c r="M291" s="20" t="s">
        <v>107</v>
      </c>
      <c r="N291" s="17"/>
      <c r="O291" s="20" t="str">
        <f t="shared" si="58"/>
        <v/>
      </c>
      <c r="P291" s="17">
        <v>-2</v>
      </c>
      <c r="Q291" s="20" t="s">
        <v>107</v>
      </c>
      <c r="R291" s="17"/>
      <c r="S291" s="20" t="str">
        <f t="shared" si="59"/>
        <v/>
      </c>
      <c r="T291" s="17">
        <v>-2</v>
      </c>
      <c r="U291" s="21" t="s">
        <v>107</v>
      </c>
    </row>
    <row r="292" spans="3:21" x14ac:dyDescent="0.25">
      <c r="C292" s="22" t="str">
        <f t="shared" si="55"/>
        <v/>
      </c>
      <c r="D292" s="17">
        <v>-3</v>
      </c>
      <c r="E292" s="20" t="s">
        <v>108</v>
      </c>
      <c r="F292" s="17"/>
      <c r="G292" s="20" t="str">
        <f t="shared" si="56"/>
        <v/>
      </c>
      <c r="H292" s="17">
        <v>-3</v>
      </c>
      <c r="I292" s="20" t="s">
        <v>108</v>
      </c>
      <c r="J292" s="17"/>
      <c r="K292" s="20" t="str">
        <f t="shared" si="57"/>
        <v/>
      </c>
      <c r="L292" s="17">
        <v>-3</v>
      </c>
      <c r="M292" s="20" t="s">
        <v>108</v>
      </c>
      <c r="N292" s="17"/>
      <c r="O292" s="20" t="str">
        <f t="shared" si="58"/>
        <v/>
      </c>
      <c r="P292" s="17">
        <v>-3</v>
      </c>
      <c r="Q292" s="20" t="s">
        <v>108</v>
      </c>
      <c r="R292" s="17"/>
      <c r="S292" s="20" t="str">
        <f t="shared" si="59"/>
        <v/>
      </c>
      <c r="T292" s="17">
        <v>-3</v>
      </c>
      <c r="U292" s="21" t="s">
        <v>108</v>
      </c>
    </row>
    <row r="293" spans="3:21" x14ac:dyDescent="0.25">
      <c r="C293" s="22" t="str">
        <f t="shared" si="55"/>
        <v/>
      </c>
      <c r="D293" s="17">
        <v>-4</v>
      </c>
      <c r="E293" s="20" t="s">
        <v>109</v>
      </c>
      <c r="F293" s="17"/>
      <c r="G293" s="20" t="str">
        <f t="shared" si="56"/>
        <v/>
      </c>
      <c r="H293" s="17">
        <v>-4</v>
      </c>
      <c r="I293" s="20" t="s">
        <v>109</v>
      </c>
      <c r="J293" s="17"/>
      <c r="K293" s="20" t="str">
        <f t="shared" si="57"/>
        <v/>
      </c>
      <c r="L293" s="17">
        <v>-4</v>
      </c>
      <c r="M293" s="20" t="s">
        <v>109</v>
      </c>
      <c r="N293" s="17"/>
      <c r="O293" s="20" t="str">
        <f t="shared" si="58"/>
        <v/>
      </c>
      <c r="P293" s="17">
        <v>-4</v>
      </c>
      <c r="Q293" s="20" t="s">
        <v>109</v>
      </c>
      <c r="R293" s="17"/>
      <c r="S293" s="20" t="str">
        <f t="shared" si="59"/>
        <v/>
      </c>
      <c r="T293" s="17">
        <v>-4</v>
      </c>
      <c r="U293" s="21" t="s">
        <v>109</v>
      </c>
    </row>
    <row r="294" spans="3:21" ht="60.75" thickBot="1" x14ac:dyDescent="0.3">
      <c r="C294" s="36" t="str">
        <f t="shared" si="55"/>
        <v/>
      </c>
      <c r="D294" s="23">
        <v>-5</v>
      </c>
      <c r="E294" s="24" t="s">
        <v>110</v>
      </c>
      <c r="F294" s="23"/>
      <c r="G294" s="24" t="str">
        <f t="shared" si="56"/>
        <v/>
      </c>
      <c r="H294" s="23">
        <v>-5</v>
      </c>
      <c r="I294" s="24" t="s">
        <v>110</v>
      </c>
      <c r="J294" s="23"/>
      <c r="K294" s="24" t="str">
        <f t="shared" si="57"/>
        <v/>
      </c>
      <c r="L294" s="23">
        <v>-5</v>
      </c>
      <c r="M294" s="24" t="s">
        <v>110</v>
      </c>
      <c r="N294" s="23"/>
      <c r="O294" s="24" t="str">
        <f t="shared" si="58"/>
        <v/>
      </c>
      <c r="P294" s="23">
        <v>-5</v>
      </c>
      <c r="Q294" s="24" t="s">
        <v>110</v>
      </c>
      <c r="R294" s="23"/>
      <c r="S294" s="24" t="str">
        <f t="shared" si="59"/>
        <v/>
      </c>
      <c r="T294" s="23">
        <v>-5</v>
      </c>
      <c r="U294" s="25" t="s">
        <v>110</v>
      </c>
    </row>
    <row r="295" spans="3:21" ht="15.75" thickBot="1" x14ac:dyDescent="0.3"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</row>
    <row r="296" spans="3:21" ht="15.75" thickBot="1" x14ac:dyDescent="0.3">
      <c r="C296" s="45" t="s">
        <v>126</v>
      </c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7"/>
    </row>
    <row r="297" spans="3:21" ht="15.75" thickBot="1" x14ac:dyDescent="0.3">
      <c r="C297" s="48" t="s">
        <v>89</v>
      </c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50"/>
    </row>
    <row r="298" spans="3:21" ht="15.75" thickBot="1" x14ac:dyDescent="0.3">
      <c r="C298" s="51" t="s">
        <v>49</v>
      </c>
      <c r="D298" s="52"/>
      <c r="E298" s="53"/>
      <c r="F298" s="17"/>
      <c r="G298" s="51" t="s">
        <v>33</v>
      </c>
      <c r="H298" s="52"/>
      <c r="I298" s="53"/>
      <c r="J298" s="17"/>
      <c r="K298" s="51" t="s">
        <v>34</v>
      </c>
      <c r="L298" s="52"/>
      <c r="M298" s="53"/>
      <c r="N298" s="17"/>
      <c r="O298" s="51" t="s">
        <v>35</v>
      </c>
      <c r="P298" s="52"/>
      <c r="Q298" s="53"/>
      <c r="R298" s="17"/>
      <c r="S298" s="51" t="s">
        <v>36</v>
      </c>
      <c r="T298" s="52"/>
      <c r="U298" s="53"/>
    </row>
    <row r="299" spans="3:21" x14ac:dyDescent="0.25">
      <c r="C299" s="18" t="s">
        <v>97</v>
      </c>
      <c r="D299" s="17" t="s">
        <v>98</v>
      </c>
      <c r="E299" s="17" t="s">
        <v>99</v>
      </c>
      <c r="F299" s="17"/>
      <c r="G299" s="17" t="s">
        <v>97</v>
      </c>
      <c r="H299" s="17" t="s">
        <v>98</v>
      </c>
      <c r="I299" s="17" t="s">
        <v>99</v>
      </c>
      <c r="J299" s="17"/>
      <c r="K299" s="17" t="s">
        <v>97</v>
      </c>
      <c r="L299" s="17" t="s">
        <v>98</v>
      </c>
      <c r="M299" s="17" t="s">
        <v>99</v>
      </c>
      <c r="N299" s="17"/>
      <c r="O299" s="17" t="s">
        <v>97</v>
      </c>
      <c r="P299" s="17" t="s">
        <v>98</v>
      </c>
      <c r="Q299" s="17" t="s">
        <v>99</v>
      </c>
      <c r="R299" s="17"/>
      <c r="S299" s="17" t="s">
        <v>97</v>
      </c>
      <c r="T299" s="17" t="s">
        <v>98</v>
      </c>
      <c r="U299" s="19" t="s">
        <v>99</v>
      </c>
    </row>
    <row r="300" spans="3:21" ht="60" x14ac:dyDescent="0.25">
      <c r="C300" s="22" t="str">
        <f t="shared" ref="C300:C310" si="60">_xlfn.TEXTJOIN(","&amp;CHAR(10),TRUE,IF(D300=0,"Historic Baseline ("&amp;TEXT(N$43,"0%")&amp;")",""),IF(-MAX(-5,MIN(5,ROUND((N$52-N$43)*100,0)))=D300,"+30% Outflow",""),IF(-MAX(-5,MIN(5,ROUND((N$61-N$43)*100,0)))=D300,"-10% Outflow",""))</f>
        <v/>
      </c>
      <c r="D300" s="17">
        <v>5</v>
      </c>
      <c r="E300" s="20" t="s">
        <v>100</v>
      </c>
      <c r="F300" s="17"/>
      <c r="G300" s="20" t="str">
        <f t="shared" ref="G300:G310" si="61">_xlfn.TEXTJOIN(","&amp;CHAR(10),TRUE,IF(H300=0,"Historic Baseline ("&amp;TEXT(O$43,"0%")&amp;")",""),IF(-MAX(-5,MIN(5,ROUND((O$52-O$43)*100,0)))=H300,"+30% Outflow",""),IF(-MAX(-5,MIN(5,ROUND((O$61-O$43)*100,0)))=H300,"-10% Outflow",""))</f>
        <v/>
      </c>
      <c r="H300" s="17">
        <v>5</v>
      </c>
      <c r="I300" s="20" t="s">
        <v>100</v>
      </c>
      <c r="J300" s="17"/>
      <c r="K300" s="20" t="str">
        <f t="shared" ref="K300:K310" si="62">_xlfn.TEXTJOIN(","&amp;CHAR(10),TRUE,IF(L300=0,"Historic Baseline ("&amp;TEXT(P$43,"0%")&amp;")",""),IF(-MAX(-5,MIN(5,ROUND((P$52-P$43)*100,0)))=L300,"+30% Outflow",""),IF(-MAX(-5,MIN(5,ROUND((P$61-P$43)*100,0)))=L300,"-10% Outflow",""))</f>
        <v/>
      </c>
      <c r="L300" s="17">
        <v>5</v>
      </c>
      <c r="M300" s="20" t="s">
        <v>100</v>
      </c>
      <c r="N300" s="17"/>
      <c r="O300" s="20" t="str">
        <f t="shared" ref="O300:O310" si="63">_xlfn.TEXTJOIN(","&amp;CHAR(10),TRUE,IF(P300=0,"Historic Baseline ("&amp;TEXT(Q$43,"0%")&amp;")",""),IF(-MAX(-5,MIN(5,ROUND((Q$52-Q$43)*100,0)))=P300,"+30% Outflow",""),IF(-MAX(-5,MIN(5,ROUND((Q$61-Q$43)*100,0)))=P300,"-10% Outflow",""))</f>
        <v/>
      </c>
      <c r="P300" s="17">
        <v>5</v>
      </c>
      <c r="Q300" s="20" t="s">
        <v>100</v>
      </c>
      <c r="R300" s="17"/>
      <c r="S300" s="20" t="str">
        <f t="shared" ref="S300:S310" si="64">_xlfn.TEXTJOIN(","&amp;CHAR(10),TRUE,IF(T300=0,"Historic Baseline ("&amp;TEXT(R$43,"0%")&amp;")",""),IF(-MAX(-5,MIN(5,ROUND((R$52-R$43)*100,0)))=T300,"+30% Outflow",""),IF(-MAX(-5,MIN(5,ROUND((R$61-R$43)*100,0)))=T300,"-10% Outflow",""))</f>
        <v/>
      </c>
      <c r="T300" s="17">
        <v>5</v>
      </c>
      <c r="U300" s="21" t="s">
        <v>100</v>
      </c>
    </row>
    <row r="301" spans="3:21" x14ac:dyDescent="0.25">
      <c r="C301" s="22" t="str">
        <f t="shared" si="60"/>
        <v/>
      </c>
      <c r="D301" s="17">
        <v>4</v>
      </c>
      <c r="E301" s="20" t="s">
        <v>101</v>
      </c>
      <c r="F301" s="17"/>
      <c r="G301" s="20" t="str">
        <f t="shared" si="61"/>
        <v/>
      </c>
      <c r="H301" s="17">
        <v>4</v>
      </c>
      <c r="I301" s="20" t="s">
        <v>101</v>
      </c>
      <c r="J301" s="17"/>
      <c r="K301" s="20" t="str">
        <f t="shared" si="62"/>
        <v/>
      </c>
      <c r="L301" s="17">
        <v>4</v>
      </c>
      <c r="M301" s="20" t="s">
        <v>101</v>
      </c>
      <c r="N301" s="17"/>
      <c r="O301" s="20" t="str">
        <f t="shared" si="63"/>
        <v/>
      </c>
      <c r="P301" s="17">
        <v>4</v>
      </c>
      <c r="Q301" s="20" t="s">
        <v>101</v>
      </c>
      <c r="R301" s="17"/>
      <c r="S301" s="20" t="str">
        <f t="shared" si="64"/>
        <v/>
      </c>
      <c r="T301" s="17">
        <v>4</v>
      </c>
      <c r="U301" s="21" t="s">
        <v>101</v>
      </c>
    </row>
    <row r="302" spans="3:21" x14ac:dyDescent="0.25">
      <c r="C302" s="22" t="str">
        <f t="shared" si="60"/>
        <v/>
      </c>
      <c r="D302" s="17">
        <v>3</v>
      </c>
      <c r="E302" s="20" t="s">
        <v>102</v>
      </c>
      <c r="F302" s="17"/>
      <c r="G302" s="20" t="str">
        <f t="shared" si="61"/>
        <v/>
      </c>
      <c r="H302" s="17">
        <v>3</v>
      </c>
      <c r="I302" s="20" t="s">
        <v>102</v>
      </c>
      <c r="J302" s="17"/>
      <c r="K302" s="20" t="str">
        <f t="shared" si="62"/>
        <v/>
      </c>
      <c r="L302" s="17">
        <v>3</v>
      </c>
      <c r="M302" s="20" t="s">
        <v>102</v>
      </c>
      <c r="N302" s="17"/>
      <c r="O302" s="20" t="str">
        <f t="shared" si="63"/>
        <v/>
      </c>
      <c r="P302" s="17">
        <v>3</v>
      </c>
      <c r="Q302" s="20" t="s">
        <v>102</v>
      </c>
      <c r="R302" s="17"/>
      <c r="S302" s="20" t="str">
        <f t="shared" si="64"/>
        <v/>
      </c>
      <c r="T302" s="17">
        <v>3</v>
      </c>
      <c r="U302" s="21" t="s">
        <v>102</v>
      </c>
    </row>
    <row r="303" spans="3:21" ht="30" x14ac:dyDescent="0.25">
      <c r="C303" s="22" t="str">
        <f t="shared" si="60"/>
        <v/>
      </c>
      <c r="D303" s="17">
        <v>2</v>
      </c>
      <c r="E303" s="20" t="s">
        <v>103</v>
      </c>
      <c r="F303" s="17"/>
      <c r="G303" s="20" t="str">
        <f t="shared" si="61"/>
        <v>+30% Outflow</v>
      </c>
      <c r="H303" s="17">
        <v>2</v>
      </c>
      <c r="I303" s="20" t="s">
        <v>103</v>
      </c>
      <c r="J303" s="17"/>
      <c r="K303" s="20" t="str">
        <f t="shared" si="62"/>
        <v/>
      </c>
      <c r="L303" s="17">
        <v>2</v>
      </c>
      <c r="M303" s="20" t="s">
        <v>103</v>
      </c>
      <c r="N303" s="17"/>
      <c r="O303" s="20" t="str">
        <f t="shared" si="63"/>
        <v/>
      </c>
      <c r="P303" s="17">
        <v>2</v>
      </c>
      <c r="Q303" s="20" t="s">
        <v>103</v>
      </c>
      <c r="R303" s="17"/>
      <c r="S303" s="20" t="str">
        <f t="shared" si="64"/>
        <v/>
      </c>
      <c r="T303" s="17">
        <v>2</v>
      </c>
      <c r="U303" s="21" t="s">
        <v>103</v>
      </c>
    </row>
    <row r="304" spans="3:21" ht="30" x14ac:dyDescent="0.25">
      <c r="C304" s="22" t="str">
        <f t="shared" si="60"/>
        <v>+30% Outflow</v>
      </c>
      <c r="D304" s="17">
        <v>1</v>
      </c>
      <c r="E304" s="20" t="s">
        <v>104</v>
      </c>
      <c r="F304" s="17"/>
      <c r="G304" s="20" t="str">
        <f t="shared" si="61"/>
        <v>-10% Outflow</v>
      </c>
      <c r="H304" s="17">
        <v>1</v>
      </c>
      <c r="I304" s="20" t="s">
        <v>104</v>
      </c>
      <c r="J304" s="17"/>
      <c r="K304" s="20" t="str">
        <f t="shared" si="62"/>
        <v/>
      </c>
      <c r="L304" s="17">
        <v>1</v>
      </c>
      <c r="M304" s="20" t="s">
        <v>104</v>
      </c>
      <c r="N304" s="17"/>
      <c r="O304" s="20" t="str">
        <f t="shared" si="63"/>
        <v>+30% Outflow</v>
      </c>
      <c r="P304" s="17">
        <v>1</v>
      </c>
      <c r="Q304" s="20" t="s">
        <v>104</v>
      </c>
      <c r="R304" s="17"/>
      <c r="S304" s="20" t="str">
        <f t="shared" si="64"/>
        <v/>
      </c>
      <c r="T304" s="17">
        <v>1</v>
      </c>
      <c r="U304" s="21" t="s">
        <v>104</v>
      </c>
    </row>
    <row r="305" spans="3:21" ht="105" x14ac:dyDescent="0.25">
      <c r="C305" s="22" t="str">
        <f t="shared" si="60"/>
        <v>Historic Baseline (14%),
-10% Outflow</v>
      </c>
      <c r="D305" s="17">
        <v>0</v>
      </c>
      <c r="E305" s="20" t="s">
        <v>105</v>
      </c>
      <c r="F305" s="17"/>
      <c r="G305" s="20" t="str">
        <f t="shared" si="61"/>
        <v>Historic Baseline (20%)</v>
      </c>
      <c r="H305" s="17">
        <v>0</v>
      </c>
      <c r="I305" s="20" t="s">
        <v>105</v>
      </c>
      <c r="J305" s="17"/>
      <c r="K305" s="20" t="str">
        <f t="shared" si="62"/>
        <v>Historic Baseline (13%),
+30% Outflow,
-10% Outflow</v>
      </c>
      <c r="L305" s="17">
        <v>0</v>
      </c>
      <c r="M305" s="20" t="s">
        <v>105</v>
      </c>
      <c r="N305" s="17"/>
      <c r="O305" s="10" t="str">
        <f t="shared" si="63"/>
        <v>Historic Baseline (13%),
-10% Outflow</v>
      </c>
      <c r="P305" s="17">
        <v>0</v>
      </c>
      <c r="Q305" s="20" t="s">
        <v>105</v>
      </c>
      <c r="R305" s="17"/>
      <c r="S305" s="10" t="str">
        <f t="shared" si="64"/>
        <v>Historic Baseline (10%),
+30% Outflow,
-10% Outflow</v>
      </c>
      <c r="T305" s="17">
        <v>0</v>
      </c>
      <c r="U305" s="21" t="s">
        <v>105</v>
      </c>
    </row>
    <row r="306" spans="3:21" ht="45" x14ac:dyDescent="0.25">
      <c r="C306" s="22" t="str">
        <f t="shared" si="60"/>
        <v/>
      </c>
      <c r="D306" s="17">
        <v>-1</v>
      </c>
      <c r="E306" s="20" t="s">
        <v>106</v>
      </c>
      <c r="F306" s="17"/>
      <c r="G306" s="20" t="str">
        <f t="shared" si="61"/>
        <v/>
      </c>
      <c r="H306" s="17">
        <v>-1</v>
      </c>
      <c r="I306" s="20" t="s">
        <v>106</v>
      </c>
      <c r="J306" s="17"/>
      <c r="K306" s="20" t="str">
        <f t="shared" si="62"/>
        <v/>
      </c>
      <c r="L306" s="17">
        <v>-1</v>
      </c>
      <c r="M306" s="20" t="s">
        <v>106</v>
      </c>
      <c r="N306" s="17"/>
      <c r="O306" s="20" t="str">
        <f t="shared" si="63"/>
        <v/>
      </c>
      <c r="P306" s="17">
        <v>-1</v>
      </c>
      <c r="Q306" s="20" t="s">
        <v>106</v>
      </c>
      <c r="R306" s="17"/>
      <c r="S306" s="20" t="str">
        <f t="shared" si="64"/>
        <v/>
      </c>
      <c r="T306" s="17">
        <v>-1</v>
      </c>
      <c r="U306" s="21" t="s">
        <v>106</v>
      </c>
    </row>
    <row r="307" spans="3:21" x14ac:dyDescent="0.25">
      <c r="C307" s="22" t="str">
        <f t="shared" si="60"/>
        <v/>
      </c>
      <c r="D307" s="17">
        <v>-2</v>
      </c>
      <c r="E307" s="20" t="s">
        <v>107</v>
      </c>
      <c r="F307" s="17"/>
      <c r="G307" s="20" t="str">
        <f t="shared" si="61"/>
        <v/>
      </c>
      <c r="H307" s="17">
        <v>-2</v>
      </c>
      <c r="I307" s="20" t="s">
        <v>107</v>
      </c>
      <c r="J307" s="17"/>
      <c r="K307" s="20" t="str">
        <f t="shared" si="62"/>
        <v/>
      </c>
      <c r="L307" s="17">
        <v>-2</v>
      </c>
      <c r="M307" s="20" t="s">
        <v>107</v>
      </c>
      <c r="N307" s="17"/>
      <c r="O307" s="20" t="str">
        <f t="shared" si="63"/>
        <v/>
      </c>
      <c r="P307" s="17">
        <v>-2</v>
      </c>
      <c r="Q307" s="20" t="s">
        <v>107</v>
      </c>
      <c r="R307" s="17"/>
      <c r="S307" s="20" t="str">
        <f t="shared" si="64"/>
        <v/>
      </c>
      <c r="T307" s="17">
        <v>-2</v>
      </c>
      <c r="U307" s="21" t="s">
        <v>107</v>
      </c>
    </row>
    <row r="308" spans="3:21" x14ac:dyDescent="0.25">
      <c r="C308" s="22" t="str">
        <f t="shared" si="60"/>
        <v/>
      </c>
      <c r="D308" s="17">
        <v>-3</v>
      </c>
      <c r="E308" s="20" t="s">
        <v>108</v>
      </c>
      <c r="F308" s="17"/>
      <c r="G308" s="20" t="str">
        <f t="shared" si="61"/>
        <v/>
      </c>
      <c r="H308" s="17">
        <v>-3</v>
      </c>
      <c r="I308" s="20" t="s">
        <v>108</v>
      </c>
      <c r="J308" s="17"/>
      <c r="K308" s="20" t="str">
        <f t="shared" si="62"/>
        <v/>
      </c>
      <c r="L308" s="17">
        <v>-3</v>
      </c>
      <c r="M308" s="20" t="s">
        <v>108</v>
      </c>
      <c r="N308" s="17"/>
      <c r="O308" s="20" t="str">
        <f t="shared" si="63"/>
        <v/>
      </c>
      <c r="P308" s="17">
        <v>-3</v>
      </c>
      <c r="Q308" s="20" t="s">
        <v>108</v>
      </c>
      <c r="R308" s="17"/>
      <c r="S308" s="20" t="str">
        <f t="shared" si="64"/>
        <v/>
      </c>
      <c r="T308" s="17">
        <v>-3</v>
      </c>
      <c r="U308" s="21" t="s">
        <v>108</v>
      </c>
    </row>
    <row r="309" spans="3:21" x14ac:dyDescent="0.25">
      <c r="C309" s="22" t="str">
        <f t="shared" si="60"/>
        <v/>
      </c>
      <c r="D309" s="17">
        <v>-4</v>
      </c>
      <c r="E309" s="20" t="s">
        <v>109</v>
      </c>
      <c r="F309" s="17"/>
      <c r="G309" s="20" t="str">
        <f t="shared" si="61"/>
        <v/>
      </c>
      <c r="H309" s="17">
        <v>-4</v>
      </c>
      <c r="I309" s="20" t="s">
        <v>109</v>
      </c>
      <c r="J309" s="17"/>
      <c r="K309" s="20" t="str">
        <f t="shared" si="62"/>
        <v/>
      </c>
      <c r="L309" s="17">
        <v>-4</v>
      </c>
      <c r="M309" s="20" t="s">
        <v>109</v>
      </c>
      <c r="N309" s="17"/>
      <c r="O309" s="20" t="str">
        <f t="shared" si="63"/>
        <v/>
      </c>
      <c r="P309" s="17">
        <v>-4</v>
      </c>
      <c r="Q309" s="20" t="s">
        <v>109</v>
      </c>
      <c r="R309" s="17"/>
      <c r="S309" s="20" t="str">
        <f t="shared" si="64"/>
        <v/>
      </c>
      <c r="T309" s="17">
        <v>-4</v>
      </c>
      <c r="U309" s="21" t="s">
        <v>109</v>
      </c>
    </row>
    <row r="310" spans="3:21" ht="60.75" thickBot="1" x14ac:dyDescent="0.3">
      <c r="C310" s="36" t="str">
        <f t="shared" si="60"/>
        <v/>
      </c>
      <c r="D310" s="23">
        <v>-5</v>
      </c>
      <c r="E310" s="24" t="s">
        <v>110</v>
      </c>
      <c r="F310" s="23"/>
      <c r="G310" s="24" t="str">
        <f t="shared" si="61"/>
        <v/>
      </c>
      <c r="H310" s="23">
        <v>-5</v>
      </c>
      <c r="I310" s="24" t="s">
        <v>110</v>
      </c>
      <c r="J310" s="23"/>
      <c r="K310" s="24" t="str">
        <f t="shared" si="62"/>
        <v/>
      </c>
      <c r="L310" s="23">
        <v>-5</v>
      </c>
      <c r="M310" s="24" t="s">
        <v>110</v>
      </c>
      <c r="N310" s="23"/>
      <c r="O310" s="24" t="str">
        <f t="shared" si="63"/>
        <v/>
      </c>
      <c r="P310" s="23">
        <v>-5</v>
      </c>
      <c r="Q310" s="24" t="s">
        <v>110</v>
      </c>
      <c r="R310" s="23"/>
      <c r="S310" s="24" t="str">
        <f t="shared" si="64"/>
        <v/>
      </c>
      <c r="T310" s="23">
        <v>-5</v>
      </c>
      <c r="U310" s="25" t="s">
        <v>110</v>
      </c>
    </row>
  </sheetData>
  <mergeCells count="136">
    <mergeCell ref="Y1:AI26"/>
    <mergeCell ref="C36:R36"/>
    <mergeCell ref="C45:R45"/>
    <mergeCell ref="C54:R54"/>
    <mergeCell ref="D55:H55"/>
    <mergeCell ref="I55:M55"/>
    <mergeCell ref="N55:R55"/>
    <mergeCell ref="D46:H46"/>
    <mergeCell ref="I46:M46"/>
    <mergeCell ref="N46:R46"/>
    <mergeCell ref="C80:U80"/>
    <mergeCell ref="C81:U81"/>
    <mergeCell ref="C82:E82"/>
    <mergeCell ref="G82:I82"/>
    <mergeCell ref="K82:M82"/>
    <mergeCell ref="O82:Q82"/>
    <mergeCell ref="S82:U82"/>
    <mergeCell ref="D37:H37"/>
    <mergeCell ref="I37:M37"/>
    <mergeCell ref="N37:R37"/>
    <mergeCell ref="C64:U64"/>
    <mergeCell ref="C65:U65"/>
    <mergeCell ref="C66:E66"/>
    <mergeCell ref="G66:I66"/>
    <mergeCell ref="K66:M66"/>
    <mergeCell ref="O66:Q66"/>
    <mergeCell ref="S66:U66"/>
    <mergeCell ref="C114:U114"/>
    <mergeCell ref="C115:U115"/>
    <mergeCell ref="C116:E116"/>
    <mergeCell ref="G116:I116"/>
    <mergeCell ref="K116:M116"/>
    <mergeCell ref="O116:Q116"/>
    <mergeCell ref="S116:U116"/>
    <mergeCell ref="C96:U96"/>
    <mergeCell ref="C97:U97"/>
    <mergeCell ref="C98:E98"/>
    <mergeCell ref="G98:I98"/>
    <mergeCell ref="K98:M98"/>
    <mergeCell ref="O98:Q98"/>
    <mergeCell ref="S98:U98"/>
    <mergeCell ref="C146:U146"/>
    <mergeCell ref="C147:U147"/>
    <mergeCell ref="C148:E148"/>
    <mergeCell ref="G148:I148"/>
    <mergeCell ref="K148:M148"/>
    <mergeCell ref="O148:Q148"/>
    <mergeCell ref="S148:U148"/>
    <mergeCell ref="C130:U130"/>
    <mergeCell ref="C131:U131"/>
    <mergeCell ref="C132:E132"/>
    <mergeCell ref="G132:I132"/>
    <mergeCell ref="K132:M132"/>
    <mergeCell ref="O132:Q132"/>
    <mergeCell ref="S132:U132"/>
    <mergeCell ref="K182:M182"/>
    <mergeCell ref="O182:Q182"/>
    <mergeCell ref="S182:U182"/>
    <mergeCell ref="C164:U164"/>
    <mergeCell ref="C165:U165"/>
    <mergeCell ref="C166:E166"/>
    <mergeCell ref="G166:I166"/>
    <mergeCell ref="K166:M166"/>
    <mergeCell ref="O166:Q166"/>
    <mergeCell ref="S166:U166"/>
    <mergeCell ref="C4:C8"/>
    <mergeCell ref="I4:I8"/>
    <mergeCell ref="O4:O8"/>
    <mergeCell ref="O2:S2"/>
    <mergeCell ref="I2:M2"/>
    <mergeCell ref="C2:G2"/>
    <mergeCell ref="C246:U246"/>
    <mergeCell ref="C247:U247"/>
    <mergeCell ref="C248:E248"/>
    <mergeCell ref="G248:I248"/>
    <mergeCell ref="K248:M248"/>
    <mergeCell ref="O248:Q248"/>
    <mergeCell ref="S248:U248"/>
    <mergeCell ref="C230:U230"/>
    <mergeCell ref="C231:U231"/>
    <mergeCell ref="C232:E232"/>
    <mergeCell ref="G232:I232"/>
    <mergeCell ref="K232:M232"/>
    <mergeCell ref="O232:Q232"/>
    <mergeCell ref="S232:U232"/>
    <mergeCell ref="C214:U214"/>
    <mergeCell ref="C215:U215"/>
    <mergeCell ref="C216:E216"/>
    <mergeCell ref="G216:I216"/>
    <mergeCell ref="C22:C26"/>
    <mergeCell ref="I22:I26"/>
    <mergeCell ref="O22:O26"/>
    <mergeCell ref="C10:C14"/>
    <mergeCell ref="I10:I14"/>
    <mergeCell ref="O10:O14"/>
    <mergeCell ref="C16:C20"/>
    <mergeCell ref="I16:I20"/>
    <mergeCell ref="O16:O20"/>
    <mergeCell ref="C28:C32"/>
    <mergeCell ref="I28:I32"/>
    <mergeCell ref="O28:O32"/>
    <mergeCell ref="C264:U264"/>
    <mergeCell ref="C265:U265"/>
    <mergeCell ref="C266:E266"/>
    <mergeCell ref="G266:I266"/>
    <mergeCell ref="K266:M266"/>
    <mergeCell ref="O266:Q266"/>
    <mergeCell ref="S266:U266"/>
    <mergeCell ref="K216:M216"/>
    <mergeCell ref="O216:Q216"/>
    <mergeCell ref="S216:U216"/>
    <mergeCell ref="C196:U196"/>
    <mergeCell ref="C197:U197"/>
    <mergeCell ref="C198:E198"/>
    <mergeCell ref="G198:I198"/>
    <mergeCell ref="K198:M198"/>
    <mergeCell ref="O198:Q198"/>
    <mergeCell ref="S198:U198"/>
    <mergeCell ref="C180:U180"/>
    <mergeCell ref="C181:U181"/>
    <mergeCell ref="C182:E182"/>
    <mergeCell ref="G182:I182"/>
    <mergeCell ref="C296:U296"/>
    <mergeCell ref="C297:U297"/>
    <mergeCell ref="C298:E298"/>
    <mergeCell ref="G298:I298"/>
    <mergeCell ref="K298:M298"/>
    <mergeCell ref="O298:Q298"/>
    <mergeCell ref="S298:U298"/>
    <mergeCell ref="C280:U280"/>
    <mergeCell ref="C281:U281"/>
    <mergeCell ref="C282:E282"/>
    <mergeCell ref="G282:I282"/>
    <mergeCell ref="K282:M282"/>
    <mergeCell ref="O282:Q282"/>
    <mergeCell ref="S282:U282"/>
  </mergeCells>
  <conditionalFormatting sqref="D39:R43">
    <cfRule type="top10" dxfId="4" priority="3" percent="1" rank="25"/>
  </conditionalFormatting>
  <conditionalFormatting sqref="D48:R52">
    <cfRule type="top10" dxfId="3" priority="2" percent="1" rank="25"/>
  </conditionalFormatting>
  <conditionalFormatting sqref="D57:R61">
    <cfRule type="top10" dxfId="0" priority="1" percent="1" rank="2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95"/>
  <sheetViews>
    <sheetView topLeftCell="A560" workbookViewId="0">
      <selection activeCell="B585" sqref="B585"/>
    </sheetView>
  </sheetViews>
  <sheetFormatPr defaultColWidth="11.42578125" defaultRowHeight="15" x14ac:dyDescent="0.25"/>
  <sheetData>
    <row r="1" spans="1:33" x14ac:dyDescent="0.25">
      <c r="B1" s="100" t="s">
        <v>33</v>
      </c>
      <c r="C1" s="100"/>
      <c r="D1" s="100"/>
      <c r="E1" s="100"/>
      <c r="F1" s="100"/>
      <c r="G1" s="100"/>
      <c r="H1" s="100"/>
      <c r="I1" s="100"/>
      <c r="J1" s="101" t="s">
        <v>34</v>
      </c>
      <c r="K1" s="101"/>
      <c r="L1" s="101"/>
      <c r="M1" s="101"/>
      <c r="N1" s="101"/>
      <c r="O1" s="101"/>
      <c r="P1" s="101"/>
      <c r="Q1" s="101"/>
      <c r="R1" s="101"/>
      <c r="S1" s="102" t="s">
        <v>35</v>
      </c>
      <c r="T1" s="102"/>
      <c r="U1" s="102"/>
      <c r="V1" s="102"/>
      <c r="W1" s="102"/>
      <c r="X1" s="102"/>
      <c r="Y1" s="103" t="s">
        <v>36</v>
      </c>
      <c r="Z1" s="103"/>
      <c r="AA1" s="103"/>
      <c r="AB1" s="103"/>
      <c r="AC1" s="103"/>
      <c r="AD1" s="103"/>
      <c r="AE1" s="103"/>
      <c r="AF1" s="103"/>
      <c r="AG1" s="103"/>
    </row>
    <row r="2" spans="1:3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</row>
    <row r="3" spans="1:33" x14ac:dyDescent="0.25">
      <c r="A3" s="1">
        <v>44054</v>
      </c>
      <c r="B3">
        <v>22.560718999999999</v>
      </c>
      <c r="C3">
        <v>21.900648</v>
      </c>
      <c r="D3">
        <v>22.431388999999999</v>
      </c>
      <c r="E3">
        <v>22.658714</v>
      </c>
      <c r="F3">
        <v>20.755240000000001</v>
      </c>
      <c r="G3">
        <v>21.305857</v>
      </c>
      <c r="H3">
        <v>20.295202</v>
      </c>
      <c r="I3">
        <v>20.915861</v>
      </c>
      <c r="J3">
        <v>23.262445</v>
      </c>
      <c r="K3">
        <v>22.902473000000001</v>
      </c>
      <c r="L3">
        <v>23.922964</v>
      </c>
      <c r="M3">
        <v>21.527151</v>
      </c>
      <c r="N3">
        <v>22.213201999999999</v>
      </c>
      <c r="O3">
        <v>23.735005999999998</v>
      </c>
      <c r="P3">
        <v>22.804566999999999</v>
      </c>
      <c r="Q3">
        <v>21.600936999999998</v>
      </c>
      <c r="R3">
        <v>23.547450000000001</v>
      </c>
      <c r="S3">
        <v>22.026195999999999</v>
      </c>
      <c r="T3">
        <v>23.295719999999999</v>
      </c>
      <c r="U3">
        <v>23.667978000000002</v>
      </c>
      <c r="V3">
        <v>23.213514</v>
      </c>
      <c r="W3">
        <v>23.66995</v>
      </c>
      <c r="X3">
        <v>23.269175000000001</v>
      </c>
      <c r="Y3">
        <v>25.640173000000001</v>
      </c>
      <c r="Z3">
        <v>24.260680000000001</v>
      </c>
      <c r="AA3">
        <v>25.027070999999999</v>
      </c>
      <c r="AB3">
        <v>25.589693</v>
      </c>
      <c r="AC3">
        <v>26.869522</v>
      </c>
      <c r="AD3">
        <v>24.109649999999998</v>
      </c>
      <c r="AE3">
        <v>25.979966999999998</v>
      </c>
      <c r="AF3">
        <v>26.154995</v>
      </c>
      <c r="AG3">
        <v>25.606324999999998</v>
      </c>
    </row>
    <row r="4" spans="1:33" x14ac:dyDescent="0.25">
      <c r="A4" s="1">
        <v>44055</v>
      </c>
      <c r="B4">
        <v>22.739912</v>
      </c>
      <c r="C4">
        <v>22.155111000000002</v>
      </c>
      <c r="D4">
        <v>22.397193999999999</v>
      </c>
      <c r="E4">
        <v>22.537299999999998</v>
      </c>
      <c r="F4">
        <v>21.165980000000001</v>
      </c>
      <c r="G4">
        <v>21.157377</v>
      </c>
      <c r="H4">
        <v>20.243769</v>
      </c>
      <c r="I4">
        <v>20.555029999999999</v>
      </c>
      <c r="J4">
        <v>23.011925000000002</v>
      </c>
      <c r="K4">
        <v>22.667818</v>
      </c>
      <c r="L4">
        <v>23.853439999999999</v>
      </c>
      <c r="M4">
        <v>21.424437000000001</v>
      </c>
      <c r="N4">
        <v>22.068024000000001</v>
      </c>
      <c r="O4">
        <v>23.590820000000001</v>
      </c>
      <c r="P4">
        <v>22.581624999999999</v>
      </c>
      <c r="Q4">
        <v>21.469259999999998</v>
      </c>
      <c r="R4">
        <v>23.378042000000001</v>
      </c>
      <c r="S4">
        <v>20.784887000000001</v>
      </c>
      <c r="T4">
        <v>22.953972</v>
      </c>
      <c r="U4">
        <v>23.724304</v>
      </c>
      <c r="V4">
        <v>23.259924000000002</v>
      </c>
      <c r="W4">
        <v>23.364820000000002</v>
      </c>
      <c r="X4">
        <v>23.422892000000001</v>
      </c>
      <c r="Y4">
        <v>25.615448000000001</v>
      </c>
      <c r="Z4">
        <v>24.218537999999999</v>
      </c>
      <c r="AA4">
        <v>25.272188</v>
      </c>
      <c r="AB4">
        <v>25.544090000000001</v>
      </c>
      <c r="AC4">
        <v>26.657736</v>
      </c>
      <c r="AD4">
        <v>24.079405000000001</v>
      </c>
      <c r="AE4">
        <v>25.707533000000002</v>
      </c>
      <c r="AF4">
        <v>26.248010000000001</v>
      </c>
      <c r="AG4">
        <v>25.345694999999999</v>
      </c>
    </row>
    <row r="5" spans="1:33" x14ac:dyDescent="0.25">
      <c r="A5" s="1">
        <v>44056</v>
      </c>
      <c r="B5">
        <v>23.227675999999999</v>
      </c>
      <c r="C5">
        <v>22.352049999999998</v>
      </c>
      <c r="D5">
        <v>22.43637</v>
      </c>
      <c r="E5">
        <v>22.548383999999999</v>
      </c>
      <c r="F5">
        <v>21.408422000000002</v>
      </c>
      <c r="G5">
        <v>21.251328000000001</v>
      </c>
      <c r="H5">
        <v>20.410093</v>
      </c>
      <c r="I5">
        <v>20.448364000000002</v>
      </c>
      <c r="J5">
        <v>23.281562999999998</v>
      </c>
      <c r="K5">
        <v>22.730004999999998</v>
      </c>
      <c r="L5">
        <v>23.942903999999999</v>
      </c>
      <c r="M5">
        <v>21.526624999999999</v>
      </c>
      <c r="N5">
        <v>22.257273000000001</v>
      </c>
      <c r="O5">
        <v>23.713293</v>
      </c>
      <c r="P5">
        <v>22.654170000000001</v>
      </c>
      <c r="Q5">
        <v>21.508866999999999</v>
      </c>
      <c r="R5">
        <v>23.512899999999998</v>
      </c>
      <c r="S5">
        <v>20.763334</v>
      </c>
      <c r="T5">
        <v>23.121704000000001</v>
      </c>
      <c r="U5">
        <v>22.964576999999998</v>
      </c>
      <c r="V5">
        <v>23.730822</v>
      </c>
      <c r="W5">
        <v>22.521543999999999</v>
      </c>
      <c r="X5">
        <v>23.964296000000001</v>
      </c>
      <c r="Y5">
        <v>25.698174999999999</v>
      </c>
      <c r="Z5">
        <v>24.458727</v>
      </c>
      <c r="AA5">
        <v>25.611536000000001</v>
      </c>
      <c r="AB5">
        <v>25.637253000000001</v>
      </c>
      <c r="AC5">
        <v>26.675485999999999</v>
      </c>
      <c r="AD5">
        <v>24.163912</v>
      </c>
      <c r="AE5">
        <v>26.152246000000002</v>
      </c>
      <c r="AF5">
        <v>26.414826999999999</v>
      </c>
      <c r="AG5">
        <v>25.396623999999999</v>
      </c>
    </row>
    <row r="6" spans="1:33" x14ac:dyDescent="0.25">
      <c r="A6" s="1">
        <v>44057</v>
      </c>
      <c r="B6">
        <v>23.840057000000002</v>
      </c>
      <c r="C6">
        <v>22.694908000000002</v>
      </c>
      <c r="D6">
        <v>22.733243999999999</v>
      </c>
      <c r="E6">
        <v>22.770119000000001</v>
      </c>
      <c r="F6">
        <v>21.935898000000002</v>
      </c>
      <c r="G6">
        <v>21.548586</v>
      </c>
      <c r="H6">
        <v>20.724191999999999</v>
      </c>
      <c r="I6">
        <v>21.006432</v>
      </c>
      <c r="J6">
        <v>24.054494999999999</v>
      </c>
      <c r="K6">
        <v>23.0748</v>
      </c>
      <c r="L6">
        <v>24.251646000000001</v>
      </c>
      <c r="M6">
        <v>21.839668</v>
      </c>
      <c r="N6">
        <v>22.685483999999999</v>
      </c>
      <c r="O6">
        <v>24.096367000000001</v>
      </c>
      <c r="P6">
        <v>22.984106000000001</v>
      </c>
      <c r="Q6">
        <v>21.796462999999999</v>
      </c>
      <c r="R6">
        <v>23.845580000000002</v>
      </c>
      <c r="S6">
        <v>21.776558000000001</v>
      </c>
      <c r="T6">
        <v>23.538622</v>
      </c>
      <c r="U6">
        <v>23.142831999999999</v>
      </c>
      <c r="V6">
        <v>24.154820999999998</v>
      </c>
      <c r="W6">
        <v>23.039895999999999</v>
      </c>
      <c r="X6">
        <v>24.30001</v>
      </c>
      <c r="Y6">
        <v>25.989782000000002</v>
      </c>
      <c r="Z6">
        <v>24.861982000000001</v>
      </c>
      <c r="AA6">
        <v>25.995595999999999</v>
      </c>
      <c r="AB6">
        <v>25.884329000000001</v>
      </c>
      <c r="AC6">
        <v>26.967077</v>
      </c>
      <c r="AD6">
        <v>24.432518000000002</v>
      </c>
      <c r="AE6">
        <v>26.818068</v>
      </c>
      <c r="AF6">
        <v>26.646027</v>
      </c>
      <c r="AG6">
        <v>25.840902</v>
      </c>
    </row>
    <row r="7" spans="1:33" x14ac:dyDescent="0.25">
      <c r="A7" s="1">
        <v>44058</v>
      </c>
      <c r="B7">
        <v>24.281813</v>
      </c>
      <c r="C7">
        <v>23.174994999999999</v>
      </c>
      <c r="D7">
        <v>23.204923999999998</v>
      </c>
      <c r="E7">
        <v>23.123145999999998</v>
      </c>
      <c r="F7">
        <v>22.396570000000001</v>
      </c>
      <c r="G7">
        <v>21.974969999999999</v>
      </c>
      <c r="H7">
        <v>21.066352999999999</v>
      </c>
      <c r="I7">
        <v>21.656697999999999</v>
      </c>
      <c r="J7">
        <v>25.029356</v>
      </c>
      <c r="K7">
        <v>23.579750000000001</v>
      </c>
      <c r="L7">
        <v>24.657579999999999</v>
      </c>
      <c r="M7">
        <v>22.225037</v>
      </c>
      <c r="N7">
        <v>23.122927000000001</v>
      </c>
      <c r="O7">
        <v>24.535685000000001</v>
      </c>
      <c r="P7">
        <v>23.482897000000001</v>
      </c>
      <c r="Q7">
        <v>22.216830000000002</v>
      </c>
      <c r="R7">
        <v>24.237134999999999</v>
      </c>
      <c r="S7">
        <v>22.918768</v>
      </c>
      <c r="T7">
        <v>23.999127999999999</v>
      </c>
      <c r="U7">
        <v>23.634409000000002</v>
      </c>
      <c r="V7">
        <v>24.141739000000001</v>
      </c>
      <c r="W7">
        <v>23.389127999999999</v>
      </c>
      <c r="X7">
        <v>24.086760000000002</v>
      </c>
      <c r="Y7">
        <v>26.449183000000001</v>
      </c>
      <c r="Z7">
        <v>25.438887000000001</v>
      </c>
      <c r="AA7">
        <v>26.462904000000002</v>
      </c>
      <c r="AB7">
        <v>26.328061999999999</v>
      </c>
      <c r="AC7">
        <v>27.530145999999998</v>
      </c>
      <c r="AD7">
        <v>24.795313</v>
      </c>
      <c r="AE7">
        <v>27.462129999999998</v>
      </c>
      <c r="AF7">
        <v>26.986257999999999</v>
      </c>
      <c r="AG7">
        <v>26.443237</v>
      </c>
    </row>
    <row r="8" spans="1:33" x14ac:dyDescent="0.25">
      <c r="A8" s="1">
        <v>44059</v>
      </c>
      <c r="B8">
        <v>24.509965999999999</v>
      </c>
      <c r="C8">
        <v>23.590952000000001</v>
      </c>
      <c r="D8">
        <v>23.614134</v>
      </c>
      <c r="E8">
        <v>23.450704999999999</v>
      </c>
      <c r="F8">
        <v>22.673349999999999</v>
      </c>
      <c r="G8">
        <v>22.303003</v>
      </c>
      <c r="H8">
        <v>21.381083</v>
      </c>
      <c r="I8">
        <v>21.962128</v>
      </c>
      <c r="J8">
        <v>25.597261</v>
      </c>
      <c r="K8">
        <v>23.951654000000001</v>
      </c>
      <c r="L8">
        <v>24.969856</v>
      </c>
      <c r="M8">
        <v>22.554659000000001</v>
      </c>
      <c r="N8">
        <v>23.469828</v>
      </c>
      <c r="O8">
        <v>24.815407</v>
      </c>
      <c r="P8">
        <v>23.863012000000001</v>
      </c>
      <c r="Q8">
        <v>22.559542</v>
      </c>
      <c r="R8">
        <v>24.574677999999999</v>
      </c>
      <c r="S8">
        <v>23.739466</v>
      </c>
      <c r="T8">
        <v>24.389299999999999</v>
      </c>
      <c r="U8">
        <v>23.974412999999998</v>
      </c>
      <c r="V8">
        <v>24.514875</v>
      </c>
      <c r="W8">
        <v>23.712233999999999</v>
      </c>
      <c r="X8">
        <v>24.484407000000001</v>
      </c>
      <c r="Y8">
        <v>26.965796999999998</v>
      </c>
      <c r="Z8">
        <v>25.940529999999999</v>
      </c>
      <c r="AA8">
        <v>26.871763000000001</v>
      </c>
      <c r="AB8">
        <v>26.808157000000001</v>
      </c>
      <c r="AC8">
        <v>28.097999999999999</v>
      </c>
      <c r="AD8">
        <v>25.131979000000001</v>
      </c>
      <c r="AE8">
        <v>28.402702000000001</v>
      </c>
      <c r="AF8">
        <v>27.327997</v>
      </c>
      <c r="AG8">
        <v>26.940863</v>
      </c>
    </row>
    <row r="9" spans="1:33" x14ac:dyDescent="0.25">
      <c r="A9" s="1">
        <v>44060</v>
      </c>
      <c r="B9">
        <v>24.855070000000001</v>
      </c>
      <c r="C9">
        <v>24.071200000000001</v>
      </c>
      <c r="D9">
        <v>24.047922</v>
      </c>
      <c r="E9">
        <v>23.837427000000002</v>
      </c>
      <c r="F9">
        <v>23.093019999999999</v>
      </c>
      <c r="G9">
        <v>22.710968000000001</v>
      </c>
      <c r="H9">
        <v>21.832273000000001</v>
      </c>
      <c r="I9">
        <v>22.507680000000001</v>
      </c>
      <c r="J9">
        <v>26.115594999999999</v>
      </c>
      <c r="K9">
        <v>24.362687999999999</v>
      </c>
      <c r="L9">
        <v>25.326350000000001</v>
      </c>
      <c r="M9">
        <v>22.971692999999998</v>
      </c>
      <c r="N9">
        <v>23.957277000000001</v>
      </c>
      <c r="O9">
        <v>25.136274</v>
      </c>
      <c r="P9">
        <v>24.279637999999998</v>
      </c>
      <c r="Q9">
        <v>22.983460000000001</v>
      </c>
      <c r="R9">
        <v>24.968392999999999</v>
      </c>
      <c r="S9">
        <v>24.500174000000001</v>
      </c>
      <c r="T9">
        <v>24.861044</v>
      </c>
      <c r="U9">
        <v>24.256035000000001</v>
      </c>
      <c r="V9">
        <v>24.914984</v>
      </c>
      <c r="W9">
        <v>24.048446999999999</v>
      </c>
      <c r="X9">
        <v>24.893000000000001</v>
      </c>
      <c r="Y9">
        <v>27.533842</v>
      </c>
      <c r="Z9">
        <v>26.23104</v>
      </c>
      <c r="AA9">
        <v>27.239930000000001</v>
      </c>
      <c r="AB9">
        <v>27.370674000000001</v>
      </c>
      <c r="AC9">
        <v>28.524664000000001</v>
      </c>
      <c r="AD9">
        <v>25.486910000000002</v>
      </c>
      <c r="AE9">
        <v>28.705622000000002</v>
      </c>
      <c r="AF9">
        <v>27.580445999999998</v>
      </c>
      <c r="AG9">
        <v>27.304735000000001</v>
      </c>
    </row>
    <row r="10" spans="1:33" x14ac:dyDescent="0.25">
      <c r="A10" s="1">
        <v>44061</v>
      </c>
      <c r="B10">
        <v>25.198141</v>
      </c>
      <c r="C10">
        <v>24.541618</v>
      </c>
      <c r="D10">
        <v>24.439990000000002</v>
      </c>
      <c r="E10">
        <v>24.188673000000001</v>
      </c>
      <c r="F10">
        <v>23.452794999999998</v>
      </c>
      <c r="G10">
        <v>23.15109</v>
      </c>
      <c r="H10">
        <v>22.208300000000001</v>
      </c>
      <c r="I10">
        <v>22.917252999999999</v>
      </c>
      <c r="J10">
        <v>26.573136999999999</v>
      </c>
      <c r="K10">
        <v>24.804051999999999</v>
      </c>
      <c r="L10">
        <v>25.700140000000001</v>
      </c>
      <c r="M10">
        <v>23.390284000000001</v>
      </c>
      <c r="N10">
        <v>24.405639999999998</v>
      </c>
      <c r="O10">
        <v>25.495156999999999</v>
      </c>
      <c r="P10">
        <v>24.734735000000001</v>
      </c>
      <c r="Q10">
        <v>23.429276999999999</v>
      </c>
      <c r="R10">
        <v>25.339790000000001</v>
      </c>
      <c r="S10">
        <v>25.240845</v>
      </c>
      <c r="T10">
        <v>25.318076999999999</v>
      </c>
      <c r="U10">
        <v>24.467108</v>
      </c>
      <c r="V10">
        <v>25.257345000000001</v>
      </c>
      <c r="W10">
        <v>24.110903</v>
      </c>
      <c r="X10">
        <v>25.211480000000002</v>
      </c>
      <c r="Y10">
        <v>27.936654999999998</v>
      </c>
      <c r="Z10">
        <v>26.471692999999998</v>
      </c>
      <c r="AA10">
        <v>27.553702999999999</v>
      </c>
      <c r="AB10">
        <v>27.739882000000001</v>
      </c>
      <c r="AC10">
        <v>28.836077</v>
      </c>
      <c r="AD10">
        <v>25.843392999999999</v>
      </c>
      <c r="AE10">
        <v>28.104952000000001</v>
      </c>
      <c r="AF10">
        <v>27.854095000000001</v>
      </c>
      <c r="AG10">
        <v>27.595673000000001</v>
      </c>
    </row>
    <row r="11" spans="1:33" x14ac:dyDescent="0.25">
      <c r="A11" s="1">
        <v>44062</v>
      </c>
      <c r="B11">
        <v>24.848428999999999</v>
      </c>
      <c r="C11">
        <v>24.674429</v>
      </c>
      <c r="D11">
        <v>24.455687000000001</v>
      </c>
      <c r="E11">
        <v>24.129639000000001</v>
      </c>
      <c r="F11">
        <v>23.308508</v>
      </c>
      <c r="G11">
        <v>23.324370999999999</v>
      </c>
      <c r="H11">
        <v>22.266718000000001</v>
      </c>
      <c r="I11">
        <v>22.500954</v>
      </c>
      <c r="J11">
        <v>26.555681</v>
      </c>
      <c r="K11">
        <v>25.001135000000001</v>
      </c>
      <c r="L11">
        <v>25.777719999999999</v>
      </c>
      <c r="M11">
        <v>23.516459000000001</v>
      </c>
      <c r="N11">
        <v>24.494589999999999</v>
      </c>
      <c r="O11">
        <v>25.512346000000001</v>
      </c>
      <c r="P11">
        <v>24.942802</v>
      </c>
      <c r="Q11">
        <v>23.605207</v>
      </c>
      <c r="R11">
        <v>25.408294999999999</v>
      </c>
      <c r="S11">
        <v>24.888183999999999</v>
      </c>
      <c r="T11">
        <v>25.387405000000001</v>
      </c>
      <c r="U11">
        <v>24.063832999999999</v>
      </c>
      <c r="V11">
        <v>25.26802</v>
      </c>
      <c r="W11">
        <v>23.568086999999998</v>
      </c>
      <c r="X11">
        <v>25.244326000000001</v>
      </c>
      <c r="Y11">
        <v>27.892026999999999</v>
      </c>
      <c r="Z11">
        <v>26.448920999999999</v>
      </c>
      <c r="AA11">
        <v>27.629525999999998</v>
      </c>
      <c r="AB11">
        <v>27.712599000000001</v>
      </c>
      <c r="AC11">
        <v>28.843129999999999</v>
      </c>
      <c r="AD11">
        <v>25.948568000000002</v>
      </c>
      <c r="AE11">
        <v>27.2163</v>
      </c>
      <c r="AF11">
        <v>28.002248999999999</v>
      </c>
      <c r="AG11">
        <v>27.547498999999998</v>
      </c>
    </row>
    <row r="12" spans="1:33" x14ac:dyDescent="0.25">
      <c r="A12" s="1">
        <v>44063</v>
      </c>
      <c r="B12">
        <v>24.178433999999999</v>
      </c>
      <c r="C12">
        <v>24.29785</v>
      </c>
      <c r="D12">
        <v>24.039276000000001</v>
      </c>
      <c r="E12">
        <v>23.705942</v>
      </c>
      <c r="F12">
        <v>22.916418</v>
      </c>
      <c r="G12">
        <v>23.134447000000002</v>
      </c>
      <c r="H12">
        <v>22.104379999999999</v>
      </c>
      <c r="I12">
        <v>21.778497999999999</v>
      </c>
      <c r="J12">
        <v>25.513930999999999</v>
      </c>
      <c r="K12">
        <v>24.699090999999999</v>
      </c>
      <c r="L12">
        <v>25.508659999999999</v>
      </c>
      <c r="M12">
        <v>23.276807999999999</v>
      </c>
      <c r="N12">
        <v>24.093091999999999</v>
      </c>
      <c r="O12">
        <v>25.239153000000002</v>
      </c>
      <c r="P12">
        <v>24.659407000000002</v>
      </c>
      <c r="Q12">
        <v>23.374428000000002</v>
      </c>
      <c r="R12">
        <v>25.20356</v>
      </c>
      <c r="S12">
        <v>23.591847999999999</v>
      </c>
      <c r="T12">
        <v>24.992540000000002</v>
      </c>
      <c r="U12">
        <v>23.215128</v>
      </c>
      <c r="V12">
        <v>24.774819999999998</v>
      </c>
      <c r="W12">
        <v>22.765879000000002</v>
      </c>
      <c r="X12">
        <v>24.729406000000001</v>
      </c>
      <c r="Y12">
        <v>27.474554000000001</v>
      </c>
      <c r="Z12">
        <v>26.063576000000001</v>
      </c>
      <c r="AA12">
        <v>27.376771999999999</v>
      </c>
      <c r="AB12">
        <v>27.33925</v>
      </c>
      <c r="AC12">
        <v>28.325292999999999</v>
      </c>
      <c r="AD12">
        <v>25.762466</v>
      </c>
      <c r="AE12">
        <v>25.900314000000002</v>
      </c>
      <c r="AF12">
        <v>27.909018</v>
      </c>
      <c r="AG12">
        <v>27.241083</v>
      </c>
    </row>
    <row r="13" spans="1:33" x14ac:dyDescent="0.25">
      <c r="A13" s="1">
        <v>44064</v>
      </c>
      <c r="B13">
        <v>24.023168999999999</v>
      </c>
      <c r="C13">
        <v>24.157736</v>
      </c>
      <c r="D13">
        <v>23.743186999999999</v>
      </c>
      <c r="E13">
        <v>23.440458</v>
      </c>
      <c r="F13">
        <v>22.880790000000001</v>
      </c>
      <c r="G13">
        <v>22.986149999999999</v>
      </c>
      <c r="H13">
        <v>21.991135</v>
      </c>
      <c r="I13">
        <v>21.557655</v>
      </c>
      <c r="J13">
        <v>25.154442</v>
      </c>
      <c r="K13">
        <v>24.605588999999998</v>
      </c>
      <c r="L13">
        <v>25.368517000000001</v>
      </c>
      <c r="M13">
        <v>23.145395000000001</v>
      </c>
      <c r="N13">
        <v>23.989934999999999</v>
      </c>
      <c r="O13">
        <v>25.104033999999999</v>
      </c>
      <c r="P13">
        <v>24.543526</v>
      </c>
      <c r="Q13">
        <v>23.240507000000001</v>
      </c>
      <c r="R13">
        <v>25.127680000000002</v>
      </c>
      <c r="S13">
        <v>22.895178000000001</v>
      </c>
      <c r="T13">
        <v>24.628405000000001</v>
      </c>
      <c r="U13">
        <v>22.349713999999999</v>
      </c>
      <c r="V13">
        <v>24.228182</v>
      </c>
      <c r="W13">
        <v>22.040825000000002</v>
      </c>
      <c r="X13">
        <v>24.039400000000001</v>
      </c>
      <c r="Y13">
        <v>27.106047</v>
      </c>
      <c r="Z13">
        <v>25.616209000000001</v>
      </c>
      <c r="AA13">
        <v>27.052849999999999</v>
      </c>
      <c r="AB13">
        <v>27.036256999999999</v>
      </c>
      <c r="AC13">
        <v>27.892323999999999</v>
      </c>
      <c r="AD13">
        <v>25.585197000000001</v>
      </c>
      <c r="AE13">
        <v>24.465899</v>
      </c>
      <c r="AF13">
        <v>27.822348000000002</v>
      </c>
      <c r="AG13">
        <v>27.022058000000001</v>
      </c>
    </row>
    <row r="14" spans="1:33" x14ac:dyDescent="0.25">
      <c r="A14" s="1">
        <v>44065</v>
      </c>
      <c r="B14">
        <v>24.176656999999999</v>
      </c>
      <c r="C14">
        <v>24.264375999999999</v>
      </c>
      <c r="D14">
        <v>23.727865000000001</v>
      </c>
      <c r="E14">
        <v>23.485444999999999</v>
      </c>
      <c r="F14">
        <v>23.014420000000001</v>
      </c>
      <c r="G14">
        <v>23.055857</v>
      </c>
      <c r="H14">
        <v>22.03905</v>
      </c>
      <c r="I14">
        <v>21.684889999999999</v>
      </c>
      <c r="J14">
        <v>25.419029999999999</v>
      </c>
      <c r="K14">
        <v>24.704879999999999</v>
      </c>
      <c r="L14">
        <v>25.412682</v>
      </c>
      <c r="M14">
        <v>23.236747999999999</v>
      </c>
      <c r="N14">
        <v>24.180596999999999</v>
      </c>
      <c r="O14">
        <v>25.043678</v>
      </c>
      <c r="P14">
        <v>24.634429999999998</v>
      </c>
      <c r="Q14">
        <v>23.342237000000001</v>
      </c>
      <c r="R14">
        <v>25.194723</v>
      </c>
      <c r="S14">
        <v>23.060776000000001</v>
      </c>
      <c r="T14">
        <v>24.47654</v>
      </c>
      <c r="U14">
        <v>21.913709999999998</v>
      </c>
      <c r="V14">
        <v>23.761095000000001</v>
      </c>
      <c r="W14">
        <v>21.574099</v>
      </c>
      <c r="X14">
        <v>23.399553000000001</v>
      </c>
      <c r="Y14">
        <v>27.222549999999998</v>
      </c>
      <c r="Z14">
        <v>25.366083</v>
      </c>
      <c r="AA14">
        <v>27.084555000000002</v>
      </c>
      <c r="AB14">
        <v>27.120428</v>
      </c>
      <c r="AC14">
        <v>28.017693000000001</v>
      </c>
      <c r="AD14">
        <v>25.585374999999999</v>
      </c>
      <c r="AE14">
        <v>24.230786999999999</v>
      </c>
      <c r="AF14">
        <v>27.908964000000001</v>
      </c>
      <c r="AG14">
        <v>27.072286999999999</v>
      </c>
    </row>
    <row r="15" spans="1:33" x14ac:dyDescent="0.25">
      <c r="A15" s="1">
        <v>44066</v>
      </c>
      <c r="B15">
        <v>23.907</v>
      </c>
      <c r="C15">
        <v>24.183807000000002</v>
      </c>
      <c r="D15">
        <v>23.578092999999999</v>
      </c>
      <c r="E15">
        <v>23.370234</v>
      </c>
      <c r="F15">
        <v>22.7913</v>
      </c>
      <c r="G15">
        <v>22.969062999999998</v>
      </c>
      <c r="H15">
        <v>21.904427999999999</v>
      </c>
      <c r="I15">
        <v>21.358460999999998</v>
      </c>
      <c r="J15">
        <v>25.289200000000001</v>
      </c>
      <c r="K15">
        <v>24.711472000000001</v>
      </c>
      <c r="L15">
        <v>25.300203</v>
      </c>
      <c r="M15">
        <v>23.144691000000002</v>
      </c>
      <c r="N15">
        <v>24.127690999999999</v>
      </c>
      <c r="O15">
        <v>24.852067999999999</v>
      </c>
      <c r="P15">
        <v>24.629798999999998</v>
      </c>
      <c r="Q15">
        <v>23.294740000000001</v>
      </c>
      <c r="R15">
        <v>25.147995000000002</v>
      </c>
      <c r="S15">
        <v>22.615143</v>
      </c>
      <c r="T15">
        <v>24.167639999999999</v>
      </c>
      <c r="U15">
        <v>21.301770000000001</v>
      </c>
      <c r="V15">
        <v>23.227796999999999</v>
      </c>
      <c r="W15">
        <v>20.881101999999998</v>
      </c>
      <c r="X15">
        <v>22.826948000000002</v>
      </c>
      <c r="Y15">
        <v>27.345316</v>
      </c>
      <c r="Z15">
        <v>24.909154999999998</v>
      </c>
      <c r="AA15">
        <v>27.173829999999999</v>
      </c>
      <c r="AB15">
        <v>27.059819999999998</v>
      </c>
      <c r="AC15">
        <v>28.103632000000001</v>
      </c>
      <c r="AD15">
        <v>25.472460000000002</v>
      </c>
      <c r="AE15">
        <v>24.607775</v>
      </c>
      <c r="AF15">
        <v>27.998450999999999</v>
      </c>
      <c r="AG15">
        <v>27.194320000000001</v>
      </c>
    </row>
    <row r="16" spans="1:33" x14ac:dyDescent="0.25">
      <c r="A16" s="1">
        <v>44067</v>
      </c>
      <c r="B16">
        <v>23.925850000000001</v>
      </c>
      <c r="C16">
        <v>24.144995000000002</v>
      </c>
      <c r="D16">
        <v>23.424208</v>
      </c>
      <c r="E16">
        <v>23.297820000000002</v>
      </c>
      <c r="F16">
        <v>22.735899</v>
      </c>
      <c r="G16">
        <v>22.851600000000001</v>
      </c>
      <c r="H16">
        <v>21.756989000000001</v>
      </c>
      <c r="I16">
        <v>21.215510999999999</v>
      </c>
      <c r="J16">
        <v>25.199822999999999</v>
      </c>
      <c r="K16">
        <v>24.657557000000001</v>
      </c>
      <c r="L16">
        <v>25.229921000000001</v>
      </c>
      <c r="M16">
        <v>23.076039999999999</v>
      </c>
      <c r="N16">
        <v>24.025145999999999</v>
      </c>
      <c r="O16">
        <v>24.724793999999999</v>
      </c>
      <c r="P16">
        <v>24.565483</v>
      </c>
      <c r="Q16">
        <v>23.203279999999999</v>
      </c>
      <c r="R16">
        <v>25.104161999999999</v>
      </c>
      <c r="S16">
        <v>22.081116000000002</v>
      </c>
      <c r="T16">
        <v>23.77713</v>
      </c>
      <c r="U16">
        <v>20.658850000000001</v>
      </c>
      <c r="V16">
        <v>22.769587000000001</v>
      </c>
      <c r="W16">
        <v>20.330217000000001</v>
      </c>
      <c r="X16">
        <v>22.394445000000001</v>
      </c>
      <c r="Y16">
        <v>27.427382999999999</v>
      </c>
      <c r="Z16">
        <v>24.415268000000001</v>
      </c>
      <c r="AA16">
        <v>27.250948000000001</v>
      </c>
      <c r="AB16">
        <v>27.111359</v>
      </c>
      <c r="AC16">
        <v>28.133244999999999</v>
      </c>
      <c r="AD16">
        <v>25.376601999999998</v>
      </c>
      <c r="AE16">
        <v>25.097822000000001</v>
      </c>
      <c r="AF16">
        <v>28.079713999999999</v>
      </c>
      <c r="AG16">
        <v>27.260238999999999</v>
      </c>
    </row>
    <row r="17" spans="1:33" x14ac:dyDescent="0.25">
      <c r="A17" s="1">
        <v>44068</v>
      </c>
      <c r="B17">
        <v>23.966118000000002</v>
      </c>
      <c r="C17">
        <v>23.970815999999999</v>
      </c>
      <c r="D17">
        <v>23.294014000000001</v>
      </c>
      <c r="E17">
        <v>23.201951999999999</v>
      </c>
      <c r="F17">
        <v>22.642859000000001</v>
      </c>
      <c r="G17">
        <v>22.750962999999999</v>
      </c>
      <c r="H17">
        <v>21.656662000000001</v>
      </c>
      <c r="I17">
        <v>21.096640000000001</v>
      </c>
      <c r="J17">
        <v>24.902021000000001</v>
      </c>
      <c r="K17">
        <v>24.501429000000002</v>
      </c>
      <c r="L17">
        <v>25.015274000000002</v>
      </c>
      <c r="M17">
        <v>22.988775</v>
      </c>
      <c r="N17">
        <v>23.801152999999999</v>
      </c>
      <c r="O17">
        <v>24.598973999999998</v>
      </c>
      <c r="P17">
        <v>24.418164999999998</v>
      </c>
      <c r="Q17">
        <v>23.140616999999999</v>
      </c>
      <c r="R17">
        <v>24.941132</v>
      </c>
      <c r="S17">
        <v>21.929189999999998</v>
      </c>
      <c r="T17">
        <v>23.355125000000001</v>
      </c>
      <c r="U17">
        <v>20.611967</v>
      </c>
      <c r="V17">
        <v>22.248702999999999</v>
      </c>
      <c r="W17">
        <v>20.645647</v>
      </c>
      <c r="X17">
        <v>21.797461999999999</v>
      </c>
      <c r="Y17">
        <v>27.507866</v>
      </c>
      <c r="Z17">
        <v>24.116537000000001</v>
      </c>
      <c r="AA17">
        <v>27.215523000000001</v>
      </c>
      <c r="AB17">
        <v>27.180216000000001</v>
      </c>
      <c r="AC17">
        <v>28.038101000000001</v>
      </c>
      <c r="AD17">
        <v>25.194701999999999</v>
      </c>
      <c r="AE17">
        <v>25.674012999999999</v>
      </c>
      <c r="AF17">
        <v>28.099229999999999</v>
      </c>
      <c r="AG17">
        <v>27.251764000000001</v>
      </c>
    </row>
    <row r="18" spans="1:33" x14ac:dyDescent="0.25">
      <c r="A18" s="1">
        <v>44069</v>
      </c>
      <c r="B18">
        <v>23.644691000000002</v>
      </c>
      <c r="C18">
        <v>23.713782999999999</v>
      </c>
      <c r="D18">
        <v>23.045746000000001</v>
      </c>
      <c r="E18">
        <v>22.954369</v>
      </c>
      <c r="F18">
        <v>22.451553000000001</v>
      </c>
      <c r="G18">
        <v>22.607047999999999</v>
      </c>
      <c r="H18">
        <v>21.567</v>
      </c>
      <c r="I18">
        <v>20.824912999999999</v>
      </c>
      <c r="J18">
        <v>24.798067</v>
      </c>
      <c r="K18">
        <v>24.322770999999999</v>
      </c>
      <c r="L18">
        <v>24.786932</v>
      </c>
      <c r="M18">
        <v>22.810677999999999</v>
      </c>
      <c r="N18">
        <v>23.479996</v>
      </c>
      <c r="O18">
        <v>24.332863</v>
      </c>
      <c r="P18">
        <v>24.228071</v>
      </c>
      <c r="Q18">
        <v>22.974730999999998</v>
      </c>
      <c r="R18">
        <v>24.722892999999999</v>
      </c>
      <c r="S18">
        <v>21.486946</v>
      </c>
      <c r="T18">
        <v>22.957039000000002</v>
      </c>
      <c r="U18">
        <v>20.927702</v>
      </c>
      <c r="V18">
        <v>21.846703999999999</v>
      </c>
      <c r="W18">
        <v>20.815881999999998</v>
      </c>
      <c r="X18">
        <v>21.392455999999999</v>
      </c>
      <c r="Y18">
        <v>27.210349999999998</v>
      </c>
      <c r="Z18">
        <v>23.698957</v>
      </c>
      <c r="AA18">
        <v>27.060949999999998</v>
      </c>
      <c r="AB18">
        <v>26.89039</v>
      </c>
      <c r="AC18">
        <v>27.610178000000001</v>
      </c>
      <c r="AD18">
        <v>24.91348</v>
      </c>
      <c r="AE18">
        <v>25.701273</v>
      </c>
      <c r="AF18">
        <v>28.05153</v>
      </c>
      <c r="AG18">
        <v>26.936495000000001</v>
      </c>
    </row>
    <row r="19" spans="1:33" x14ac:dyDescent="0.25">
      <c r="A19" s="1">
        <v>44070</v>
      </c>
      <c r="B19">
        <v>22.969747999999999</v>
      </c>
      <c r="C19">
        <v>23.164835</v>
      </c>
      <c r="D19">
        <v>22.448889000000001</v>
      </c>
      <c r="E19">
        <v>22.351068000000001</v>
      </c>
      <c r="F19">
        <v>22.018744999999999</v>
      </c>
      <c r="G19">
        <v>22.307058000000001</v>
      </c>
      <c r="H19">
        <v>21.285395000000001</v>
      </c>
      <c r="I19">
        <v>20.057656999999999</v>
      </c>
      <c r="J19">
        <v>24.333748</v>
      </c>
      <c r="K19">
        <v>24.019853999999999</v>
      </c>
      <c r="L19">
        <v>24.373705000000001</v>
      </c>
      <c r="M19">
        <v>22.526524999999999</v>
      </c>
      <c r="N19">
        <v>23.002533</v>
      </c>
      <c r="O19">
        <v>23.864913999999999</v>
      </c>
      <c r="P19">
        <v>23.929708000000002</v>
      </c>
      <c r="Q19">
        <v>22.649972999999999</v>
      </c>
      <c r="R19">
        <v>24.330819999999999</v>
      </c>
      <c r="S19">
        <v>20.528112</v>
      </c>
      <c r="T19">
        <v>22.386659999999999</v>
      </c>
      <c r="U19">
        <v>20.865849999999998</v>
      </c>
      <c r="V19">
        <v>21.642378000000001</v>
      </c>
      <c r="W19">
        <v>20.849682000000001</v>
      </c>
      <c r="X19">
        <v>21.330116</v>
      </c>
      <c r="Y19">
        <v>26.408242999999999</v>
      </c>
      <c r="Z19">
        <v>22.999269999999999</v>
      </c>
      <c r="AA19">
        <v>26.761927</v>
      </c>
      <c r="AB19">
        <v>26.283335000000001</v>
      </c>
      <c r="AC19">
        <v>26.670905999999999</v>
      </c>
      <c r="AD19">
        <v>24.510477000000002</v>
      </c>
      <c r="AE19">
        <v>24.759848000000002</v>
      </c>
      <c r="AF19">
        <v>27.828875</v>
      </c>
      <c r="AG19">
        <v>26.528335999999999</v>
      </c>
    </row>
    <row r="20" spans="1:33" x14ac:dyDescent="0.25">
      <c r="A20" s="1">
        <v>44071</v>
      </c>
      <c r="B20">
        <v>22.70111</v>
      </c>
      <c r="C20">
        <v>22.942709000000001</v>
      </c>
      <c r="D20">
        <v>22.201317</v>
      </c>
      <c r="E20">
        <v>22.084036000000001</v>
      </c>
      <c r="F20">
        <v>21.979949999999999</v>
      </c>
      <c r="G20">
        <v>22.159448999999999</v>
      </c>
      <c r="H20">
        <v>21.091137</v>
      </c>
      <c r="I20">
        <v>19.931090999999999</v>
      </c>
      <c r="J20">
        <v>24.021723000000001</v>
      </c>
      <c r="K20">
        <v>23.6845</v>
      </c>
      <c r="L20">
        <v>24.073868000000001</v>
      </c>
      <c r="M20">
        <v>22.356442999999999</v>
      </c>
      <c r="N20">
        <v>22.653870000000001</v>
      </c>
      <c r="O20">
        <v>23.603552000000001</v>
      </c>
      <c r="P20">
        <v>23.603736999999999</v>
      </c>
      <c r="Q20">
        <v>22.428830999999999</v>
      </c>
      <c r="R20">
        <v>24.059546999999998</v>
      </c>
      <c r="S20">
        <v>20.381461999999999</v>
      </c>
      <c r="T20">
        <v>22.110281000000001</v>
      </c>
      <c r="U20">
        <v>21.033277999999999</v>
      </c>
      <c r="V20">
        <v>21.67212</v>
      </c>
      <c r="W20">
        <v>20.993653999999999</v>
      </c>
      <c r="X20">
        <v>21.448930000000001</v>
      </c>
      <c r="Y20">
        <v>26.194417999999999</v>
      </c>
      <c r="Z20">
        <v>22.565709999999999</v>
      </c>
      <c r="AA20">
        <v>26.494623000000001</v>
      </c>
      <c r="AB20">
        <v>26.127030000000001</v>
      </c>
      <c r="AC20">
        <v>26.482925000000002</v>
      </c>
      <c r="AD20">
        <v>24.211548000000001</v>
      </c>
      <c r="AE20">
        <v>24.564820999999998</v>
      </c>
      <c r="AF20">
        <v>27.668914999999998</v>
      </c>
      <c r="AG20">
        <v>26.345815999999999</v>
      </c>
    </row>
    <row r="21" spans="1:33" x14ac:dyDescent="0.25">
      <c r="A21" s="1">
        <v>44072</v>
      </c>
      <c r="B21">
        <v>22.573477</v>
      </c>
      <c r="C21">
        <v>22.718261999999999</v>
      </c>
      <c r="D21">
        <v>21.979714999999999</v>
      </c>
      <c r="E21">
        <v>21.915147999999999</v>
      </c>
      <c r="F21">
        <v>21.831527999999999</v>
      </c>
      <c r="G21">
        <v>22.023213999999999</v>
      </c>
      <c r="H21">
        <v>20.96556</v>
      </c>
      <c r="I21">
        <v>19.854648999999998</v>
      </c>
      <c r="J21">
        <v>23.921866999999999</v>
      </c>
      <c r="K21">
        <v>23.461327000000001</v>
      </c>
      <c r="L21">
        <v>23.939399999999999</v>
      </c>
      <c r="M21">
        <v>22.198232999999998</v>
      </c>
      <c r="N21">
        <v>22.411377000000002</v>
      </c>
      <c r="O21">
        <v>23.472069000000001</v>
      </c>
      <c r="P21">
        <v>23.376625000000001</v>
      </c>
      <c r="Q21">
        <v>22.2333</v>
      </c>
      <c r="R21">
        <v>23.87454</v>
      </c>
      <c r="S21">
        <v>20.393094999999999</v>
      </c>
      <c r="T21">
        <v>21.990853999999999</v>
      </c>
      <c r="U21">
        <v>21.162299999999998</v>
      </c>
      <c r="V21">
        <v>21.79898</v>
      </c>
      <c r="W21">
        <v>21.211856999999998</v>
      </c>
      <c r="X21">
        <v>21.665749999999999</v>
      </c>
      <c r="Y21">
        <v>26.046087</v>
      </c>
      <c r="Z21">
        <v>22.544609999999999</v>
      </c>
      <c r="AA21">
        <v>26.357222</v>
      </c>
      <c r="AB21">
        <v>25.992767000000001</v>
      </c>
      <c r="AC21">
        <v>26.536726000000002</v>
      </c>
      <c r="AD21">
        <v>24.077470000000002</v>
      </c>
      <c r="AE21">
        <v>24.853086000000001</v>
      </c>
      <c r="AF21">
        <v>27.602318</v>
      </c>
      <c r="AG21">
        <v>26.231490999999998</v>
      </c>
    </row>
    <row r="22" spans="1:33" x14ac:dyDescent="0.25">
      <c r="A22" s="1">
        <v>44073</v>
      </c>
      <c r="B22">
        <v>22.184819999999998</v>
      </c>
      <c r="C22">
        <v>22.448378000000002</v>
      </c>
      <c r="D22">
        <v>21.685072000000002</v>
      </c>
      <c r="E22">
        <v>21.609311999999999</v>
      </c>
      <c r="F22">
        <v>21.531305</v>
      </c>
      <c r="G22">
        <v>21.796379999999999</v>
      </c>
      <c r="H22">
        <v>20.775274</v>
      </c>
      <c r="I22">
        <v>19.714258000000001</v>
      </c>
      <c r="J22">
        <v>23.351790999999999</v>
      </c>
      <c r="K22">
        <v>23.113883999999999</v>
      </c>
      <c r="L22">
        <v>23.645157000000001</v>
      </c>
      <c r="M22">
        <v>21.948526000000001</v>
      </c>
      <c r="N22">
        <v>22.089960000000001</v>
      </c>
      <c r="O22">
        <v>23.193144</v>
      </c>
      <c r="P22">
        <v>23.061900000000001</v>
      </c>
      <c r="Q22">
        <v>21.945257000000002</v>
      </c>
      <c r="R22">
        <v>23.554189999999998</v>
      </c>
      <c r="S22">
        <v>20.241941000000001</v>
      </c>
      <c r="T22">
        <v>21.787827</v>
      </c>
      <c r="U22">
        <v>21.479310999999999</v>
      </c>
      <c r="V22">
        <v>21.742242999999998</v>
      </c>
      <c r="W22">
        <v>21.491994999999999</v>
      </c>
      <c r="X22">
        <v>21.657920000000001</v>
      </c>
      <c r="Y22">
        <v>25.889364</v>
      </c>
      <c r="Z22">
        <v>22.486227</v>
      </c>
      <c r="AA22">
        <v>26.085540000000002</v>
      </c>
      <c r="AB22">
        <v>25.828652999999999</v>
      </c>
      <c r="AC22">
        <v>26.345459000000002</v>
      </c>
      <c r="AD22">
        <v>23.827766</v>
      </c>
      <c r="AE22">
        <v>25.125952000000002</v>
      </c>
      <c r="AF22">
        <v>27.425142000000001</v>
      </c>
      <c r="AG22">
        <v>25.934235000000001</v>
      </c>
    </row>
    <row r="23" spans="1:33" x14ac:dyDescent="0.25">
      <c r="A23" s="1">
        <v>44074</v>
      </c>
      <c r="B23">
        <v>22.012352</v>
      </c>
      <c r="C23">
        <v>22.350863</v>
      </c>
      <c r="D23">
        <v>21.557257</v>
      </c>
      <c r="E23">
        <v>21.445070000000001</v>
      </c>
      <c r="F23">
        <v>21.442412999999998</v>
      </c>
      <c r="G23">
        <v>21.630875</v>
      </c>
      <c r="H23">
        <v>20.647621000000001</v>
      </c>
      <c r="I23">
        <v>19.810158000000001</v>
      </c>
      <c r="J23">
        <v>23.109797</v>
      </c>
      <c r="K23">
        <v>22.889555000000001</v>
      </c>
      <c r="L23">
        <v>23.499238999999999</v>
      </c>
      <c r="M23">
        <v>21.764893000000001</v>
      </c>
      <c r="N23">
        <v>21.92259</v>
      </c>
      <c r="O23">
        <v>23.05921</v>
      </c>
      <c r="P23">
        <v>22.830843000000002</v>
      </c>
      <c r="Q23">
        <v>21.757925</v>
      </c>
      <c r="R23">
        <v>23.365743999999999</v>
      </c>
      <c r="S23">
        <v>20.29965</v>
      </c>
      <c r="T23">
        <v>21.762471999999999</v>
      </c>
      <c r="U23">
        <v>21.598557</v>
      </c>
      <c r="V23">
        <v>21.932274</v>
      </c>
      <c r="W23">
        <v>21.486588000000001</v>
      </c>
      <c r="X23">
        <v>21.942015000000001</v>
      </c>
      <c r="Y23">
        <v>25.645406999999999</v>
      </c>
      <c r="Z23">
        <v>22.534966000000001</v>
      </c>
      <c r="AA23">
        <v>25.760922999999998</v>
      </c>
      <c r="AB23">
        <v>25.559152999999998</v>
      </c>
      <c r="AC23">
        <v>26.19679</v>
      </c>
      <c r="AD23">
        <v>23.635164</v>
      </c>
      <c r="AE23">
        <v>25.015847999999998</v>
      </c>
      <c r="AF23">
        <v>27.238838000000001</v>
      </c>
      <c r="AG23">
        <v>25.678553000000001</v>
      </c>
    </row>
    <row r="24" spans="1:33" x14ac:dyDescent="0.25">
      <c r="A24" s="1">
        <v>44075</v>
      </c>
      <c r="B24">
        <v>21.791312999999999</v>
      </c>
      <c r="C24">
        <v>22.232991999999999</v>
      </c>
      <c r="D24">
        <v>21.399857000000001</v>
      </c>
      <c r="E24">
        <v>21.277509999999999</v>
      </c>
      <c r="F24">
        <v>21.340540000000001</v>
      </c>
      <c r="G24">
        <v>21.493141000000001</v>
      </c>
      <c r="H24">
        <v>20.550394000000001</v>
      </c>
      <c r="I24">
        <v>19.839478</v>
      </c>
      <c r="J24">
        <v>23.008354000000001</v>
      </c>
      <c r="K24">
        <v>22.681940000000001</v>
      </c>
      <c r="L24">
        <v>23.333212</v>
      </c>
      <c r="M24">
        <v>21.615172999999999</v>
      </c>
      <c r="N24">
        <v>21.703886000000001</v>
      </c>
      <c r="O24">
        <v>22.907143000000001</v>
      </c>
      <c r="P24">
        <v>22.632370000000002</v>
      </c>
      <c r="Q24">
        <v>21.605051</v>
      </c>
      <c r="R24">
        <v>23.136627000000001</v>
      </c>
      <c r="S24">
        <v>20.154602000000001</v>
      </c>
      <c r="T24">
        <v>21.611035999999999</v>
      </c>
      <c r="U24">
        <v>21.619997000000001</v>
      </c>
      <c r="V24">
        <v>21.882497999999998</v>
      </c>
      <c r="W24">
        <v>21.600484999999999</v>
      </c>
      <c r="X24">
        <v>21.982572999999999</v>
      </c>
      <c r="Y24">
        <v>25.440987</v>
      </c>
      <c r="Z24">
        <v>22.546887999999999</v>
      </c>
      <c r="AA24">
        <v>25.521184999999999</v>
      </c>
      <c r="AB24">
        <v>25.352404</v>
      </c>
      <c r="AC24">
        <v>26.166219999999999</v>
      </c>
      <c r="AD24">
        <v>23.476019999999998</v>
      </c>
      <c r="AE24">
        <v>24.310632999999999</v>
      </c>
      <c r="AF24">
        <v>27.128809</v>
      </c>
      <c r="AG24">
        <v>25.45665</v>
      </c>
    </row>
    <row r="25" spans="1:33" x14ac:dyDescent="0.25">
      <c r="A25" s="1">
        <v>44076</v>
      </c>
      <c r="B25">
        <v>21.584547000000001</v>
      </c>
      <c r="C25">
        <v>22.04505</v>
      </c>
      <c r="D25">
        <v>21.190166000000001</v>
      </c>
      <c r="E25">
        <v>21.132670000000001</v>
      </c>
      <c r="F25">
        <v>21.212260000000001</v>
      </c>
      <c r="G25">
        <v>21.379487999999998</v>
      </c>
      <c r="H25">
        <v>20.453869999999998</v>
      </c>
      <c r="I25">
        <v>19.732627999999998</v>
      </c>
      <c r="J25">
        <v>22.820502999999999</v>
      </c>
      <c r="K25">
        <v>22.482202999999998</v>
      </c>
      <c r="L25">
        <v>23.15213</v>
      </c>
      <c r="M25">
        <v>21.499420000000001</v>
      </c>
      <c r="N25">
        <v>21.530334</v>
      </c>
      <c r="O25">
        <v>22.726402</v>
      </c>
      <c r="P25">
        <v>22.447164999999998</v>
      </c>
      <c r="Q25">
        <v>21.464231000000002</v>
      </c>
      <c r="R25">
        <v>22.925125000000001</v>
      </c>
      <c r="S25">
        <v>19.823177000000001</v>
      </c>
      <c r="T25">
        <v>21.463232000000001</v>
      </c>
      <c r="U25">
        <v>21.739998</v>
      </c>
      <c r="V25">
        <v>21.761693999999999</v>
      </c>
      <c r="W25">
        <v>21.734000999999999</v>
      </c>
      <c r="X25">
        <v>21.875558999999999</v>
      </c>
      <c r="Y25">
        <v>25.233335</v>
      </c>
      <c r="Z25">
        <v>22.485980000000001</v>
      </c>
      <c r="AA25">
        <v>25.37988</v>
      </c>
      <c r="AB25">
        <v>25.20008</v>
      </c>
      <c r="AC25">
        <v>25.884955999999999</v>
      </c>
      <c r="AD25">
        <v>23.329573</v>
      </c>
      <c r="AE25">
        <v>23.859089999999998</v>
      </c>
      <c r="AF25">
        <v>26.993880999999998</v>
      </c>
      <c r="AG25">
        <v>25.261078000000001</v>
      </c>
    </row>
    <row r="26" spans="1:33" x14ac:dyDescent="0.25">
      <c r="A26" s="1">
        <v>44077</v>
      </c>
      <c r="B26">
        <v>21.455293999999999</v>
      </c>
      <c r="C26">
        <v>21.884882000000001</v>
      </c>
      <c r="D26">
        <v>21.069140999999998</v>
      </c>
      <c r="E26">
        <v>21.037915999999999</v>
      </c>
      <c r="F26">
        <v>21.107438999999999</v>
      </c>
      <c r="G26">
        <v>21.276319999999998</v>
      </c>
      <c r="H26">
        <v>20.371493999999998</v>
      </c>
      <c r="I26">
        <v>19.675642</v>
      </c>
      <c r="J26">
        <v>22.55115</v>
      </c>
      <c r="K26">
        <v>22.281089999999999</v>
      </c>
      <c r="L26">
        <v>22.949873</v>
      </c>
      <c r="M26">
        <v>21.372437999999999</v>
      </c>
      <c r="N26">
        <v>21.382711</v>
      </c>
      <c r="O26">
        <v>22.547235000000001</v>
      </c>
      <c r="P26">
        <v>22.258344999999998</v>
      </c>
      <c r="Q26">
        <v>21.336248000000001</v>
      </c>
      <c r="R26">
        <v>22.725701999999998</v>
      </c>
      <c r="S26">
        <v>19.623327</v>
      </c>
      <c r="T26">
        <v>21.372301</v>
      </c>
      <c r="U26">
        <v>21.721672000000002</v>
      </c>
      <c r="V26">
        <v>21.710135000000001</v>
      </c>
      <c r="W26">
        <v>21.540006999999999</v>
      </c>
      <c r="X26">
        <v>21.846556</v>
      </c>
      <c r="Y26">
        <v>25.129926999999999</v>
      </c>
      <c r="Z26">
        <v>22.442489999999999</v>
      </c>
      <c r="AA26">
        <v>25.241636</v>
      </c>
      <c r="AB26">
        <v>25.049726</v>
      </c>
      <c r="AC26">
        <v>25.426742999999998</v>
      </c>
      <c r="AD26">
        <v>23.158799999999999</v>
      </c>
      <c r="AE26">
        <v>23.463633000000002</v>
      </c>
      <c r="AF26">
        <v>26.854073</v>
      </c>
      <c r="AG26">
        <v>25.159956000000001</v>
      </c>
    </row>
    <row r="27" spans="1:33" x14ac:dyDescent="0.25">
      <c r="A27" s="1">
        <v>44078</v>
      </c>
      <c r="B27">
        <v>21.341107999999998</v>
      </c>
      <c r="C27">
        <v>21.734210000000001</v>
      </c>
      <c r="D27">
        <v>20.955994</v>
      </c>
      <c r="E27">
        <v>20.963066000000001</v>
      </c>
      <c r="F27">
        <v>20.960917999999999</v>
      </c>
      <c r="G27">
        <v>21.132940000000001</v>
      </c>
      <c r="H27">
        <v>20.269413</v>
      </c>
      <c r="I27">
        <v>19.416520999999999</v>
      </c>
      <c r="J27">
        <v>22.402452</v>
      </c>
      <c r="K27">
        <v>22.104469999999999</v>
      </c>
      <c r="L27">
        <v>22.769912999999999</v>
      </c>
      <c r="M27">
        <v>21.224346000000001</v>
      </c>
      <c r="N27">
        <v>21.210045000000001</v>
      </c>
      <c r="O27">
        <v>22.39771</v>
      </c>
      <c r="P27">
        <v>22.081123000000002</v>
      </c>
      <c r="Q27">
        <v>21.175536999999998</v>
      </c>
      <c r="R27">
        <v>22.558540000000001</v>
      </c>
      <c r="S27">
        <v>19.463923000000001</v>
      </c>
      <c r="T27">
        <v>21.269967999999999</v>
      </c>
      <c r="U27">
        <v>21.482347000000001</v>
      </c>
      <c r="V27">
        <v>21.704592000000002</v>
      </c>
      <c r="W27">
        <v>21.261309000000001</v>
      </c>
      <c r="X27">
        <v>21.896940000000001</v>
      </c>
      <c r="Y27">
        <v>24.942672999999999</v>
      </c>
      <c r="Z27">
        <v>22.350173999999999</v>
      </c>
      <c r="AA27">
        <v>25.075098000000001</v>
      </c>
      <c r="AB27">
        <v>24.908783</v>
      </c>
      <c r="AC27">
        <v>25.055147000000002</v>
      </c>
      <c r="AD27">
        <v>22.997216999999999</v>
      </c>
      <c r="AE27">
        <v>23.646478999999999</v>
      </c>
      <c r="AF27">
        <v>26.740691999999999</v>
      </c>
      <c r="AG27">
        <v>25.105225000000001</v>
      </c>
    </row>
    <row r="28" spans="1:33" x14ac:dyDescent="0.25">
      <c r="A28" s="1">
        <v>44079</v>
      </c>
      <c r="B28">
        <v>21.659838000000001</v>
      </c>
      <c r="C28">
        <v>21.915351999999999</v>
      </c>
      <c r="D28">
        <v>21.081780999999999</v>
      </c>
      <c r="E28">
        <v>21.095140000000001</v>
      </c>
      <c r="F28">
        <v>21.182013000000001</v>
      </c>
      <c r="G28">
        <v>21.171835000000002</v>
      </c>
      <c r="H28">
        <v>20.36092</v>
      </c>
      <c r="I28">
        <v>19.781739999999999</v>
      </c>
      <c r="J28">
        <v>22.725473000000001</v>
      </c>
      <c r="K28">
        <v>22.202639000000001</v>
      </c>
      <c r="L28">
        <v>22.892150000000001</v>
      </c>
      <c r="M28">
        <v>21.292933000000001</v>
      </c>
      <c r="N28">
        <v>21.39715</v>
      </c>
      <c r="O28">
        <v>22.552443</v>
      </c>
      <c r="P28">
        <v>22.156957999999999</v>
      </c>
      <c r="Q28">
        <v>21.237058999999999</v>
      </c>
      <c r="R28">
        <v>22.658989999999999</v>
      </c>
      <c r="S28">
        <v>20.039390000000001</v>
      </c>
      <c r="T28">
        <v>21.515345</v>
      </c>
      <c r="U28">
        <v>21.401993000000001</v>
      </c>
      <c r="V28">
        <v>21.905169000000001</v>
      </c>
      <c r="W28">
        <v>21.409876000000001</v>
      </c>
      <c r="X28">
        <v>22.025487999999999</v>
      </c>
      <c r="Y28">
        <v>24.961817</v>
      </c>
      <c r="Z28">
        <v>22.502400999999999</v>
      </c>
      <c r="AA28">
        <v>25.03415</v>
      </c>
      <c r="AB28">
        <v>24.961041999999999</v>
      </c>
      <c r="AC28">
        <v>24.880127000000002</v>
      </c>
      <c r="AD28">
        <v>23.080915000000001</v>
      </c>
      <c r="AE28">
        <v>24.302797000000002</v>
      </c>
      <c r="AF28">
        <v>26.737822999999999</v>
      </c>
      <c r="AG28">
        <v>25.085927999999999</v>
      </c>
    </row>
    <row r="29" spans="1:33" x14ac:dyDescent="0.25">
      <c r="A29" s="1">
        <v>44080</v>
      </c>
      <c r="B29">
        <v>22.409136</v>
      </c>
      <c r="C29">
        <v>22.465689999999999</v>
      </c>
      <c r="D29">
        <v>21.572700000000001</v>
      </c>
      <c r="E29">
        <v>21.631699999999999</v>
      </c>
      <c r="F29">
        <v>21.742607</v>
      </c>
      <c r="G29">
        <v>21.498764000000001</v>
      </c>
      <c r="H29">
        <v>20.764256</v>
      </c>
      <c r="I29">
        <v>21.018953</v>
      </c>
      <c r="J29">
        <v>23.578534999999999</v>
      </c>
      <c r="K29">
        <v>22.615364</v>
      </c>
      <c r="L29">
        <v>23.251405999999999</v>
      </c>
      <c r="M29">
        <v>21.672014000000001</v>
      </c>
      <c r="N29">
        <v>21.923424000000001</v>
      </c>
      <c r="O29">
        <v>22.992594</v>
      </c>
      <c r="P29">
        <v>22.544687</v>
      </c>
      <c r="Q29">
        <v>21.604482999999998</v>
      </c>
      <c r="R29">
        <v>23.015757000000001</v>
      </c>
      <c r="S29">
        <v>21.278528000000001</v>
      </c>
      <c r="T29">
        <v>22.068552</v>
      </c>
      <c r="U29">
        <v>21.984953000000001</v>
      </c>
      <c r="V29">
        <v>22.251099</v>
      </c>
      <c r="W29">
        <v>22.080935</v>
      </c>
      <c r="X29">
        <v>22.252882</v>
      </c>
      <c r="Y29">
        <v>25.350822000000001</v>
      </c>
      <c r="Z29">
        <v>23.054796</v>
      </c>
      <c r="AA29">
        <v>25.282478000000001</v>
      </c>
      <c r="AB29">
        <v>25.299665000000001</v>
      </c>
      <c r="AC29">
        <v>25.091787</v>
      </c>
      <c r="AD29">
        <v>23.381943</v>
      </c>
      <c r="AE29">
        <v>25.358934000000001</v>
      </c>
      <c r="AF29">
        <v>26.897993</v>
      </c>
      <c r="AG29">
        <v>25.37387</v>
      </c>
    </row>
    <row r="30" spans="1:33" x14ac:dyDescent="0.25">
      <c r="A30" s="1">
        <v>44081</v>
      </c>
      <c r="B30">
        <v>23.08361</v>
      </c>
      <c r="C30">
        <v>22.977594</v>
      </c>
      <c r="D30">
        <v>22.127817</v>
      </c>
      <c r="E30">
        <v>22.270841999999998</v>
      </c>
      <c r="F30">
        <v>22.100325000000002</v>
      </c>
      <c r="G30">
        <v>21.868459999999999</v>
      </c>
      <c r="H30">
        <v>21.055261999999999</v>
      </c>
      <c r="I30">
        <v>21.646692000000002</v>
      </c>
      <c r="J30">
        <v>24.324670000000001</v>
      </c>
      <c r="K30">
        <v>23.015014999999998</v>
      </c>
      <c r="L30">
        <v>23.579414</v>
      </c>
      <c r="M30">
        <v>22.061651000000001</v>
      </c>
      <c r="N30">
        <v>22.414415000000002</v>
      </c>
      <c r="O30">
        <v>23.370038999999998</v>
      </c>
      <c r="P30">
        <v>22.944680000000002</v>
      </c>
      <c r="Q30">
        <v>22.005775</v>
      </c>
      <c r="R30">
        <v>23.348372000000001</v>
      </c>
      <c r="S30">
        <v>22.379211000000002</v>
      </c>
      <c r="T30">
        <v>22.649695999999999</v>
      </c>
      <c r="U30">
        <v>22.590371999999999</v>
      </c>
      <c r="V30">
        <v>22.695333000000002</v>
      </c>
      <c r="W30">
        <v>22.570795</v>
      </c>
      <c r="X30">
        <v>22.684065</v>
      </c>
      <c r="Y30">
        <v>25.615006999999999</v>
      </c>
      <c r="Z30">
        <v>23.569624000000001</v>
      </c>
      <c r="AA30">
        <v>25.539904</v>
      </c>
      <c r="AB30">
        <v>25.518076000000001</v>
      </c>
      <c r="AC30">
        <v>25.264122</v>
      </c>
      <c r="AD30">
        <v>23.683350000000001</v>
      </c>
      <c r="AE30">
        <v>27.058920000000001</v>
      </c>
      <c r="AF30">
        <v>27.056069999999998</v>
      </c>
      <c r="AG30">
        <v>25.592110000000002</v>
      </c>
    </row>
    <row r="31" spans="1:33" x14ac:dyDescent="0.25">
      <c r="A31" s="1">
        <v>44082</v>
      </c>
      <c r="B31">
        <v>22.871447</v>
      </c>
      <c r="C31">
        <v>22.789657999999999</v>
      </c>
      <c r="D31">
        <v>22.258527999999998</v>
      </c>
      <c r="E31">
        <v>22.409835999999999</v>
      </c>
      <c r="F31">
        <v>21.94858</v>
      </c>
      <c r="G31">
        <v>22.034631999999998</v>
      </c>
      <c r="H31">
        <v>21.196836000000001</v>
      </c>
      <c r="I31">
        <v>21.304216</v>
      </c>
      <c r="J31">
        <v>24.046892</v>
      </c>
      <c r="K31">
        <v>23.01314</v>
      </c>
      <c r="L31">
        <v>23.447645000000001</v>
      </c>
      <c r="M31">
        <v>22.204567000000001</v>
      </c>
      <c r="N31">
        <v>22.388726999999999</v>
      </c>
      <c r="O31">
        <v>23.218748000000001</v>
      </c>
      <c r="P31">
        <v>22.983460999999998</v>
      </c>
      <c r="Q31">
        <v>22.197374</v>
      </c>
      <c r="R31">
        <v>23.217682</v>
      </c>
      <c r="S31">
        <v>21.852201000000001</v>
      </c>
      <c r="T31">
        <v>22.671102999999999</v>
      </c>
      <c r="U31">
        <v>22.637505000000001</v>
      </c>
      <c r="V31">
        <v>22.615694000000001</v>
      </c>
      <c r="W31">
        <v>22.537748000000001</v>
      </c>
      <c r="X31">
        <v>22.613409999999998</v>
      </c>
      <c r="Y31">
        <v>25.472342000000001</v>
      </c>
      <c r="Z31">
        <v>23.417273000000002</v>
      </c>
      <c r="AA31">
        <v>25.379915</v>
      </c>
      <c r="AB31">
        <v>25.320383</v>
      </c>
      <c r="AC31">
        <v>24.92042</v>
      </c>
      <c r="AD31">
        <v>23.626709000000002</v>
      </c>
      <c r="AE31">
        <v>25.783429999999999</v>
      </c>
      <c r="AF31">
        <v>26.882372</v>
      </c>
      <c r="AG31">
        <v>25.197686999999998</v>
      </c>
    </row>
    <row r="32" spans="1:33" x14ac:dyDescent="0.25">
      <c r="A32" s="1">
        <v>44083</v>
      </c>
      <c r="B32">
        <v>22.299997000000001</v>
      </c>
      <c r="C32">
        <v>21.972989999999999</v>
      </c>
      <c r="D32">
        <v>21.986847000000001</v>
      </c>
      <c r="E32">
        <v>22.168800000000001</v>
      </c>
      <c r="F32">
        <v>21.673365</v>
      </c>
      <c r="G32">
        <v>21.843658000000001</v>
      </c>
      <c r="H32">
        <v>20.955475</v>
      </c>
      <c r="I32">
        <v>20.57376</v>
      </c>
      <c r="J32">
        <v>23.164923000000002</v>
      </c>
      <c r="K32">
        <v>22.766462000000001</v>
      </c>
      <c r="L32">
        <v>23.219667000000001</v>
      </c>
      <c r="M32">
        <v>22.016020000000001</v>
      </c>
      <c r="N32">
        <v>22.235758000000001</v>
      </c>
      <c r="O32">
        <v>22.901346</v>
      </c>
      <c r="P32">
        <v>22.725296</v>
      </c>
      <c r="Q32">
        <v>22.001999000000001</v>
      </c>
      <c r="R32">
        <v>22.998795999999999</v>
      </c>
      <c r="S32">
        <v>20.369015000000001</v>
      </c>
      <c r="T32">
        <v>22.305129999999998</v>
      </c>
      <c r="U32">
        <v>22.272814</v>
      </c>
      <c r="V32">
        <v>22.323554999999999</v>
      </c>
      <c r="W32">
        <v>21.930319999999998</v>
      </c>
      <c r="X32">
        <v>22.359285</v>
      </c>
      <c r="Y32">
        <v>24.789251</v>
      </c>
      <c r="Z32">
        <v>22.917562</v>
      </c>
      <c r="AA32">
        <v>24.885752</v>
      </c>
      <c r="AB32">
        <v>24.613039000000001</v>
      </c>
      <c r="AC32">
        <v>24.104676999999999</v>
      </c>
      <c r="AD32">
        <v>23.384882000000001</v>
      </c>
      <c r="AE32">
        <v>23.823478999999999</v>
      </c>
      <c r="AF32">
        <v>26.498159999999999</v>
      </c>
      <c r="AG32">
        <v>24.558347999999999</v>
      </c>
    </row>
    <row r="33" spans="1:33" x14ac:dyDescent="0.25">
      <c r="A33" s="1">
        <v>44084</v>
      </c>
      <c r="B33">
        <v>22.124154999999998</v>
      </c>
      <c r="C33">
        <v>21.861856</v>
      </c>
      <c r="D33">
        <v>21.843751999999999</v>
      </c>
      <c r="E33">
        <v>21.919661999999999</v>
      </c>
      <c r="F33">
        <v>21.474526999999998</v>
      </c>
      <c r="G33">
        <v>21.591577999999998</v>
      </c>
      <c r="H33">
        <v>20.755201</v>
      </c>
      <c r="I33">
        <v>19.988897000000001</v>
      </c>
      <c r="J33">
        <v>22.622202000000001</v>
      </c>
      <c r="K33">
        <v>22.595237999999998</v>
      </c>
      <c r="L33">
        <v>23.151206999999999</v>
      </c>
      <c r="M33">
        <v>21.827309</v>
      </c>
      <c r="N33">
        <v>22.10369</v>
      </c>
      <c r="O33">
        <v>22.775696</v>
      </c>
      <c r="P33">
        <v>22.565221999999999</v>
      </c>
      <c r="Q33">
        <v>21.815110000000001</v>
      </c>
      <c r="R33">
        <v>22.90954</v>
      </c>
      <c r="S33">
        <v>19.872381000000001</v>
      </c>
      <c r="T33">
        <v>22.14536</v>
      </c>
      <c r="U33">
        <v>21.557516</v>
      </c>
      <c r="V33">
        <v>22.416036999999999</v>
      </c>
      <c r="W33">
        <v>21.132791999999998</v>
      </c>
      <c r="X33">
        <v>22.44876</v>
      </c>
      <c r="Y33">
        <v>24.549906</v>
      </c>
      <c r="Z33">
        <v>22.751252999999998</v>
      </c>
      <c r="AA33">
        <v>24.705214999999999</v>
      </c>
      <c r="AB33">
        <v>24.389150000000001</v>
      </c>
      <c r="AC33">
        <v>23.783888000000001</v>
      </c>
      <c r="AD33">
        <v>23.289304999999999</v>
      </c>
      <c r="AE33">
        <v>22.265549</v>
      </c>
      <c r="AF33">
        <v>26.277252000000001</v>
      </c>
      <c r="AG33">
        <v>24.48612</v>
      </c>
    </row>
    <row r="34" spans="1:33" x14ac:dyDescent="0.25">
      <c r="A34" s="1">
        <v>44085</v>
      </c>
      <c r="B34">
        <v>21.980474000000001</v>
      </c>
      <c r="C34">
        <v>21.766275</v>
      </c>
      <c r="D34">
        <v>21.744665000000001</v>
      </c>
      <c r="E34">
        <v>21.655922</v>
      </c>
      <c r="F34">
        <v>21.376332999999999</v>
      </c>
      <c r="G34">
        <v>21.447958</v>
      </c>
      <c r="H34">
        <v>20.607973000000001</v>
      </c>
      <c r="I34">
        <v>19.659787999999999</v>
      </c>
      <c r="J34">
        <v>22.121244000000001</v>
      </c>
      <c r="K34">
        <v>22.386313999999999</v>
      </c>
      <c r="L34">
        <v>23.034616</v>
      </c>
      <c r="M34">
        <v>21.620466</v>
      </c>
      <c r="N34">
        <v>21.954262</v>
      </c>
      <c r="O34">
        <v>22.723203999999999</v>
      </c>
      <c r="P34">
        <v>22.355246999999999</v>
      </c>
      <c r="Q34">
        <v>21.6435</v>
      </c>
      <c r="R34">
        <v>22.838471999999999</v>
      </c>
      <c r="S34">
        <v>19.661860999999998</v>
      </c>
      <c r="T34">
        <v>22.001927999999999</v>
      </c>
      <c r="U34">
        <v>21.044827999999999</v>
      </c>
      <c r="V34">
        <v>22.168434000000001</v>
      </c>
      <c r="W34">
        <v>20.523385999999999</v>
      </c>
      <c r="X34">
        <v>22.084493999999999</v>
      </c>
      <c r="Y34">
        <v>24.362593</v>
      </c>
      <c r="Z34">
        <v>22.601911999999999</v>
      </c>
      <c r="AA34">
        <v>24.500810000000001</v>
      </c>
      <c r="AB34">
        <v>24.266999999999999</v>
      </c>
      <c r="AC34">
        <v>23.44341</v>
      </c>
      <c r="AD34">
        <v>23.19426</v>
      </c>
      <c r="AE34">
        <v>21.764420000000001</v>
      </c>
      <c r="AF34">
        <v>26.068245000000001</v>
      </c>
      <c r="AG34">
        <v>24.246808999999999</v>
      </c>
    </row>
    <row r="35" spans="1:33" x14ac:dyDescent="0.25">
      <c r="A35" s="1">
        <v>44086</v>
      </c>
      <c r="B35">
        <v>22.024108999999999</v>
      </c>
      <c r="C35">
        <v>21.667624</v>
      </c>
      <c r="D35">
        <v>21.689568000000001</v>
      </c>
      <c r="E35">
        <v>21.549866000000002</v>
      </c>
      <c r="F35">
        <v>21.347747999999999</v>
      </c>
      <c r="G35">
        <v>21.349081000000002</v>
      </c>
      <c r="H35">
        <v>20.513802999999999</v>
      </c>
      <c r="I35">
        <v>19.661058000000001</v>
      </c>
      <c r="J35">
        <v>22.032502999999998</v>
      </c>
      <c r="K35">
        <v>22.305489000000001</v>
      </c>
      <c r="L35">
        <v>22.940436999999999</v>
      </c>
      <c r="M35">
        <v>21.493296000000001</v>
      </c>
      <c r="N35">
        <v>21.898813000000001</v>
      </c>
      <c r="O35">
        <v>22.737366000000002</v>
      </c>
      <c r="P35">
        <v>22.247071999999999</v>
      </c>
      <c r="Q35">
        <v>21.534330000000001</v>
      </c>
      <c r="R35">
        <v>22.799232</v>
      </c>
      <c r="S35">
        <v>19.716152000000001</v>
      </c>
      <c r="T35">
        <v>21.891783</v>
      </c>
      <c r="U35">
        <v>20.341248</v>
      </c>
      <c r="V35">
        <v>21.797326999999999</v>
      </c>
      <c r="W35">
        <v>19.771129999999999</v>
      </c>
      <c r="X35">
        <v>21.605827000000001</v>
      </c>
      <c r="Y35">
        <v>24.140238</v>
      </c>
      <c r="Z35">
        <v>22.613831999999999</v>
      </c>
      <c r="AA35">
        <v>24.360498</v>
      </c>
      <c r="AB35">
        <v>24.080100000000002</v>
      </c>
      <c r="AC35">
        <v>23.235990000000001</v>
      </c>
      <c r="AD35">
        <v>23.079260000000001</v>
      </c>
      <c r="AE35">
        <v>22.038422000000001</v>
      </c>
      <c r="AF35">
        <v>25.894814</v>
      </c>
      <c r="AG35">
        <v>24.011347000000001</v>
      </c>
    </row>
    <row r="36" spans="1:33" x14ac:dyDescent="0.25">
      <c r="A36" s="1">
        <v>44087</v>
      </c>
      <c r="B36">
        <v>21.904983999999999</v>
      </c>
      <c r="C36">
        <v>21.512968000000001</v>
      </c>
      <c r="D36">
        <v>21.599219999999999</v>
      </c>
      <c r="E36">
        <v>21.414072000000001</v>
      </c>
      <c r="F36">
        <v>21.275656000000001</v>
      </c>
      <c r="G36">
        <v>21.302679999999999</v>
      </c>
      <c r="H36">
        <v>20.444122</v>
      </c>
      <c r="I36">
        <v>19.747599999999998</v>
      </c>
      <c r="J36">
        <v>22.055364999999998</v>
      </c>
      <c r="K36">
        <v>22.244436</v>
      </c>
      <c r="L36">
        <v>22.820269</v>
      </c>
      <c r="M36">
        <v>21.414728</v>
      </c>
      <c r="N36">
        <v>21.801130000000001</v>
      </c>
      <c r="O36">
        <v>22.619216999999999</v>
      </c>
      <c r="P36">
        <v>22.200489999999999</v>
      </c>
      <c r="Q36">
        <v>21.474896999999999</v>
      </c>
      <c r="R36">
        <v>22.695233999999999</v>
      </c>
      <c r="S36">
        <v>19.769967999999999</v>
      </c>
      <c r="T36">
        <v>21.680412</v>
      </c>
      <c r="U36">
        <v>19.832830000000001</v>
      </c>
      <c r="V36">
        <v>21.460640000000001</v>
      </c>
      <c r="W36">
        <v>19.444334000000001</v>
      </c>
      <c r="X36">
        <v>21.219038000000001</v>
      </c>
      <c r="Y36">
        <v>24.038729</v>
      </c>
      <c r="Z36">
        <v>22.643578000000002</v>
      </c>
      <c r="AA36">
        <v>24.344263000000002</v>
      </c>
      <c r="AB36">
        <v>23.981736999999999</v>
      </c>
      <c r="AC36">
        <v>23.226194</v>
      </c>
      <c r="AD36">
        <v>22.966166000000001</v>
      </c>
      <c r="AE36">
        <v>22.627821000000001</v>
      </c>
      <c r="AF36">
        <v>25.78998</v>
      </c>
      <c r="AG36">
        <v>24.047616999999999</v>
      </c>
    </row>
    <row r="37" spans="1:33" x14ac:dyDescent="0.25">
      <c r="A37" s="1">
        <v>44088</v>
      </c>
      <c r="B37">
        <v>21.461960000000001</v>
      </c>
      <c r="C37">
        <v>21.23387</v>
      </c>
      <c r="D37">
        <v>21.262205000000002</v>
      </c>
      <c r="E37">
        <v>21.092289000000001</v>
      </c>
      <c r="F37">
        <v>20.999856999999999</v>
      </c>
      <c r="G37">
        <v>21.150606</v>
      </c>
      <c r="H37">
        <v>20.331692</v>
      </c>
      <c r="I37">
        <v>19.433592000000001</v>
      </c>
      <c r="J37">
        <v>21.821263999999999</v>
      </c>
      <c r="K37">
        <v>22.049130999999999</v>
      </c>
      <c r="L37">
        <v>22.59234</v>
      </c>
      <c r="M37">
        <v>21.251276000000001</v>
      </c>
      <c r="N37">
        <v>21.518747000000001</v>
      </c>
      <c r="O37">
        <v>22.336549999999999</v>
      </c>
      <c r="P37">
        <v>22.019086999999999</v>
      </c>
      <c r="Q37">
        <v>21.288387</v>
      </c>
      <c r="R37">
        <v>22.487679</v>
      </c>
      <c r="S37">
        <v>19.445184999999999</v>
      </c>
      <c r="T37">
        <v>21.248356000000001</v>
      </c>
      <c r="U37">
        <v>19.429106000000001</v>
      </c>
      <c r="V37">
        <v>20.838175</v>
      </c>
      <c r="W37">
        <v>19.009584</v>
      </c>
      <c r="X37">
        <v>20.573412000000001</v>
      </c>
      <c r="Y37">
        <v>23.95196</v>
      </c>
      <c r="Z37">
        <v>22.407028</v>
      </c>
      <c r="AA37">
        <v>24.254904</v>
      </c>
      <c r="AB37">
        <v>23.898309999999999</v>
      </c>
      <c r="AC37">
        <v>23.026388000000001</v>
      </c>
      <c r="AD37">
        <v>22.795504000000001</v>
      </c>
      <c r="AE37">
        <v>22.729187</v>
      </c>
      <c r="AF37">
        <v>25.63955</v>
      </c>
      <c r="AG37">
        <v>24.020537999999998</v>
      </c>
    </row>
    <row r="38" spans="1:33" x14ac:dyDescent="0.25">
      <c r="A38" s="1">
        <v>44089</v>
      </c>
      <c r="B38">
        <v>21.120916000000001</v>
      </c>
      <c r="C38">
        <v>21.099789000000001</v>
      </c>
      <c r="D38">
        <v>20.912924</v>
      </c>
      <c r="E38">
        <v>20.797083000000001</v>
      </c>
      <c r="F38">
        <v>20.80237</v>
      </c>
      <c r="G38">
        <v>20.955843000000002</v>
      </c>
      <c r="H38">
        <v>20.208313</v>
      </c>
      <c r="I38">
        <v>19.269850000000002</v>
      </c>
      <c r="J38">
        <v>21.462038</v>
      </c>
      <c r="K38">
        <v>21.786619999999999</v>
      </c>
      <c r="L38">
        <v>22.317430000000002</v>
      </c>
      <c r="M38">
        <v>21.050626999999999</v>
      </c>
      <c r="N38">
        <v>21.231514000000001</v>
      </c>
      <c r="O38">
        <v>22.013786</v>
      </c>
      <c r="P38">
        <v>21.775611999999999</v>
      </c>
      <c r="Q38">
        <v>21.062743999999999</v>
      </c>
      <c r="R38">
        <v>22.245000000000001</v>
      </c>
      <c r="S38">
        <v>19.156462000000001</v>
      </c>
      <c r="T38">
        <v>20.847116</v>
      </c>
      <c r="U38">
        <v>19.054200999999999</v>
      </c>
      <c r="V38">
        <v>20.428826999999998</v>
      </c>
      <c r="W38">
        <v>18.739267000000002</v>
      </c>
      <c r="X38">
        <v>20.174603000000001</v>
      </c>
      <c r="Y38">
        <v>23.832922</v>
      </c>
      <c r="Z38">
        <v>21.983962999999999</v>
      </c>
      <c r="AA38">
        <v>24.052848999999998</v>
      </c>
      <c r="AB38">
        <v>23.802246</v>
      </c>
      <c r="AC38">
        <v>22.752175999999999</v>
      </c>
      <c r="AD38">
        <v>22.552744000000001</v>
      </c>
      <c r="AE38">
        <v>22.699202</v>
      </c>
      <c r="AF38">
        <v>25.417349000000002</v>
      </c>
      <c r="AG38">
        <v>23.823778000000001</v>
      </c>
    </row>
    <row r="39" spans="1:33" x14ac:dyDescent="0.25">
      <c r="A39" s="1">
        <v>44090</v>
      </c>
      <c r="B39">
        <v>21.203012000000001</v>
      </c>
      <c r="C39">
        <v>21.181833000000001</v>
      </c>
      <c r="D39">
        <v>20.920083999999999</v>
      </c>
      <c r="E39">
        <v>20.777704</v>
      </c>
      <c r="F39">
        <v>20.918447</v>
      </c>
      <c r="G39">
        <v>20.923719999999999</v>
      </c>
      <c r="H39">
        <v>20.240127999999999</v>
      </c>
      <c r="I39">
        <v>19.651509999999998</v>
      </c>
      <c r="J39">
        <v>21.621002000000001</v>
      </c>
      <c r="K39">
        <v>21.75947</v>
      </c>
      <c r="L39">
        <v>22.268160000000002</v>
      </c>
      <c r="M39">
        <v>21.030767000000001</v>
      </c>
      <c r="N39">
        <v>21.173393000000001</v>
      </c>
      <c r="O39">
        <v>21.929413</v>
      </c>
      <c r="P39">
        <v>21.714700000000001</v>
      </c>
      <c r="Q39">
        <v>21.028670000000002</v>
      </c>
      <c r="R39">
        <v>22.192148</v>
      </c>
      <c r="S39">
        <v>19.361874</v>
      </c>
      <c r="T39">
        <v>20.718133999999999</v>
      </c>
      <c r="U39">
        <v>18.942855999999999</v>
      </c>
      <c r="V39">
        <v>20.300481999999999</v>
      </c>
      <c r="W39">
        <v>18.690538</v>
      </c>
      <c r="X39">
        <v>20.020714000000002</v>
      </c>
      <c r="Y39">
        <v>23.802382999999999</v>
      </c>
      <c r="Z39">
        <v>21.696411000000001</v>
      </c>
      <c r="AA39">
        <v>23.990341000000001</v>
      </c>
      <c r="AB39">
        <v>23.761189999999999</v>
      </c>
      <c r="AC39">
        <v>22.691289999999999</v>
      </c>
      <c r="AD39">
        <v>22.433706000000001</v>
      </c>
      <c r="AE39">
        <v>22.876069999999999</v>
      </c>
      <c r="AF39">
        <v>25.281953999999999</v>
      </c>
      <c r="AG39">
        <v>23.852195999999999</v>
      </c>
    </row>
    <row r="40" spans="1:33" x14ac:dyDescent="0.25">
      <c r="A40" s="1">
        <v>44091</v>
      </c>
      <c r="B40">
        <v>21.25038</v>
      </c>
      <c r="C40">
        <v>21.221533000000001</v>
      </c>
      <c r="D40">
        <v>21.049451999999999</v>
      </c>
      <c r="E40">
        <v>20.880410999999999</v>
      </c>
      <c r="F40">
        <v>20.990244000000001</v>
      </c>
      <c r="G40">
        <v>20.966574000000001</v>
      </c>
      <c r="H40">
        <v>20.310974000000002</v>
      </c>
      <c r="I40">
        <v>19.971364999999999</v>
      </c>
      <c r="J40">
        <v>21.889364</v>
      </c>
      <c r="K40">
        <v>21.769335000000002</v>
      </c>
      <c r="L40">
        <v>22.208760999999999</v>
      </c>
      <c r="M40">
        <v>21.069700000000001</v>
      </c>
      <c r="N40">
        <v>21.174479999999999</v>
      </c>
      <c r="O40">
        <v>21.875097</v>
      </c>
      <c r="P40">
        <v>21.729118</v>
      </c>
      <c r="Q40">
        <v>21.074722000000001</v>
      </c>
      <c r="R40">
        <v>22.116705</v>
      </c>
      <c r="S40">
        <v>19.671704999999999</v>
      </c>
      <c r="T40">
        <v>20.701059999999998</v>
      </c>
      <c r="U40">
        <v>19.011019000000001</v>
      </c>
      <c r="V40">
        <v>20.298904</v>
      </c>
      <c r="W40">
        <v>19.070452</v>
      </c>
      <c r="X40">
        <v>20.007073999999999</v>
      </c>
      <c r="Y40">
        <v>23.732111</v>
      </c>
      <c r="Z40">
        <v>21.448221</v>
      </c>
      <c r="AA40">
        <v>23.977785000000001</v>
      </c>
      <c r="AB40">
        <v>23.670012</v>
      </c>
      <c r="AC40">
        <v>22.776236000000001</v>
      </c>
      <c r="AD40">
        <v>22.339303999999998</v>
      </c>
      <c r="AE40">
        <v>23.267244000000002</v>
      </c>
      <c r="AF40">
        <v>25.214586000000001</v>
      </c>
      <c r="AG40">
        <v>23.809691999999998</v>
      </c>
    </row>
    <row r="41" spans="1:33" x14ac:dyDescent="0.25">
      <c r="A41" s="1">
        <v>44092</v>
      </c>
      <c r="B41">
        <v>20.994951</v>
      </c>
      <c r="C41">
        <v>21.027802999999999</v>
      </c>
      <c r="D41">
        <v>20.929625999999999</v>
      </c>
      <c r="E41">
        <v>20.799032</v>
      </c>
      <c r="F41">
        <v>20.798773000000001</v>
      </c>
      <c r="G41">
        <v>20.888742000000001</v>
      </c>
      <c r="H41">
        <v>20.237272000000001</v>
      </c>
      <c r="I41">
        <v>19.852245</v>
      </c>
      <c r="J41">
        <v>21.750043999999999</v>
      </c>
      <c r="K41">
        <v>21.674917000000001</v>
      </c>
      <c r="L41">
        <v>22.012373</v>
      </c>
      <c r="M41">
        <v>20.973500000000001</v>
      </c>
      <c r="N41">
        <v>21.02291</v>
      </c>
      <c r="O41">
        <v>21.695333000000002</v>
      </c>
      <c r="P41">
        <v>21.64348</v>
      </c>
      <c r="Q41">
        <v>20.981075000000001</v>
      </c>
      <c r="R41">
        <v>21.924410000000002</v>
      </c>
      <c r="S41">
        <v>19.572299999999998</v>
      </c>
      <c r="T41">
        <v>20.559609999999999</v>
      </c>
      <c r="U41">
        <v>19.404615</v>
      </c>
      <c r="V41">
        <v>20.15401</v>
      </c>
      <c r="W41">
        <v>19.346518</v>
      </c>
      <c r="X41">
        <v>19.870905</v>
      </c>
      <c r="Y41">
        <v>23.516220000000001</v>
      </c>
      <c r="Z41">
        <v>21.088464999999999</v>
      </c>
      <c r="AA41">
        <v>23.811295999999999</v>
      </c>
      <c r="AB41">
        <v>23.51146</v>
      </c>
      <c r="AC41">
        <v>22.654554000000001</v>
      </c>
      <c r="AD41">
        <v>22.140305999999999</v>
      </c>
      <c r="AE41">
        <v>23.165006999999999</v>
      </c>
      <c r="AF41">
        <v>25.012502999999999</v>
      </c>
      <c r="AG41">
        <v>23.690474999999999</v>
      </c>
    </row>
    <row r="42" spans="1:33" x14ac:dyDescent="0.25">
      <c r="A42" s="1">
        <v>44093</v>
      </c>
      <c r="B42">
        <v>20.914003000000001</v>
      </c>
      <c r="C42">
        <v>20.99025</v>
      </c>
      <c r="D42">
        <v>20.82009</v>
      </c>
      <c r="E42">
        <v>20.738244999999999</v>
      </c>
      <c r="F42">
        <v>20.711458</v>
      </c>
      <c r="G42">
        <v>20.791440000000001</v>
      </c>
      <c r="H42">
        <v>20.166117</v>
      </c>
      <c r="I42">
        <v>19.754904</v>
      </c>
      <c r="J42">
        <v>21.583936999999999</v>
      </c>
      <c r="K42">
        <v>21.565248</v>
      </c>
      <c r="L42">
        <v>21.873467999999999</v>
      </c>
      <c r="M42">
        <v>20.878789999999999</v>
      </c>
      <c r="N42">
        <v>20.913689999999999</v>
      </c>
      <c r="O42">
        <v>21.504332000000002</v>
      </c>
      <c r="P42">
        <v>21.540849999999999</v>
      </c>
      <c r="Q42">
        <v>20.886564</v>
      </c>
      <c r="R42">
        <v>21.789504999999998</v>
      </c>
      <c r="S42">
        <v>19.499894999999999</v>
      </c>
      <c r="T42">
        <v>20.453351999999999</v>
      </c>
      <c r="U42">
        <v>19.640362</v>
      </c>
      <c r="V42">
        <v>20.148886000000001</v>
      </c>
      <c r="W42">
        <v>19.686567</v>
      </c>
      <c r="X42">
        <v>19.945007</v>
      </c>
      <c r="Y42">
        <v>23.190750000000001</v>
      </c>
      <c r="Z42">
        <v>20.791270999999998</v>
      </c>
      <c r="AA42">
        <v>23.554565</v>
      </c>
      <c r="AB42">
        <v>23.219683</v>
      </c>
      <c r="AC42">
        <v>22.287057999999998</v>
      </c>
      <c r="AD42">
        <v>21.988015999999998</v>
      </c>
      <c r="AE42">
        <v>22.763929999999998</v>
      </c>
      <c r="AF42">
        <v>24.74633</v>
      </c>
      <c r="AG42">
        <v>23.332972000000002</v>
      </c>
    </row>
    <row r="43" spans="1:33" x14ac:dyDescent="0.25">
      <c r="A43" s="1">
        <v>44094</v>
      </c>
      <c r="B43">
        <v>21.079961999999998</v>
      </c>
      <c r="C43">
        <v>21.055157000000001</v>
      </c>
      <c r="D43">
        <v>20.873203</v>
      </c>
      <c r="E43">
        <v>20.815908</v>
      </c>
      <c r="F43">
        <v>20.791703999999999</v>
      </c>
      <c r="G43">
        <v>20.802153000000001</v>
      </c>
      <c r="H43">
        <v>20.161493</v>
      </c>
      <c r="I43">
        <v>19.876363999999999</v>
      </c>
      <c r="J43">
        <v>21.712408</v>
      </c>
      <c r="K43">
        <v>21.611656</v>
      </c>
      <c r="L43">
        <v>21.873480000000001</v>
      </c>
      <c r="M43">
        <v>20.920152999999999</v>
      </c>
      <c r="N43">
        <v>20.966892000000001</v>
      </c>
      <c r="O43">
        <v>21.464327000000001</v>
      </c>
      <c r="P43">
        <v>21.575890999999999</v>
      </c>
      <c r="Q43">
        <v>20.921873000000001</v>
      </c>
      <c r="R43">
        <v>21.766966</v>
      </c>
      <c r="S43">
        <v>19.773273</v>
      </c>
      <c r="T43">
        <v>20.572773000000002</v>
      </c>
      <c r="U43">
        <v>19.921112000000001</v>
      </c>
      <c r="V43">
        <v>20.348569999999999</v>
      </c>
      <c r="W43">
        <v>19.798960000000001</v>
      </c>
      <c r="X43">
        <v>20.197541999999999</v>
      </c>
      <c r="Y43">
        <v>23.105941999999999</v>
      </c>
      <c r="Z43">
        <v>20.721088000000002</v>
      </c>
      <c r="AA43">
        <v>23.44098</v>
      </c>
      <c r="AB43">
        <v>23.138967999999998</v>
      </c>
      <c r="AC43">
        <v>22.148695</v>
      </c>
      <c r="AD43">
        <v>21.954696999999999</v>
      </c>
      <c r="AE43">
        <v>22.872221</v>
      </c>
      <c r="AF43">
        <v>24.628294</v>
      </c>
      <c r="AG43">
        <v>23.299440000000001</v>
      </c>
    </row>
    <row r="44" spans="1:33" x14ac:dyDescent="0.25">
      <c r="A44" s="1">
        <v>44095</v>
      </c>
      <c r="B44">
        <v>21.127756000000002</v>
      </c>
      <c r="C44">
        <v>21.075382000000001</v>
      </c>
      <c r="D44">
        <v>20.924631000000002</v>
      </c>
      <c r="E44">
        <v>20.82762</v>
      </c>
      <c r="F44">
        <v>20.739343999999999</v>
      </c>
      <c r="G44">
        <v>20.809628</v>
      </c>
      <c r="H44">
        <v>20.146757000000001</v>
      </c>
      <c r="I44">
        <v>19.859102</v>
      </c>
      <c r="J44">
        <v>21.913972999999999</v>
      </c>
      <c r="K44">
        <v>21.694101</v>
      </c>
      <c r="L44">
        <v>21.921339</v>
      </c>
      <c r="M44">
        <v>20.942076</v>
      </c>
      <c r="N44">
        <v>21.041640000000001</v>
      </c>
      <c r="O44">
        <v>21.529924000000001</v>
      </c>
      <c r="P44">
        <v>21.653473000000002</v>
      </c>
      <c r="Q44">
        <v>20.958127999999999</v>
      </c>
      <c r="R44">
        <v>21.787409</v>
      </c>
      <c r="S44">
        <v>19.828700000000001</v>
      </c>
      <c r="T44">
        <v>20.722141000000001</v>
      </c>
      <c r="U44">
        <v>19.983540999999999</v>
      </c>
      <c r="V44">
        <v>20.535784</v>
      </c>
      <c r="W44">
        <v>19.842780999999999</v>
      </c>
      <c r="X44">
        <v>20.432424999999999</v>
      </c>
      <c r="Y44">
        <v>23.168828999999999</v>
      </c>
      <c r="Z44">
        <v>20.77741</v>
      </c>
      <c r="AA44">
        <v>23.433004</v>
      </c>
      <c r="AB44">
        <v>23.188293000000002</v>
      </c>
      <c r="AC44">
        <v>22.165308</v>
      </c>
      <c r="AD44">
        <v>21.974150000000002</v>
      </c>
      <c r="AE44">
        <v>23.171334999999999</v>
      </c>
      <c r="AF44">
        <v>24.607507999999999</v>
      </c>
      <c r="AG44">
        <v>23.287447</v>
      </c>
    </row>
    <row r="45" spans="1:33" x14ac:dyDescent="0.25">
      <c r="A45" s="1">
        <v>44096</v>
      </c>
      <c r="B45">
        <v>21.031685</v>
      </c>
      <c r="C45">
        <v>20.98066</v>
      </c>
      <c r="D45">
        <v>20.822624000000001</v>
      </c>
      <c r="E45">
        <v>20.724485000000001</v>
      </c>
      <c r="F45">
        <v>20.583601000000002</v>
      </c>
      <c r="G45">
        <v>20.715568999999999</v>
      </c>
      <c r="H45">
        <v>20.060312</v>
      </c>
      <c r="I45">
        <v>19.529088999999999</v>
      </c>
      <c r="J45">
        <v>21.811377</v>
      </c>
      <c r="K45">
        <v>21.640250999999999</v>
      </c>
      <c r="L45">
        <v>21.890675999999999</v>
      </c>
      <c r="M45">
        <v>20.854140000000001</v>
      </c>
      <c r="N45">
        <v>20.984418999999999</v>
      </c>
      <c r="O45">
        <v>21.520797999999999</v>
      </c>
      <c r="P45">
        <v>21.604171999999998</v>
      </c>
      <c r="Q45">
        <v>20.876149999999999</v>
      </c>
      <c r="R45">
        <v>21.744019999999999</v>
      </c>
      <c r="S45">
        <v>19.562975000000002</v>
      </c>
      <c r="T45">
        <v>20.724592000000001</v>
      </c>
      <c r="U45">
        <v>19.985085999999999</v>
      </c>
      <c r="V45">
        <v>20.554466000000001</v>
      </c>
      <c r="W45">
        <v>19.925032000000002</v>
      </c>
      <c r="X45">
        <v>20.440087999999999</v>
      </c>
      <c r="Y45">
        <v>22.983484000000001</v>
      </c>
      <c r="Z45">
        <v>20.840668000000001</v>
      </c>
      <c r="AA45">
        <v>23.356324999999998</v>
      </c>
      <c r="AB45">
        <v>23.000872000000001</v>
      </c>
      <c r="AC45">
        <v>21.804677999999999</v>
      </c>
      <c r="AD45">
        <v>21.949280000000002</v>
      </c>
      <c r="AE45">
        <v>23.004013</v>
      </c>
      <c r="AF45">
        <v>24.557175000000001</v>
      </c>
      <c r="AG45">
        <v>23.066965</v>
      </c>
    </row>
    <row r="46" spans="1:33" x14ac:dyDescent="0.25">
      <c r="A46" s="1">
        <v>44097</v>
      </c>
      <c r="B46">
        <v>20.774044</v>
      </c>
      <c r="C46">
        <v>20.804925999999998</v>
      </c>
      <c r="D46">
        <v>20.59891</v>
      </c>
      <c r="E46">
        <v>20.518557000000001</v>
      </c>
      <c r="F46">
        <v>20.420463999999999</v>
      </c>
      <c r="G46">
        <v>20.538689999999999</v>
      </c>
      <c r="H46">
        <v>19.904378999999999</v>
      </c>
      <c r="I46">
        <v>19.125257000000001</v>
      </c>
      <c r="J46">
        <v>21.464849999999998</v>
      </c>
      <c r="K46">
        <v>21.440542000000001</v>
      </c>
      <c r="L46">
        <v>21.739325000000001</v>
      </c>
      <c r="M46">
        <v>20.688997000000001</v>
      </c>
      <c r="N46">
        <v>20.783134</v>
      </c>
      <c r="O46">
        <v>21.401087</v>
      </c>
      <c r="P46">
        <v>21.394258000000001</v>
      </c>
      <c r="Q46">
        <v>20.703810000000001</v>
      </c>
      <c r="R46">
        <v>21.591180000000001</v>
      </c>
      <c r="S46">
        <v>19.15156</v>
      </c>
      <c r="T46">
        <v>20.591722000000001</v>
      </c>
      <c r="U46">
        <v>20.009810000000002</v>
      </c>
      <c r="V46">
        <v>20.406979</v>
      </c>
      <c r="W46">
        <v>19.936512</v>
      </c>
      <c r="X46">
        <v>20.300968000000001</v>
      </c>
      <c r="Y46">
        <v>22.685089999999999</v>
      </c>
      <c r="Z46">
        <v>20.800201000000001</v>
      </c>
      <c r="AA46">
        <v>23.221921999999999</v>
      </c>
      <c r="AB46">
        <v>22.790414999999999</v>
      </c>
      <c r="AC46">
        <v>21.404599999999999</v>
      </c>
      <c r="AD46">
        <v>21.806725</v>
      </c>
      <c r="AE46">
        <v>22.122941999999998</v>
      </c>
      <c r="AF46">
        <v>24.397134999999999</v>
      </c>
      <c r="AG46">
        <v>22.919294000000001</v>
      </c>
    </row>
    <row r="47" spans="1:33" x14ac:dyDescent="0.25">
      <c r="A47" s="1">
        <v>44098</v>
      </c>
      <c r="B47">
        <v>20.850950000000001</v>
      </c>
      <c r="C47">
        <v>20.908808000000001</v>
      </c>
      <c r="D47">
        <v>20.613398</v>
      </c>
      <c r="E47">
        <v>20.536123</v>
      </c>
      <c r="F47">
        <v>20.519227999999998</v>
      </c>
      <c r="G47">
        <v>20.487521999999998</v>
      </c>
      <c r="H47">
        <v>19.868147</v>
      </c>
      <c r="I47">
        <v>19.201001999999999</v>
      </c>
      <c r="J47">
        <v>21.415174</v>
      </c>
      <c r="K47">
        <v>21.351808999999999</v>
      </c>
      <c r="L47">
        <v>21.680510999999999</v>
      </c>
      <c r="M47">
        <v>20.617235000000001</v>
      </c>
      <c r="N47">
        <v>20.779731999999999</v>
      </c>
      <c r="O47">
        <v>21.413359</v>
      </c>
      <c r="P47">
        <v>21.316220000000001</v>
      </c>
      <c r="Q47">
        <v>20.645720000000001</v>
      </c>
      <c r="R47">
        <v>21.568123</v>
      </c>
      <c r="S47">
        <v>19.153562999999998</v>
      </c>
      <c r="T47">
        <v>20.640877</v>
      </c>
      <c r="U47">
        <v>20.160530000000001</v>
      </c>
      <c r="V47">
        <v>20.530493</v>
      </c>
      <c r="W47">
        <v>20.051867999999999</v>
      </c>
      <c r="X47">
        <v>20.449992999999999</v>
      </c>
      <c r="Y47">
        <v>22.713697</v>
      </c>
      <c r="Z47">
        <v>20.901347999999999</v>
      </c>
      <c r="AA47">
        <v>23.117927999999999</v>
      </c>
      <c r="AB47">
        <v>22.813016999999999</v>
      </c>
      <c r="AC47">
        <v>21.449456999999999</v>
      </c>
      <c r="AD47">
        <v>21.722054</v>
      </c>
      <c r="AE47">
        <v>22.100034999999998</v>
      </c>
      <c r="AF47">
        <v>24.303758999999999</v>
      </c>
      <c r="AG47">
        <v>22.893339999999998</v>
      </c>
    </row>
    <row r="48" spans="1:33" x14ac:dyDescent="0.25">
      <c r="A48" s="1">
        <v>44099</v>
      </c>
      <c r="B48">
        <v>20.613790000000002</v>
      </c>
      <c r="C48">
        <v>20.698622</v>
      </c>
      <c r="D48">
        <v>20.535498</v>
      </c>
      <c r="E48">
        <v>20.390276</v>
      </c>
      <c r="F48">
        <v>20.256875999999998</v>
      </c>
      <c r="G48">
        <v>20.340761000000001</v>
      </c>
      <c r="H48">
        <v>19.784445000000002</v>
      </c>
      <c r="I48">
        <v>18.796548999999999</v>
      </c>
      <c r="J48">
        <v>21.144247</v>
      </c>
      <c r="K48">
        <v>21.201778000000001</v>
      </c>
      <c r="L48">
        <v>21.509194999999998</v>
      </c>
      <c r="M48">
        <v>20.437906000000002</v>
      </c>
      <c r="N48">
        <v>20.641607</v>
      </c>
      <c r="O48">
        <v>21.272541</v>
      </c>
      <c r="P48">
        <v>21.149645</v>
      </c>
      <c r="Q48">
        <v>20.497025000000001</v>
      </c>
      <c r="R48">
        <v>21.418289999999999</v>
      </c>
      <c r="S48">
        <v>18.939561999999999</v>
      </c>
      <c r="T48">
        <v>20.509066000000001</v>
      </c>
      <c r="U48">
        <v>20.171173</v>
      </c>
      <c r="V48">
        <v>20.412960000000002</v>
      </c>
      <c r="W48">
        <v>20.083487000000002</v>
      </c>
      <c r="X48">
        <v>20.363682000000001</v>
      </c>
      <c r="Y48">
        <v>22.334295000000001</v>
      </c>
      <c r="Z48">
        <v>20.843014</v>
      </c>
      <c r="AA48">
        <v>22.89528</v>
      </c>
      <c r="AB48">
        <v>22.464708000000002</v>
      </c>
      <c r="AC48">
        <v>21.253889999999998</v>
      </c>
      <c r="AD48">
        <v>21.581589000000001</v>
      </c>
      <c r="AE48">
        <v>21.871732999999999</v>
      </c>
      <c r="AF48">
        <v>24.073720000000002</v>
      </c>
      <c r="AG48">
        <v>22.539396</v>
      </c>
    </row>
    <row r="49" spans="1:33" x14ac:dyDescent="0.25">
      <c r="A49" s="1">
        <v>44100</v>
      </c>
      <c r="B49">
        <v>20.734386000000001</v>
      </c>
      <c r="C49">
        <v>20.734836999999999</v>
      </c>
      <c r="D49">
        <v>20.537465999999998</v>
      </c>
      <c r="E49">
        <v>20.377348000000001</v>
      </c>
      <c r="F49">
        <v>20.33877</v>
      </c>
      <c r="G49">
        <v>20.312121999999999</v>
      </c>
      <c r="H49">
        <v>19.756212000000001</v>
      </c>
      <c r="I49">
        <v>18.903801000000001</v>
      </c>
      <c r="J49">
        <v>21.239529000000001</v>
      </c>
      <c r="K49">
        <v>21.189589999999999</v>
      </c>
      <c r="L49">
        <v>21.486809000000001</v>
      </c>
      <c r="M49">
        <v>20.45401</v>
      </c>
      <c r="N49">
        <v>20.647276000000002</v>
      </c>
      <c r="O49">
        <v>21.249548000000001</v>
      </c>
      <c r="P49">
        <v>21.13344</v>
      </c>
      <c r="Q49">
        <v>20.473955</v>
      </c>
      <c r="R49">
        <v>21.427046000000001</v>
      </c>
      <c r="S49">
        <v>19.03491</v>
      </c>
      <c r="T49">
        <v>20.523175999999999</v>
      </c>
      <c r="U49">
        <v>20.273841999999998</v>
      </c>
      <c r="V49">
        <v>20.571182</v>
      </c>
      <c r="W49">
        <v>20.154119999999999</v>
      </c>
      <c r="X49">
        <v>20.554200999999999</v>
      </c>
      <c r="Y49">
        <v>22.197600000000001</v>
      </c>
      <c r="Z49">
        <v>20.902218000000001</v>
      </c>
      <c r="AA49">
        <v>22.840306999999999</v>
      </c>
      <c r="AB49">
        <v>22.402422000000001</v>
      </c>
      <c r="AC49">
        <v>21.107512</v>
      </c>
      <c r="AD49">
        <v>21.567345</v>
      </c>
      <c r="AE49">
        <v>22.088139999999999</v>
      </c>
      <c r="AF49">
        <v>23.949445999999998</v>
      </c>
      <c r="AG49">
        <v>22.602723999999998</v>
      </c>
    </row>
    <row r="50" spans="1:33" x14ac:dyDescent="0.25">
      <c r="A50" s="1">
        <v>44101</v>
      </c>
      <c r="B50">
        <v>21.029775999999998</v>
      </c>
      <c r="C50">
        <v>20.962651999999999</v>
      </c>
      <c r="D50">
        <v>20.710443000000001</v>
      </c>
      <c r="E50">
        <v>20.538762999999999</v>
      </c>
      <c r="F50">
        <v>20.619833</v>
      </c>
      <c r="G50">
        <v>20.470960000000002</v>
      </c>
      <c r="H50">
        <v>19.897977999999998</v>
      </c>
      <c r="I50">
        <v>19.470758</v>
      </c>
      <c r="J50">
        <v>21.623156000000002</v>
      </c>
      <c r="K50">
        <v>21.342835999999998</v>
      </c>
      <c r="L50">
        <v>21.581610000000001</v>
      </c>
      <c r="M50">
        <v>20.619864</v>
      </c>
      <c r="N50">
        <v>20.843658000000001</v>
      </c>
      <c r="O50">
        <v>21.371369999999999</v>
      </c>
      <c r="P50">
        <v>21.284071000000001</v>
      </c>
      <c r="Q50">
        <v>20.629145000000001</v>
      </c>
      <c r="R50">
        <v>21.510874000000001</v>
      </c>
      <c r="S50">
        <v>19.384927999999999</v>
      </c>
      <c r="T50">
        <v>20.725097999999999</v>
      </c>
      <c r="U50">
        <v>20.330912000000001</v>
      </c>
      <c r="V50">
        <v>20.809746000000001</v>
      </c>
      <c r="W50">
        <v>20.1387</v>
      </c>
      <c r="X50">
        <v>20.787396999999999</v>
      </c>
      <c r="Y50">
        <v>22.449570000000001</v>
      </c>
      <c r="Z50">
        <v>21.134633999999998</v>
      </c>
      <c r="AA50">
        <v>22.924140000000001</v>
      </c>
      <c r="AB50">
        <v>22.605722</v>
      </c>
      <c r="AC50">
        <v>21.118729999999999</v>
      </c>
      <c r="AD50">
        <v>21.641196999999998</v>
      </c>
      <c r="AE50">
        <v>22.440871999999999</v>
      </c>
      <c r="AF50">
        <v>23.897977999999998</v>
      </c>
      <c r="AG50">
        <v>22.704408999999998</v>
      </c>
    </row>
    <row r="51" spans="1:33" x14ac:dyDescent="0.25">
      <c r="A51" s="1">
        <v>44102</v>
      </c>
      <c r="B51">
        <v>21.136232</v>
      </c>
      <c r="C51">
        <v>21.242695000000001</v>
      </c>
      <c r="D51">
        <v>20.919516000000002</v>
      </c>
      <c r="E51">
        <v>20.671548999999999</v>
      </c>
      <c r="F51">
        <v>20.825137999999999</v>
      </c>
      <c r="G51">
        <v>20.653272999999999</v>
      </c>
      <c r="H51">
        <v>20.008382999999998</v>
      </c>
      <c r="I51">
        <v>20.079084000000002</v>
      </c>
      <c r="J51">
        <v>21.910439</v>
      </c>
      <c r="K51">
        <v>21.479759999999999</v>
      </c>
      <c r="L51">
        <v>21.658698999999999</v>
      </c>
      <c r="M51">
        <v>20.780477999999999</v>
      </c>
      <c r="N51">
        <v>21.014246</v>
      </c>
      <c r="O51">
        <v>21.480204000000001</v>
      </c>
      <c r="P51">
        <v>21.436419000000001</v>
      </c>
      <c r="Q51">
        <v>20.792002</v>
      </c>
      <c r="R51">
        <v>21.582754000000001</v>
      </c>
      <c r="S51">
        <v>19.600798000000001</v>
      </c>
      <c r="T51">
        <v>20.909807000000001</v>
      </c>
      <c r="U51">
        <v>20.351545000000002</v>
      </c>
      <c r="V51">
        <v>20.972342000000001</v>
      </c>
      <c r="W51">
        <v>20.240248000000001</v>
      </c>
      <c r="X51">
        <v>20.930230999999999</v>
      </c>
      <c r="Y51">
        <v>22.585867</v>
      </c>
      <c r="Z51">
        <v>21.339646999999999</v>
      </c>
      <c r="AA51">
        <v>22.964957999999999</v>
      </c>
      <c r="AB51">
        <v>22.670407999999998</v>
      </c>
      <c r="AC51">
        <v>21.184149000000001</v>
      </c>
      <c r="AD51">
        <v>21.70391</v>
      </c>
      <c r="AE51">
        <v>22.848742000000001</v>
      </c>
      <c r="AF51">
        <v>23.891417000000001</v>
      </c>
      <c r="AG51">
        <v>22.721852999999999</v>
      </c>
    </row>
    <row r="52" spans="1:33" x14ac:dyDescent="0.25">
      <c r="A52" s="1">
        <v>44103</v>
      </c>
      <c r="B52">
        <v>21.511403999999999</v>
      </c>
      <c r="C52">
        <v>21.616463</v>
      </c>
      <c r="D52">
        <v>21.212889000000001</v>
      </c>
      <c r="E52">
        <v>21.002511999999999</v>
      </c>
      <c r="F52">
        <v>21.04354</v>
      </c>
      <c r="G52">
        <v>20.858256999999998</v>
      </c>
      <c r="H52">
        <v>20.135904</v>
      </c>
      <c r="I52">
        <v>20.398893000000001</v>
      </c>
      <c r="J52">
        <v>22.353439999999999</v>
      </c>
      <c r="K52">
        <v>21.697119000000001</v>
      </c>
      <c r="L52">
        <v>21.873232000000002</v>
      </c>
      <c r="M52">
        <v>20.977152</v>
      </c>
      <c r="N52">
        <v>21.251584999999999</v>
      </c>
      <c r="O52">
        <v>21.756858999999999</v>
      </c>
      <c r="P52">
        <v>21.653244000000001</v>
      </c>
      <c r="Q52">
        <v>20.99352</v>
      </c>
      <c r="R52">
        <v>21.80631</v>
      </c>
      <c r="S52">
        <v>20.154608</v>
      </c>
      <c r="T52">
        <v>21.236032000000002</v>
      </c>
      <c r="U52">
        <v>20.509070999999999</v>
      </c>
      <c r="V52">
        <v>21.228407000000001</v>
      </c>
      <c r="W52">
        <v>20.326519999999999</v>
      </c>
      <c r="X52">
        <v>21.157042000000001</v>
      </c>
      <c r="Y52">
        <v>22.817962999999999</v>
      </c>
      <c r="Z52">
        <v>21.690954000000001</v>
      </c>
      <c r="AA52">
        <v>23.134450000000001</v>
      </c>
      <c r="AB52">
        <v>22.850532999999999</v>
      </c>
      <c r="AC52">
        <v>21.509633999999998</v>
      </c>
      <c r="AD52">
        <v>21.879660000000001</v>
      </c>
      <c r="AE52">
        <v>22.62734</v>
      </c>
      <c r="AF52">
        <v>23.997389999999999</v>
      </c>
      <c r="AG52">
        <v>22.992660000000001</v>
      </c>
    </row>
    <row r="53" spans="1:33" x14ac:dyDescent="0.25">
      <c r="A53" s="1">
        <v>44104</v>
      </c>
      <c r="B53">
        <v>21.453226000000001</v>
      </c>
      <c r="C53">
        <v>21.757010999999999</v>
      </c>
      <c r="D53">
        <v>21.321943000000001</v>
      </c>
      <c r="E53">
        <v>21.097104999999999</v>
      </c>
      <c r="F53">
        <v>20.966142999999999</v>
      </c>
      <c r="G53">
        <v>20.921118</v>
      </c>
      <c r="H53">
        <v>20.172934000000001</v>
      </c>
      <c r="I53">
        <v>20.139868</v>
      </c>
      <c r="J53">
        <v>22.244074000000001</v>
      </c>
      <c r="K53">
        <v>21.711303999999998</v>
      </c>
      <c r="L53">
        <v>21.907395999999999</v>
      </c>
      <c r="M53">
        <v>21.034801000000002</v>
      </c>
      <c r="N53">
        <v>21.302990000000001</v>
      </c>
      <c r="O53">
        <v>21.763846999999998</v>
      </c>
      <c r="P53">
        <v>21.689512000000001</v>
      </c>
      <c r="Q53">
        <v>21.058420000000002</v>
      </c>
      <c r="R53">
        <v>21.834569999999999</v>
      </c>
      <c r="S53">
        <v>20.206982</v>
      </c>
      <c r="T53">
        <v>21.328066</v>
      </c>
      <c r="U53">
        <v>20.478003000000001</v>
      </c>
      <c r="V53">
        <v>21.243555000000001</v>
      </c>
      <c r="W53">
        <v>20.213562</v>
      </c>
      <c r="X53">
        <v>21.153359999999999</v>
      </c>
      <c r="Y53">
        <v>22.971895</v>
      </c>
      <c r="Z53">
        <v>21.858855999999999</v>
      </c>
      <c r="AA53">
        <v>23.175885999999998</v>
      </c>
      <c r="AB53">
        <v>22.9666</v>
      </c>
      <c r="AC53">
        <v>21.74344</v>
      </c>
      <c r="AD53">
        <v>21.957529999999998</v>
      </c>
      <c r="AE53">
        <v>22.847183000000001</v>
      </c>
      <c r="AF53">
        <v>24.036814</v>
      </c>
      <c r="AG53">
        <v>23.032373</v>
      </c>
    </row>
    <row r="54" spans="1:33" x14ac:dyDescent="0.25">
      <c r="A54" s="1">
        <v>44105</v>
      </c>
      <c r="B54">
        <v>21.508292999999998</v>
      </c>
      <c r="C54">
        <v>21.894714</v>
      </c>
      <c r="D54">
        <v>21.411155999999998</v>
      </c>
      <c r="E54">
        <v>21.194852999999998</v>
      </c>
      <c r="F54">
        <v>21.079125999999999</v>
      </c>
      <c r="G54">
        <v>21.020454000000001</v>
      </c>
      <c r="H54">
        <v>20.238233999999999</v>
      </c>
      <c r="I54">
        <v>20.132653999999999</v>
      </c>
      <c r="J54">
        <v>22.297792000000001</v>
      </c>
      <c r="K54">
        <v>21.825506000000001</v>
      </c>
      <c r="L54">
        <v>22.02684</v>
      </c>
      <c r="M54">
        <v>21.147562000000001</v>
      </c>
      <c r="N54">
        <v>21.454139999999999</v>
      </c>
      <c r="O54">
        <v>21.820633000000001</v>
      </c>
      <c r="P54">
        <v>21.802831999999999</v>
      </c>
      <c r="Q54">
        <v>21.166183</v>
      </c>
      <c r="R54">
        <v>21.904800000000002</v>
      </c>
      <c r="S54">
        <v>20.298569000000001</v>
      </c>
      <c r="T54">
        <v>21.414750000000002</v>
      </c>
      <c r="U54">
        <v>20.346658999999999</v>
      </c>
      <c r="V54">
        <v>21.283472</v>
      </c>
      <c r="W54">
        <v>20.078316000000001</v>
      </c>
      <c r="X54">
        <v>21.152536000000001</v>
      </c>
      <c r="Y54">
        <v>23.030891</v>
      </c>
      <c r="Z54">
        <v>21.9207</v>
      </c>
      <c r="AA54">
        <v>23.171424999999999</v>
      </c>
      <c r="AB54">
        <v>23.013390999999999</v>
      </c>
      <c r="AC54">
        <v>21.798438999999998</v>
      </c>
      <c r="AD54">
        <v>22.051445000000001</v>
      </c>
      <c r="AE54">
        <v>22.889085999999999</v>
      </c>
      <c r="AF54">
        <v>24.044184000000001</v>
      </c>
      <c r="AG54">
        <v>23.014686999999999</v>
      </c>
    </row>
    <row r="55" spans="1:33" x14ac:dyDescent="0.25">
      <c r="A55" s="1">
        <v>44106</v>
      </c>
      <c r="B55">
        <v>21.556753</v>
      </c>
      <c r="C55">
        <v>22.007214999999999</v>
      </c>
      <c r="D55">
        <v>21.472242000000001</v>
      </c>
      <c r="E55">
        <v>21.237219</v>
      </c>
      <c r="F55">
        <v>21.154295000000001</v>
      </c>
      <c r="G55">
        <v>21.116465000000002</v>
      </c>
      <c r="H55">
        <v>20.27242</v>
      </c>
      <c r="I55">
        <v>20.169601</v>
      </c>
      <c r="J55">
        <v>22.367204999999998</v>
      </c>
      <c r="K55">
        <v>21.935950999999999</v>
      </c>
      <c r="L55">
        <v>22.082146000000002</v>
      </c>
      <c r="M55">
        <v>21.242170000000002</v>
      </c>
      <c r="N55">
        <v>21.578779999999998</v>
      </c>
      <c r="O55">
        <v>21.85145</v>
      </c>
      <c r="P55">
        <v>21.922326999999999</v>
      </c>
      <c r="Q55">
        <v>21.279254999999999</v>
      </c>
      <c r="R55">
        <v>21.949898000000001</v>
      </c>
      <c r="S55">
        <v>20.378523000000001</v>
      </c>
      <c r="T55">
        <v>21.430803000000001</v>
      </c>
      <c r="U55">
        <v>20.152245000000001</v>
      </c>
      <c r="V55">
        <v>21.214639999999999</v>
      </c>
      <c r="W55">
        <v>19.953188000000001</v>
      </c>
      <c r="X55">
        <v>21.034222</v>
      </c>
      <c r="Y55">
        <v>23.075792</v>
      </c>
      <c r="Z55">
        <v>21.918243</v>
      </c>
      <c r="AA55">
        <v>23.172546000000001</v>
      </c>
      <c r="AB55">
        <v>23.025442000000002</v>
      </c>
      <c r="AC55">
        <v>21.922160000000002</v>
      </c>
      <c r="AD55">
        <v>22.105460999999998</v>
      </c>
      <c r="AE55">
        <v>22.453690000000002</v>
      </c>
      <c r="AF55">
        <v>24.055204</v>
      </c>
      <c r="AG55">
        <v>22.9984</v>
      </c>
    </row>
    <row r="56" spans="1:33" x14ac:dyDescent="0.25">
      <c r="A56" s="1">
        <v>44107</v>
      </c>
      <c r="B56">
        <v>21.479372000000001</v>
      </c>
      <c r="C56">
        <v>22.040659000000002</v>
      </c>
      <c r="D56">
        <v>21.465902</v>
      </c>
      <c r="E56">
        <v>21.215005999999999</v>
      </c>
      <c r="F56">
        <v>21.108906000000001</v>
      </c>
      <c r="G56">
        <v>21.144220000000001</v>
      </c>
      <c r="H56">
        <v>20.243836999999999</v>
      </c>
      <c r="I56">
        <v>20.008018</v>
      </c>
      <c r="J56">
        <v>22.232078999999999</v>
      </c>
      <c r="K56">
        <v>21.972947999999999</v>
      </c>
      <c r="L56">
        <v>22.079964</v>
      </c>
      <c r="M56">
        <v>21.265481999999999</v>
      </c>
      <c r="N56">
        <v>21.624468</v>
      </c>
      <c r="O56">
        <v>21.849530999999999</v>
      </c>
      <c r="P56">
        <v>21.965294</v>
      </c>
      <c r="Q56">
        <v>21.317978</v>
      </c>
      <c r="R56">
        <v>21.965706000000001</v>
      </c>
      <c r="S56">
        <v>20.223951</v>
      </c>
      <c r="T56">
        <v>21.382180000000002</v>
      </c>
      <c r="U56">
        <v>20.102549</v>
      </c>
      <c r="V56">
        <v>21.101748000000001</v>
      </c>
      <c r="W56">
        <v>19.96678</v>
      </c>
      <c r="X56">
        <v>20.881049999999998</v>
      </c>
      <c r="Y56">
        <v>23.014986</v>
      </c>
      <c r="Z56">
        <v>21.834053000000001</v>
      </c>
      <c r="AA56">
        <v>23.096634000000002</v>
      </c>
      <c r="AB56">
        <v>22.946144</v>
      </c>
      <c r="AC56">
        <v>21.898354000000001</v>
      </c>
      <c r="AD56">
        <v>22.109472</v>
      </c>
      <c r="AE56">
        <v>22.070785999999998</v>
      </c>
      <c r="AF56">
        <v>23.996092000000001</v>
      </c>
      <c r="AG56">
        <v>22.888999999999999</v>
      </c>
    </row>
    <row r="57" spans="1:33" x14ac:dyDescent="0.25">
      <c r="A57" s="1">
        <v>44108</v>
      </c>
      <c r="B57">
        <v>21.290801999999999</v>
      </c>
      <c r="C57">
        <v>21.91384</v>
      </c>
      <c r="D57">
        <v>21.363623</v>
      </c>
      <c r="E57">
        <v>21.074594000000001</v>
      </c>
      <c r="F57">
        <v>20.913430999999999</v>
      </c>
      <c r="G57">
        <v>21.098814000000001</v>
      </c>
      <c r="H57">
        <v>20.152754000000002</v>
      </c>
      <c r="I57">
        <v>19.587145</v>
      </c>
      <c r="J57">
        <v>21.982931000000001</v>
      </c>
      <c r="K57">
        <v>21.916768999999999</v>
      </c>
      <c r="L57">
        <v>22.011232</v>
      </c>
      <c r="M57">
        <v>21.218920000000001</v>
      </c>
      <c r="N57">
        <v>21.57695</v>
      </c>
      <c r="O57">
        <v>21.725027000000001</v>
      </c>
      <c r="P57">
        <v>21.919039000000001</v>
      </c>
      <c r="Q57">
        <v>21.291029999999999</v>
      </c>
      <c r="R57">
        <v>21.900599</v>
      </c>
      <c r="S57">
        <v>19.948069</v>
      </c>
      <c r="T57">
        <v>21.264574</v>
      </c>
      <c r="U57">
        <v>20.052842999999999</v>
      </c>
      <c r="V57">
        <v>20.880447</v>
      </c>
      <c r="W57">
        <v>19.828299999999999</v>
      </c>
      <c r="X57">
        <v>20.631609000000001</v>
      </c>
      <c r="Y57">
        <v>22.839365000000001</v>
      </c>
      <c r="Z57">
        <v>21.631316999999999</v>
      </c>
      <c r="AA57">
        <v>22.944037999999999</v>
      </c>
      <c r="AB57">
        <v>22.751753000000001</v>
      </c>
      <c r="AC57">
        <v>21.819838000000001</v>
      </c>
      <c r="AD57">
        <v>22.053076000000001</v>
      </c>
      <c r="AE57">
        <v>22.282080000000001</v>
      </c>
      <c r="AF57">
        <v>23.88993</v>
      </c>
      <c r="AG57">
        <v>22.709800000000001</v>
      </c>
    </row>
    <row r="58" spans="1:33" x14ac:dyDescent="0.25">
      <c r="A58" s="1">
        <v>44109</v>
      </c>
      <c r="B58">
        <v>21.025728000000001</v>
      </c>
      <c r="C58">
        <v>21.681889999999999</v>
      </c>
      <c r="D58">
        <v>21.206160000000001</v>
      </c>
      <c r="E58">
        <v>20.853144</v>
      </c>
      <c r="F58">
        <v>20.708822000000001</v>
      </c>
      <c r="G58">
        <v>20.950880000000002</v>
      </c>
      <c r="H58">
        <v>20.039686</v>
      </c>
      <c r="I58">
        <v>19.252375000000001</v>
      </c>
      <c r="J58">
        <v>21.507550999999999</v>
      </c>
      <c r="K58">
        <v>21.752732999999999</v>
      </c>
      <c r="L58">
        <v>21.863848000000001</v>
      </c>
      <c r="M58">
        <v>21.078185999999999</v>
      </c>
      <c r="N58">
        <v>21.437891</v>
      </c>
      <c r="O58">
        <v>21.502289999999999</v>
      </c>
      <c r="P58">
        <v>21.760622000000001</v>
      </c>
      <c r="Q58">
        <v>21.164041999999998</v>
      </c>
      <c r="R58">
        <v>21.738824999999999</v>
      </c>
      <c r="S58">
        <v>19.346457000000001</v>
      </c>
      <c r="T58">
        <v>20.994330999999999</v>
      </c>
      <c r="U58">
        <v>19.771435</v>
      </c>
      <c r="V58">
        <v>20.596024</v>
      </c>
      <c r="W58">
        <v>19.456717999999999</v>
      </c>
      <c r="X58">
        <v>20.354586000000001</v>
      </c>
      <c r="Y58">
        <v>22.655868999999999</v>
      </c>
      <c r="Z58">
        <v>21.333006000000001</v>
      </c>
      <c r="AA58">
        <v>22.741323000000001</v>
      </c>
      <c r="AB58">
        <v>22.606912999999999</v>
      </c>
      <c r="AC58">
        <v>21.3626</v>
      </c>
      <c r="AD58">
        <v>21.909216000000001</v>
      </c>
      <c r="AE58">
        <v>22.078627000000001</v>
      </c>
      <c r="AF58">
        <v>23.708459999999999</v>
      </c>
      <c r="AG58">
        <v>22.537724999999998</v>
      </c>
    </row>
    <row r="59" spans="1:33" x14ac:dyDescent="0.25">
      <c r="A59" s="1">
        <v>44110</v>
      </c>
      <c r="B59">
        <v>20.866821000000002</v>
      </c>
      <c r="C59">
        <v>21.496206000000001</v>
      </c>
      <c r="D59">
        <v>21.075703000000001</v>
      </c>
      <c r="E59">
        <v>20.697016000000001</v>
      </c>
      <c r="F59">
        <v>20.501652</v>
      </c>
      <c r="G59">
        <v>20.787763999999999</v>
      </c>
      <c r="H59">
        <v>19.857925000000002</v>
      </c>
      <c r="I59">
        <v>19.005227999999999</v>
      </c>
      <c r="J59">
        <v>21.120152999999998</v>
      </c>
      <c r="K59">
        <v>21.589120000000001</v>
      </c>
      <c r="L59">
        <v>21.744164000000001</v>
      </c>
      <c r="M59">
        <v>20.919143999999999</v>
      </c>
      <c r="N59">
        <v>21.267648999999999</v>
      </c>
      <c r="O59">
        <v>21.413278999999999</v>
      </c>
      <c r="P59">
        <v>21.588889999999999</v>
      </c>
      <c r="Q59">
        <v>21.019732000000001</v>
      </c>
      <c r="R59">
        <v>21.641114999999999</v>
      </c>
      <c r="S59">
        <v>18.975172000000001</v>
      </c>
      <c r="T59">
        <v>20.807226</v>
      </c>
      <c r="U59">
        <v>19.37079</v>
      </c>
      <c r="V59">
        <v>20.485410000000002</v>
      </c>
      <c r="W59">
        <v>19.082633999999999</v>
      </c>
      <c r="X59">
        <v>20.253271000000002</v>
      </c>
      <c r="Y59">
        <v>22.432358000000001</v>
      </c>
      <c r="Z59">
        <v>21.101358000000001</v>
      </c>
      <c r="AA59">
        <v>22.516817</v>
      </c>
      <c r="AB59">
        <v>22.402977</v>
      </c>
      <c r="AC59">
        <v>20.932842000000001</v>
      </c>
      <c r="AD59">
        <v>21.771889000000002</v>
      </c>
      <c r="AE59">
        <v>21.742215999999999</v>
      </c>
      <c r="AF59">
        <v>23.579336000000001</v>
      </c>
      <c r="AG59">
        <v>22.320656</v>
      </c>
    </row>
    <row r="60" spans="1:33" x14ac:dyDescent="0.25">
      <c r="A60" s="1">
        <v>44111</v>
      </c>
      <c r="B60">
        <v>20.437460000000002</v>
      </c>
      <c r="C60">
        <v>21.065799999999999</v>
      </c>
      <c r="D60">
        <v>20.777933000000001</v>
      </c>
      <c r="E60">
        <v>20.329772999999999</v>
      </c>
      <c r="F60">
        <v>20.090954</v>
      </c>
      <c r="G60">
        <v>20.471465999999999</v>
      </c>
      <c r="H60">
        <v>19.547765999999999</v>
      </c>
      <c r="I60">
        <v>18.409927</v>
      </c>
      <c r="J60">
        <v>20.511026000000001</v>
      </c>
      <c r="K60">
        <v>21.23254</v>
      </c>
      <c r="L60">
        <v>21.450302000000001</v>
      </c>
      <c r="M60">
        <v>20.570679999999999</v>
      </c>
      <c r="N60">
        <v>20.894915000000001</v>
      </c>
      <c r="O60">
        <v>21.148897000000002</v>
      </c>
      <c r="P60">
        <v>21.224329999999998</v>
      </c>
      <c r="Q60">
        <v>20.69078</v>
      </c>
      <c r="R60">
        <v>21.387571000000001</v>
      </c>
      <c r="S60">
        <v>18.282575999999999</v>
      </c>
      <c r="T60">
        <v>20.473344999999998</v>
      </c>
      <c r="U60">
        <v>19.018414</v>
      </c>
      <c r="V60">
        <v>20.147772</v>
      </c>
      <c r="W60">
        <v>18.902155</v>
      </c>
      <c r="X60">
        <v>19.881350999999999</v>
      </c>
      <c r="Y60">
        <v>22.189851999999998</v>
      </c>
      <c r="Z60">
        <v>20.7151</v>
      </c>
      <c r="AA60">
        <v>22.299059</v>
      </c>
      <c r="AB60">
        <v>22.165037000000002</v>
      </c>
      <c r="AC60">
        <v>20.506964</v>
      </c>
      <c r="AD60">
        <v>21.508942000000001</v>
      </c>
      <c r="AE60">
        <v>21.201074999999999</v>
      </c>
      <c r="AF60">
        <v>23.430510000000002</v>
      </c>
      <c r="AG60">
        <v>22.110593999999999</v>
      </c>
    </row>
    <row r="61" spans="1:33" x14ac:dyDescent="0.25">
      <c r="A61" s="1">
        <v>44112</v>
      </c>
      <c r="B61">
        <v>20.036107999999999</v>
      </c>
      <c r="C61">
        <v>20.552008000000001</v>
      </c>
      <c r="D61">
        <v>20.392447000000001</v>
      </c>
      <c r="E61">
        <v>19.926687000000001</v>
      </c>
      <c r="F61">
        <v>19.779202999999999</v>
      </c>
      <c r="G61">
        <v>20.11223</v>
      </c>
      <c r="H61">
        <v>19.265250000000002</v>
      </c>
      <c r="I61">
        <v>17.944906</v>
      </c>
      <c r="J61">
        <v>19.825813</v>
      </c>
      <c r="K61">
        <v>20.762664999999998</v>
      </c>
      <c r="L61">
        <v>21.051030999999998</v>
      </c>
      <c r="M61">
        <v>20.192900000000002</v>
      </c>
      <c r="N61">
        <v>20.468942999999999</v>
      </c>
      <c r="O61">
        <v>20.799389999999999</v>
      </c>
      <c r="P61">
        <v>20.760255999999998</v>
      </c>
      <c r="Q61">
        <v>20.301435000000001</v>
      </c>
      <c r="R61">
        <v>21.033588000000002</v>
      </c>
      <c r="S61">
        <v>17.462833</v>
      </c>
      <c r="T61">
        <v>19.97418</v>
      </c>
      <c r="U61">
        <v>18.874929999999999</v>
      </c>
      <c r="V61">
        <v>19.667593</v>
      </c>
      <c r="W61">
        <v>18.867424</v>
      </c>
      <c r="X61">
        <v>19.337669999999999</v>
      </c>
      <c r="Y61">
        <v>21.757774000000001</v>
      </c>
      <c r="Z61">
        <v>20.271193</v>
      </c>
      <c r="AA61">
        <v>22.134253999999999</v>
      </c>
      <c r="AB61">
        <v>21.870752</v>
      </c>
      <c r="AC61">
        <v>19.921980000000001</v>
      </c>
      <c r="AD61">
        <v>21.161460000000002</v>
      </c>
      <c r="AE61">
        <v>20.223299000000001</v>
      </c>
      <c r="AF61">
        <v>23.245826999999998</v>
      </c>
      <c r="AG61">
        <v>21.845268000000001</v>
      </c>
    </row>
    <row r="62" spans="1:33" x14ac:dyDescent="0.25">
      <c r="A62" s="1">
        <v>44113</v>
      </c>
      <c r="B62">
        <v>19.63409</v>
      </c>
      <c r="C62">
        <v>20.075167</v>
      </c>
      <c r="D62">
        <v>20.029731999999999</v>
      </c>
      <c r="E62">
        <v>19.519129</v>
      </c>
      <c r="F62">
        <v>19.58493</v>
      </c>
      <c r="G62">
        <v>19.787447</v>
      </c>
      <c r="H62">
        <v>19.058641000000001</v>
      </c>
      <c r="I62">
        <v>17.751448</v>
      </c>
      <c r="J62">
        <v>19.417262999999998</v>
      </c>
      <c r="K62">
        <v>20.425492999999999</v>
      </c>
      <c r="L62">
        <v>20.735334000000002</v>
      </c>
      <c r="M62">
        <v>19.888445000000001</v>
      </c>
      <c r="N62">
        <v>20.104417999999999</v>
      </c>
      <c r="O62">
        <v>20.456925999999999</v>
      </c>
      <c r="P62">
        <v>20.408272</v>
      </c>
      <c r="Q62">
        <v>19.966100000000001</v>
      </c>
      <c r="R62">
        <v>20.740646000000002</v>
      </c>
      <c r="S62">
        <v>16.880697000000001</v>
      </c>
      <c r="T62">
        <v>19.505870000000002</v>
      </c>
      <c r="U62">
        <v>18.710016</v>
      </c>
      <c r="V62">
        <v>19.239775000000002</v>
      </c>
      <c r="W62">
        <v>18.585391999999999</v>
      </c>
      <c r="X62">
        <v>18.952475</v>
      </c>
      <c r="Y62">
        <v>21.414529999999999</v>
      </c>
      <c r="Z62">
        <v>19.878171999999999</v>
      </c>
      <c r="AA62">
        <v>21.865926999999999</v>
      </c>
      <c r="AB62">
        <v>21.605855999999999</v>
      </c>
      <c r="AC62">
        <v>19.307333</v>
      </c>
      <c r="AD62">
        <v>20.856997</v>
      </c>
      <c r="AE62">
        <v>19.698651999999999</v>
      </c>
      <c r="AF62">
        <v>22.962412</v>
      </c>
      <c r="AG62">
        <v>21.551190999999999</v>
      </c>
    </row>
    <row r="63" spans="1:33" x14ac:dyDescent="0.25">
      <c r="A63" s="1">
        <v>44114</v>
      </c>
      <c r="B63">
        <v>19.463573</v>
      </c>
      <c r="C63">
        <v>19.849287</v>
      </c>
      <c r="D63">
        <v>19.776845999999999</v>
      </c>
      <c r="E63">
        <v>19.333283999999999</v>
      </c>
      <c r="F63">
        <v>19.579772999999999</v>
      </c>
      <c r="G63">
        <v>19.663920999999998</v>
      </c>
      <c r="H63">
        <v>18.944963000000001</v>
      </c>
      <c r="I63">
        <v>17.784994000000001</v>
      </c>
      <c r="J63">
        <v>19.454176</v>
      </c>
      <c r="K63">
        <v>20.307431999999999</v>
      </c>
      <c r="L63">
        <v>20.564454999999999</v>
      </c>
      <c r="M63">
        <v>19.756419999999999</v>
      </c>
      <c r="N63">
        <v>19.980409999999999</v>
      </c>
      <c r="O63">
        <v>20.277819000000001</v>
      </c>
      <c r="P63">
        <v>20.295525000000001</v>
      </c>
      <c r="Q63">
        <v>19.845490999999999</v>
      </c>
      <c r="R63">
        <v>20.583196999999998</v>
      </c>
      <c r="S63">
        <v>16.898292999999999</v>
      </c>
      <c r="T63">
        <v>19.347238999999998</v>
      </c>
      <c r="U63">
        <v>18.559533999999999</v>
      </c>
      <c r="V63">
        <v>19.179033</v>
      </c>
      <c r="W63">
        <v>18.415651</v>
      </c>
      <c r="X63">
        <v>19.030016</v>
      </c>
      <c r="Y63">
        <v>21.309652</v>
      </c>
      <c r="Z63">
        <v>19.659925000000001</v>
      </c>
      <c r="AA63">
        <v>21.672160000000002</v>
      </c>
      <c r="AB63">
        <v>21.52852</v>
      </c>
      <c r="AC63">
        <v>19.065828</v>
      </c>
      <c r="AD63">
        <v>20.646947999999998</v>
      </c>
      <c r="AE63">
        <v>19.785435</v>
      </c>
      <c r="AF63">
        <v>22.700320000000001</v>
      </c>
      <c r="AG63">
        <v>21.405207000000001</v>
      </c>
    </row>
    <row r="64" spans="1:33" x14ac:dyDescent="0.25">
      <c r="A64" s="1">
        <v>44115</v>
      </c>
      <c r="B64">
        <v>19.442547000000001</v>
      </c>
      <c r="C64">
        <v>19.776841999999998</v>
      </c>
      <c r="D64">
        <v>19.640535</v>
      </c>
      <c r="E64">
        <v>19.274069000000001</v>
      </c>
      <c r="F64">
        <v>19.560400000000001</v>
      </c>
      <c r="G64">
        <v>19.588895999999998</v>
      </c>
      <c r="H64">
        <v>18.978612999999999</v>
      </c>
      <c r="I64">
        <v>17.866436</v>
      </c>
      <c r="J64">
        <v>19.470459999999999</v>
      </c>
      <c r="K64">
        <v>20.219950000000001</v>
      </c>
      <c r="L64">
        <v>20.407764</v>
      </c>
      <c r="M64">
        <v>19.701853</v>
      </c>
      <c r="N64">
        <v>19.841031999999998</v>
      </c>
      <c r="O64">
        <v>20.116655000000002</v>
      </c>
      <c r="P64">
        <v>20.183527000000002</v>
      </c>
      <c r="Q64">
        <v>19.784604999999999</v>
      </c>
      <c r="R64">
        <v>20.426552000000001</v>
      </c>
      <c r="S64">
        <v>17.134874</v>
      </c>
      <c r="T64">
        <v>19.207391999999999</v>
      </c>
      <c r="U64">
        <v>18.331289999999999</v>
      </c>
      <c r="V64">
        <v>19.03753</v>
      </c>
      <c r="W64">
        <v>18.104050000000001</v>
      </c>
      <c r="X64">
        <v>18.914114000000001</v>
      </c>
      <c r="Y64">
        <v>21.115448000000001</v>
      </c>
      <c r="Z64">
        <v>19.539850000000001</v>
      </c>
      <c r="AA64">
        <v>21.477540999999999</v>
      </c>
      <c r="AB64">
        <v>21.280107000000001</v>
      </c>
      <c r="AC64">
        <v>18.870712000000001</v>
      </c>
      <c r="AD64">
        <v>20.522732000000001</v>
      </c>
      <c r="AE64">
        <v>19.973303000000001</v>
      </c>
      <c r="AF64">
        <v>22.418661</v>
      </c>
      <c r="AG64">
        <v>21.150652000000001</v>
      </c>
    </row>
    <row r="65" spans="1:33" x14ac:dyDescent="0.25">
      <c r="A65" s="1">
        <v>44116</v>
      </c>
      <c r="B65">
        <v>19.476564</v>
      </c>
      <c r="C65">
        <v>19.744572000000002</v>
      </c>
      <c r="D65">
        <v>19.621884999999999</v>
      </c>
      <c r="E65">
        <v>19.266618999999999</v>
      </c>
      <c r="F65">
        <v>19.536985000000001</v>
      </c>
      <c r="G65">
        <v>19.548065000000001</v>
      </c>
      <c r="H65">
        <v>18.904394</v>
      </c>
      <c r="I65">
        <v>18.055917999999998</v>
      </c>
      <c r="J65">
        <v>19.353949</v>
      </c>
      <c r="K65">
        <v>20.082011999999999</v>
      </c>
      <c r="L65">
        <v>20.204267999999999</v>
      </c>
      <c r="M65">
        <v>19.656668</v>
      </c>
      <c r="N65">
        <v>19.700915999999999</v>
      </c>
      <c r="O65">
        <v>19.906351000000001</v>
      </c>
      <c r="P65">
        <v>20.064050000000002</v>
      </c>
      <c r="Q65">
        <v>19.714729999999999</v>
      </c>
      <c r="R65">
        <v>20.223939999999999</v>
      </c>
      <c r="S65">
        <v>17.035419999999998</v>
      </c>
      <c r="T65">
        <v>19.039034000000001</v>
      </c>
      <c r="U65">
        <v>18.10849</v>
      </c>
      <c r="V65">
        <v>18.933073</v>
      </c>
      <c r="W65">
        <v>18.035447999999999</v>
      </c>
      <c r="X65">
        <v>18.795608999999999</v>
      </c>
      <c r="Y65">
        <v>20.754937999999999</v>
      </c>
      <c r="Z65">
        <v>19.347636999999999</v>
      </c>
      <c r="AA65">
        <v>21.231918</v>
      </c>
      <c r="AB65">
        <v>20.863835999999999</v>
      </c>
      <c r="AC65">
        <v>18.424395000000001</v>
      </c>
      <c r="AD65">
        <v>20.344774000000001</v>
      </c>
      <c r="AE65">
        <v>19.844185</v>
      </c>
      <c r="AF65">
        <v>22.061653</v>
      </c>
      <c r="AG65">
        <v>20.815926000000001</v>
      </c>
    </row>
    <row r="66" spans="1:33" x14ac:dyDescent="0.25">
      <c r="A66" s="1">
        <v>44117</v>
      </c>
      <c r="B66">
        <v>19.589812999999999</v>
      </c>
      <c r="C66">
        <v>19.753332</v>
      </c>
      <c r="D66">
        <v>19.659071000000001</v>
      </c>
      <c r="E66">
        <v>19.333418000000002</v>
      </c>
      <c r="F66">
        <v>19.566507000000001</v>
      </c>
      <c r="G66">
        <v>19.538997999999999</v>
      </c>
      <c r="H66">
        <v>18.878786000000002</v>
      </c>
      <c r="I66">
        <v>18.309252000000001</v>
      </c>
      <c r="J66">
        <v>19.462965000000001</v>
      </c>
      <c r="K66">
        <v>20.056177000000002</v>
      </c>
      <c r="L66">
        <v>20.130869000000001</v>
      </c>
      <c r="M66">
        <v>19.648813000000001</v>
      </c>
      <c r="N66">
        <v>19.70252</v>
      </c>
      <c r="O66">
        <v>19.923594000000001</v>
      </c>
      <c r="P66">
        <v>20.032267000000001</v>
      </c>
      <c r="Q66">
        <v>19.683157000000001</v>
      </c>
      <c r="R66">
        <v>20.17436</v>
      </c>
      <c r="S66">
        <v>17.109255000000001</v>
      </c>
      <c r="T66">
        <v>19.020035</v>
      </c>
      <c r="U66">
        <v>18.141691000000002</v>
      </c>
      <c r="V66">
        <v>18.904692000000001</v>
      </c>
      <c r="W66">
        <v>18.082097999999998</v>
      </c>
      <c r="X66">
        <v>18.717694999999999</v>
      </c>
      <c r="Y66">
        <v>20.545317000000001</v>
      </c>
      <c r="Z66">
        <v>19.256640000000001</v>
      </c>
      <c r="AA66">
        <v>21.121765</v>
      </c>
      <c r="AB66">
        <v>20.679027999999999</v>
      </c>
      <c r="AC66">
        <v>18.066379999999999</v>
      </c>
      <c r="AD66">
        <v>20.219059999999999</v>
      </c>
      <c r="AE66">
        <v>19.935001</v>
      </c>
      <c r="AF66">
        <v>21.824007000000002</v>
      </c>
      <c r="AG66">
        <v>20.701483</v>
      </c>
    </row>
    <row r="67" spans="1:33" x14ac:dyDescent="0.25">
      <c r="A67" s="1">
        <v>44118</v>
      </c>
      <c r="B67">
        <v>19.762084999999999</v>
      </c>
      <c r="C67">
        <v>19.847947999999999</v>
      </c>
      <c r="D67">
        <v>19.815735</v>
      </c>
      <c r="E67">
        <v>19.511109999999999</v>
      </c>
      <c r="F67">
        <v>19.644966</v>
      </c>
      <c r="G67">
        <v>19.604620000000001</v>
      </c>
      <c r="H67">
        <v>18.978542000000001</v>
      </c>
      <c r="I67">
        <v>18.56861</v>
      </c>
      <c r="J67">
        <v>19.759892000000001</v>
      </c>
      <c r="K67">
        <v>20.089314999999999</v>
      </c>
      <c r="L67">
        <v>20.159541999999998</v>
      </c>
      <c r="M67">
        <v>19.715796000000001</v>
      </c>
      <c r="N67">
        <v>19.728245000000001</v>
      </c>
      <c r="O67">
        <v>19.983671000000001</v>
      </c>
      <c r="P67">
        <v>20.075126999999998</v>
      </c>
      <c r="Q67">
        <v>19.735555999999999</v>
      </c>
      <c r="R67">
        <v>20.143805</v>
      </c>
      <c r="S67">
        <v>17.473257</v>
      </c>
      <c r="T67">
        <v>19.060964999999999</v>
      </c>
      <c r="U67">
        <v>18.406637</v>
      </c>
      <c r="V67">
        <v>18.840109000000002</v>
      </c>
      <c r="W67">
        <v>17.927099999999999</v>
      </c>
      <c r="X67">
        <v>18.652752</v>
      </c>
      <c r="Y67">
        <v>20.581113999999999</v>
      </c>
      <c r="Z67">
        <v>19.331253</v>
      </c>
      <c r="AA67">
        <v>21.136232</v>
      </c>
      <c r="AB67">
        <v>20.693335000000001</v>
      </c>
      <c r="AC67">
        <v>17.925825</v>
      </c>
      <c r="AD67">
        <v>20.199422999999999</v>
      </c>
      <c r="AE67">
        <v>20.434923000000001</v>
      </c>
      <c r="AF67">
        <v>21.638770000000001</v>
      </c>
      <c r="AG67">
        <v>20.798314999999999</v>
      </c>
    </row>
    <row r="68" spans="1:33" x14ac:dyDescent="0.25">
      <c r="A68" s="1">
        <v>44119</v>
      </c>
      <c r="B68">
        <v>19.684429999999999</v>
      </c>
      <c r="C68">
        <v>19.842562000000001</v>
      </c>
      <c r="D68">
        <v>19.860973000000001</v>
      </c>
      <c r="E68">
        <v>19.532033999999999</v>
      </c>
      <c r="F68">
        <v>19.62379</v>
      </c>
      <c r="G68">
        <v>19.644314000000001</v>
      </c>
      <c r="H68">
        <v>19.059904</v>
      </c>
      <c r="I68">
        <v>18.773540000000001</v>
      </c>
      <c r="J68">
        <v>19.838063999999999</v>
      </c>
      <c r="K68">
        <v>20.049295000000001</v>
      </c>
      <c r="L68">
        <v>20.075289000000001</v>
      </c>
      <c r="M68">
        <v>19.737763999999999</v>
      </c>
      <c r="N68">
        <v>19.682402</v>
      </c>
      <c r="O68">
        <v>19.936662999999999</v>
      </c>
      <c r="P68">
        <v>20.059598999999999</v>
      </c>
      <c r="Q68">
        <v>19.752980999999998</v>
      </c>
      <c r="R68">
        <v>20.064513999999999</v>
      </c>
      <c r="S68">
        <v>17.514084</v>
      </c>
      <c r="T68">
        <v>18.994806000000001</v>
      </c>
      <c r="U68">
        <v>18.571159999999999</v>
      </c>
      <c r="V68">
        <v>18.775849999999998</v>
      </c>
      <c r="W68">
        <v>17.949057</v>
      </c>
      <c r="X68">
        <v>18.589334000000001</v>
      </c>
      <c r="Y68">
        <v>20.52497</v>
      </c>
      <c r="Z68">
        <v>19.299147000000001</v>
      </c>
      <c r="AA68">
        <v>21.039567999999999</v>
      </c>
      <c r="AB68">
        <v>20.617467999999999</v>
      </c>
      <c r="AC68">
        <v>17.809687</v>
      </c>
      <c r="AD68">
        <v>20.107073</v>
      </c>
      <c r="AE68">
        <v>20.237241999999998</v>
      </c>
      <c r="AF68">
        <v>21.334982</v>
      </c>
      <c r="AG68">
        <v>20.675032000000002</v>
      </c>
    </row>
    <row r="69" spans="1:33" x14ac:dyDescent="0.25">
      <c r="A69" s="1">
        <v>44120</v>
      </c>
      <c r="B69">
        <v>19.672529999999998</v>
      </c>
      <c r="C69">
        <v>19.858484000000001</v>
      </c>
      <c r="D69">
        <v>19.852442</v>
      </c>
      <c r="E69">
        <v>19.587251999999999</v>
      </c>
      <c r="F69">
        <v>19.586765</v>
      </c>
      <c r="G69">
        <v>19.624842000000001</v>
      </c>
      <c r="H69">
        <v>19.077780000000001</v>
      </c>
      <c r="I69">
        <v>18.935721999999998</v>
      </c>
      <c r="J69">
        <v>19.815441</v>
      </c>
      <c r="K69">
        <v>20.024104999999999</v>
      </c>
      <c r="L69">
        <v>20.047460000000001</v>
      </c>
      <c r="M69">
        <v>19.721111000000001</v>
      </c>
      <c r="N69">
        <v>19.684453999999999</v>
      </c>
      <c r="O69">
        <v>19.948913999999998</v>
      </c>
      <c r="P69">
        <v>20.047982999999999</v>
      </c>
      <c r="Q69">
        <v>19.748588999999999</v>
      </c>
      <c r="R69">
        <v>20.031030000000001</v>
      </c>
      <c r="S69">
        <v>17.583849000000001</v>
      </c>
      <c r="T69">
        <v>18.94679</v>
      </c>
      <c r="U69">
        <v>18.73067</v>
      </c>
      <c r="V69">
        <v>18.705832999999998</v>
      </c>
      <c r="W69">
        <v>18.160788</v>
      </c>
      <c r="X69">
        <v>18.475701999999998</v>
      </c>
      <c r="Y69">
        <v>20.428388999999999</v>
      </c>
      <c r="Z69">
        <v>19.283863</v>
      </c>
      <c r="AA69">
        <v>20.937139999999999</v>
      </c>
      <c r="AB69">
        <v>20.482078999999999</v>
      </c>
      <c r="AC69">
        <v>17.928963</v>
      </c>
      <c r="AD69">
        <v>20.048748</v>
      </c>
      <c r="AE69">
        <v>19.61628</v>
      </c>
      <c r="AF69">
        <v>21.172915</v>
      </c>
      <c r="AG69">
        <v>20.559951999999999</v>
      </c>
    </row>
    <row r="70" spans="1:33" x14ac:dyDescent="0.25">
      <c r="A70" s="1">
        <v>44121</v>
      </c>
      <c r="B70">
        <v>19.779302999999999</v>
      </c>
      <c r="C70">
        <v>19.859846000000001</v>
      </c>
      <c r="D70">
        <v>19.889101</v>
      </c>
      <c r="E70">
        <v>19.684698000000001</v>
      </c>
      <c r="F70">
        <v>19.57292</v>
      </c>
      <c r="G70">
        <v>19.589217999999999</v>
      </c>
      <c r="H70">
        <v>19.051632000000001</v>
      </c>
      <c r="I70">
        <v>18.929120000000001</v>
      </c>
      <c r="J70">
        <v>19.738876000000001</v>
      </c>
      <c r="K70">
        <v>19.981255999999998</v>
      </c>
      <c r="L70">
        <v>20.042570000000001</v>
      </c>
      <c r="M70">
        <v>19.696272</v>
      </c>
      <c r="N70">
        <v>19.674343</v>
      </c>
      <c r="O70">
        <v>19.960114000000001</v>
      </c>
      <c r="P70">
        <v>20.006504</v>
      </c>
      <c r="Q70">
        <v>19.722113</v>
      </c>
      <c r="R70">
        <v>20.014220000000002</v>
      </c>
      <c r="S70">
        <v>17.603027000000001</v>
      </c>
      <c r="T70">
        <v>18.935842999999998</v>
      </c>
      <c r="U70">
        <v>18.55818</v>
      </c>
      <c r="V70">
        <v>18.739509999999999</v>
      </c>
      <c r="W70">
        <v>18.192152</v>
      </c>
      <c r="X70">
        <v>18.513100000000001</v>
      </c>
      <c r="Y70">
        <v>20.365552999999998</v>
      </c>
      <c r="Z70">
        <v>19.30397</v>
      </c>
      <c r="AA70">
        <v>20.848185000000001</v>
      </c>
      <c r="AB70">
        <v>20.413139999999999</v>
      </c>
      <c r="AC70">
        <v>17.800386</v>
      </c>
      <c r="AD70">
        <v>20.028518999999999</v>
      </c>
      <c r="AE70">
        <v>18.917807</v>
      </c>
      <c r="AF70">
        <v>21.00469</v>
      </c>
      <c r="AG70">
        <v>20.534175999999999</v>
      </c>
    </row>
    <row r="71" spans="1:33" x14ac:dyDescent="0.25">
      <c r="A71" s="1">
        <v>44122</v>
      </c>
      <c r="B71">
        <v>19.837223000000002</v>
      </c>
      <c r="C71">
        <v>19.790037000000002</v>
      </c>
      <c r="D71">
        <v>19.868400000000001</v>
      </c>
      <c r="E71">
        <v>19.69943</v>
      </c>
      <c r="F71">
        <v>19.468843</v>
      </c>
      <c r="G71">
        <v>19.552499999999998</v>
      </c>
      <c r="H71">
        <v>18.974336999999998</v>
      </c>
      <c r="I71">
        <v>18.721803999999999</v>
      </c>
      <c r="J71">
        <v>19.766165000000001</v>
      </c>
      <c r="K71">
        <v>19.969473000000001</v>
      </c>
      <c r="L71">
        <v>20.045145000000002</v>
      </c>
      <c r="M71">
        <v>19.649372</v>
      </c>
      <c r="N71">
        <v>19.663765000000001</v>
      </c>
      <c r="O71">
        <v>19.880205</v>
      </c>
      <c r="P71">
        <v>19.997328</v>
      </c>
      <c r="Q71">
        <v>19.686350000000001</v>
      </c>
      <c r="R71">
        <v>19.982689000000001</v>
      </c>
      <c r="S71">
        <v>17.782727999999999</v>
      </c>
      <c r="T71">
        <v>18.991402000000001</v>
      </c>
      <c r="U71">
        <v>18.364370000000001</v>
      </c>
      <c r="V71">
        <v>18.891408999999999</v>
      </c>
      <c r="W71">
        <v>18.258696</v>
      </c>
      <c r="X71">
        <v>18.711349999999999</v>
      </c>
      <c r="Y71">
        <v>20.287704000000002</v>
      </c>
      <c r="Z71">
        <v>19.299185000000001</v>
      </c>
      <c r="AA71">
        <v>20.79318</v>
      </c>
      <c r="AB71">
        <v>20.386042</v>
      </c>
      <c r="AC71">
        <v>17.225556999999998</v>
      </c>
      <c r="AD71">
        <v>20.022652000000001</v>
      </c>
      <c r="AE71">
        <v>18.416036999999999</v>
      </c>
      <c r="AF71">
        <v>20.764647</v>
      </c>
      <c r="AG71">
        <v>20.526564</v>
      </c>
    </row>
    <row r="72" spans="1:33" x14ac:dyDescent="0.25">
      <c r="A72" s="1">
        <v>44123</v>
      </c>
      <c r="B72">
        <v>19.808969999999999</v>
      </c>
      <c r="C72">
        <v>19.733329999999999</v>
      </c>
      <c r="D72">
        <v>19.809286</v>
      </c>
      <c r="E72">
        <v>19.632729999999999</v>
      </c>
      <c r="F72">
        <v>19.383184</v>
      </c>
      <c r="G72">
        <v>19.486761000000001</v>
      </c>
      <c r="H72">
        <v>18.862144000000001</v>
      </c>
      <c r="I72">
        <v>18.489733000000001</v>
      </c>
      <c r="J72">
        <v>19.813807000000001</v>
      </c>
      <c r="K72">
        <v>19.9693</v>
      </c>
      <c r="L72">
        <v>20.062138000000001</v>
      </c>
      <c r="M72">
        <v>19.592161000000001</v>
      </c>
      <c r="N72">
        <v>19.640996999999999</v>
      </c>
      <c r="O72">
        <v>19.830010999999999</v>
      </c>
      <c r="P72">
        <v>19.986898</v>
      </c>
      <c r="Q72">
        <v>19.6313</v>
      </c>
      <c r="R72">
        <v>19.968368999999999</v>
      </c>
      <c r="S72">
        <v>17.92257</v>
      </c>
      <c r="T72">
        <v>19.075627999999998</v>
      </c>
      <c r="U72">
        <v>18.438828000000001</v>
      </c>
      <c r="V72">
        <v>18.989155</v>
      </c>
      <c r="W72">
        <v>18.224474000000001</v>
      </c>
      <c r="X72">
        <v>18.849646</v>
      </c>
      <c r="Y72">
        <v>20.077159999999999</v>
      </c>
      <c r="Z72">
        <v>19.352626999999998</v>
      </c>
      <c r="AA72">
        <v>20.773171999999999</v>
      </c>
      <c r="AB72">
        <v>20.401395999999998</v>
      </c>
      <c r="AC72">
        <v>18.584627000000001</v>
      </c>
      <c r="AD72">
        <v>20.038495999999999</v>
      </c>
      <c r="AE72">
        <v>18.070826</v>
      </c>
      <c r="AF72">
        <v>20.400407999999999</v>
      </c>
      <c r="AG72">
        <v>20.555955999999998</v>
      </c>
    </row>
    <row r="73" spans="1:33" x14ac:dyDescent="0.25">
      <c r="A73" s="1">
        <v>44124</v>
      </c>
      <c r="B73">
        <v>19.666989999999998</v>
      </c>
      <c r="C73">
        <v>19.627082999999999</v>
      </c>
      <c r="D73">
        <v>19.705183000000002</v>
      </c>
      <c r="E73">
        <v>19.490010999999999</v>
      </c>
      <c r="F73">
        <v>19.279209999999999</v>
      </c>
      <c r="G73">
        <v>19.394521999999998</v>
      </c>
      <c r="H73">
        <v>18.757898000000001</v>
      </c>
      <c r="I73">
        <v>18.317506999999999</v>
      </c>
      <c r="J73">
        <v>19.674596999999999</v>
      </c>
      <c r="K73">
        <v>19.908249999999999</v>
      </c>
      <c r="L73">
        <v>20.023599999999998</v>
      </c>
      <c r="M73">
        <v>19.514842999999999</v>
      </c>
      <c r="N73">
        <v>19.592590000000001</v>
      </c>
      <c r="O73">
        <v>19.777979999999999</v>
      </c>
      <c r="P73">
        <v>19.915030999999999</v>
      </c>
      <c r="Q73">
        <v>19.546942000000001</v>
      </c>
      <c r="R73">
        <v>19.908553999999999</v>
      </c>
      <c r="S73">
        <v>17.921102999999999</v>
      </c>
      <c r="T73">
        <v>19.10134</v>
      </c>
      <c r="U73">
        <v>18.348938</v>
      </c>
      <c r="V73">
        <v>18.979285999999998</v>
      </c>
      <c r="W73">
        <v>18.310756999999999</v>
      </c>
      <c r="X73">
        <v>18.838743000000001</v>
      </c>
      <c r="Y73">
        <v>19.802368000000001</v>
      </c>
      <c r="Z73">
        <v>19.344097000000001</v>
      </c>
      <c r="AA73">
        <v>20.684546000000001</v>
      </c>
      <c r="AB73">
        <v>20.347486</v>
      </c>
      <c r="AC73">
        <v>19.574311999999999</v>
      </c>
      <c r="AD73">
        <v>20.007038000000001</v>
      </c>
      <c r="AE73">
        <v>18.27186</v>
      </c>
      <c r="AF73">
        <v>19.924416999999998</v>
      </c>
      <c r="AG73">
        <v>20.460561999999999</v>
      </c>
    </row>
    <row r="74" spans="1:33" x14ac:dyDescent="0.25">
      <c r="A74" s="1">
        <v>44125</v>
      </c>
      <c r="B74">
        <v>19.531345000000002</v>
      </c>
      <c r="C74">
        <v>19.586096000000001</v>
      </c>
      <c r="D74">
        <v>19.55208</v>
      </c>
      <c r="E74">
        <v>19.282906000000001</v>
      </c>
      <c r="F74">
        <v>19.231674000000002</v>
      </c>
      <c r="G74">
        <v>19.292795000000002</v>
      </c>
      <c r="H74">
        <v>18.677064999999999</v>
      </c>
      <c r="I74">
        <v>18.190182</v>
      </c>
      <c r="J74">
        <v>19.407810000000001</v>
      </c>
      <c r="K74">
        <v>19.795034000000001</v>
      </c>
      <c r="L74">
        <v>19.910307</v>
      </c>
      <c r="M74">
        <v>19.42004</v>
      </c>
      <c r="N74">
        <v>19.530850999999998</v>
      </c>
      <c r="O74">
        <v>19.686820000000001</v>
      </c>
      <c r="P74">
        <v>19.783287000000001</v>
      </c>
      <c r="Q74">
        <v>19.441744</v>
      </c>
      <c r="R74">
        <v>19.806746</v>
      </c>
      <c r="S74">
        <v>17.703009999999999</v>
      </c>
      <c r="T74">
        <v>19.026516000000001</v>
      </c>
      <c r="U74">
        <v>18.270040000000002</v>
      </c>
      <c r="V74">
        <v>18.819868</v>
      </c>
      <c r="W74">
        <v>18.47709</v>
      </c>
      <c r="X74">
        <v>18.620177999999999</v>
      </c>
      <c r="Y74">
        <v>19.533846</v>
      </c>
      <c r="Z74">
        <v>19.258254999999998</v>
      </c>
      <c r="AA74">
        <v>20.522642000000001</v>
      </c>
      <c r="AB74">
        <v>20.076605000000001</v>
      </c>
      <c r="AC74">
        <v>19.228508000000001</v>
      </c>
      <c r="AD74">
        <v>19.90616</v>
      </c>
      <c r="AE74">
        <v>18.585709999999999</v>
      </c>
      <c r="AF74">
        <v>19.450984999999999</v>
      </c>
      <c r="AG74">
        <v>20.2546</v>
      </c>
    </row>
    <row r="75" spans="1:33" x14ac:dyDescent="0.25">
      <c r="A75" s="1">
        <v>44126</v>
      </c>
      <c r="B75">
        <v>19.397000999999999</v>
      </c>
      <c r="C75">
        <v>19.491876999999999</v>
      </c>
      <c r="D75">
        <v>19.406317000000001</v>
      </c>
      <c r="E75">
        <v>19.137841999999999</v>
      </c>
      <c r="F75">
        <v>19.230281999999999</v>
      </c>
      <c r="G75">
        <v>19.239151</v>
      </c>
      <c r="H75">
        <v>18.619122999999998</v>
      </c>
      <c r="I75">
        <v>18.178502999999999</v>
      </c>
      <c r="J75">
        <v>19.196757999999999</v>
      </c>
      <c r="K75">
        <v>19.686537000000001</v>
      </c>
      <c r="L75">
        <v>19.767662000000001</v>
      </c>
      <c r="M75">
        <v>19.347857000000001</v>
      </c>
      <c r="N75">
        <v>19.458919999999999</v>
      </c>
      <c r="O75">
        <v>19.600429999999999</v>
      </c>
      <c r="P75">
        <v>19.669916000000001</v>
      </c>
      <c r="Q75">
        <v>19.390163000000001</v>
      </c>
      <c r="R75">
        <v>19.694465999999998</v>
      </c>
      <c r="S75">
        <v>17.427569999999999</v>
      </c>
      <c r="T75">
        <v>18.887892000000001</v>
      </c>
      <c r="U75">
        <v>18.219125999999999</v>
      </c>
      <c r="V75">
        <v>18.568284999999999</v>
      </c>
      <c r="W75">
        <v>18.466380000000001</v>
      </c>
      <c r="X75">
        <v>18.371931</v>
      </c>
      <c r="Y75">
        <v>19.655484999999999</v>
      </c>
      <c r="Z75">
        <v>19.111944000000001</v>
      </c>
      <c r="AA75">
        <v>20.316573999999999</v>
      </c>
      <c r="AB75">
        <v>19.873557999999999</v>
      </c>
      <c r="AC75">
        <v>18.590447999999999</v>
      </c>
      <c r="AD75">
        <v>19.774999999999999</v>
      </c>
      <c r="AE75">
        <v>18.357372000000002</v>
      </c>
      <c r="AF75">
        <v>19.210386</v>
      </c>
      <c r="AG75">
        <v>19.996447</v>
      </c>
    </row>
    <row r="76" spans="1:33" x14ac:dyDescent="0.25">
      <c r="A76" s="1">
        <v>44127</v>
      </c>
      <c r="B76">
        <v>18.892527000000001</v>
      </c>
      <c r="C76">
        <v>19.155353999999999</v>
      </c>
      <c r="D76">
        <v>19.054324999999999</v>
      </c>
      <c r="E76">
        <v>18.784517000000001</v>
      </c>
      <c r="F76">
        <v>18.908308000000002</v>
      </c>
      <c r="G76">
        <v>19.029959000000002</v>
      </c>
      <c r="H76">
        <v>18.410934000000001</v>
      </c>
      <c r="I76">
        <v>17.700523</v>
      </c>
      <c r="J76">
        <v>18.536567999999999</v>
      </c>
      <c r="K76">
        <v>19.340257999999999</v>
      </c>
      <c r="L76">
        <v>19.425363999999998</v>
      </c>
      <c r="M76">
        <v>19.084091000000001</v>
      </c>
      <c r="N76">
        <v>19.132474999999999</v>
      </c>
      <c r="O76">
        <v>19.312674999999999</v>
      </c>
      <c r="P76">
        <v>19.330767000000002</v>
      </c>
      <c r="Q76">
        <v>19.176493000000001</v>
      </c>
      <c r="R76">
        <v>19.43112</v>
      </c>
      <c r="S76">
        <v>16.413831999999999</v>
      </c>
      <c r="T76">
        <v>18.487615999999999</v>
      </c>
      <c r="U76">
        <v>17.981829999999999</v>
      </c>
      <c r="V76">
        <v>18.199338999999998</v>
      </c>
      <c r="W76">
        <v>18.11946</v>
      </c>
      <c r="X76">
        <v>18.072168000000001</v>
      </c>
      <c r="Y76">
        <v>19.397192</v>
      </c>
      <c r="Z76">
        <v>18.680153000000001</v>
      </c>
      <c r="AA76">
        <v>19.890067999999999</v>
      </c>
      <c r="AB76">
        <v>19.521073999999999</v>
      </c>
      <c r="AC76">
        <v>17.314854</v>
      </c>
      <c r="AD76">
        <v>19.473278000000001</v>
      </c>
      <c r="AE76">
        <v>17.343447000000001</v>
      </c>
      <c r="AF76">
        <v>19.181158</v>
      </c>
      <c r="AG76">
        <v>19.40973</v>
      </c>
    </row>
    <row r="77" spans="1:33" x14ac:dyDescent="0.25">
      <c r="A77" s="1">
        <v>44128</v>
      </c>
      <c r="B77">
        <v>18.311869999999999</v>
      </c>
      <c r="C77">
        <v>18.730468999999999</v>
      </c>
      <c r="D77">
        <v>18.591467000000002</v>
      </c>
      <c r="E77">
        <v>18.320183</v>
      </c>
      <c r="F77">
        <v>18.414536999999999</v>
      </c>
      <c r="G77">
        <v>18.677413999999999</v>
      </c>
      <c r="H77">
        <v>18.089729999999999</v>
      </c>
      <c r="I77">
        <v>16.814657</v>
      </c>
      <c r="J77">
        <v>17.975453999999999</v>
      </c>
      <c r="K77">
        <v>18.962612</v>
      </c>
      <c r="L77">
        <v>19.099921999999999</v>
      </c>
      <c r="M77">
        <v>18.706482000000001</v>
      </c>
      <c r="N77">
        <v>18.690837999999999</v>
      </c>
      <c r="O77">
        <v>19.013929999999998</v>
      </c>
      <c r="P77">
        <v>18.953150000000001</v>
      </c>
      <c r="Q77">
        <v>18.810175000000001</v>
      </c>
      <c r="R77">
        <v>19.164204000000002</v>
      </c>
      <c r="S77">
        <v>15.560981</v>
      </c>
      <c r="T77">
        <v>18.064411</v>
      </c>
      <c r="U77">
        <v>17.842665</v>
      </c>
      <c r="V77">
        <v>17.993480000000002</v>
      </c>
      <c r="W77">
        <v>17.735776999999999</v>
      </c>
      <c r="X77">
        <v>17.943811</v>
      </c>
      <c r="Y77">
        <v>18.973549999999999</v>
      </c>
      <c r="Z77">
        <v>18.234787000000001</v>
      </c>
      <c r="AA77">
        <v>19.553104000000001</v>
      </c>
      <c r="AB77">
        <v>19.125872000000001</v>
      </c>
      <c r="AC77">
        <v>16.201805</v>
      </c>
      <c r="AD77">
        <v>19.192969999999999</v>
      </c>
      <c r="AE77">
        <v>16.566583999999999</v>
      </c>
      <c r="AF77">
        <v>19.270575000000001</v>
      </c>
      <c r="AG77">
        <v>19.03576</v>
      </c>
    </row>
    <row r="78" spans="1:33" x14ac:dyDescent="0.25">
      <c r="A78" s="1">
        <v>44129</v>
      </c>
      <c r="B78">
        <v>17.832373</v>
      </c>
      <c r="C78">
        <v>18.340824000000001</v>
      </c>
      <c r="D78">
        <v>18.094090999999999</v>
      </c>
      <c r="E78">
        <v>17.876643999999999</v>
      </c>
      <c r="F78">
        <v>18.082280999999998</v>
      </c>
      <c r="G78">
        <v>18.371378</v>
      </c>
      <c r="H78">
        <v>17.864167999999999</v>
      </c>
      <c r="I78">
        <v>16.279150000000001</v>
      </c>
      <c r="J78">
        <v>17.448408000000001</v>
      </c>
      <c r="K78">
        <v>18.615320000000001</v>
      </c>
      <c r="L78">
        <v>18.751494999999998</v>
      </c>
      <c r="M78">
        <v>18.389337999999999</v>
      </c>
      <c r="N78">
        <v>18.255773999999999</v>
      </c>
      <c r="O78">
        <v>18.592252999999999</v>
      </c>
      <c r="P78">
        <v>18.621262000000002</v>
      </c>
      <c r="Q78">
        <v>18.482683000000002</v>
      </c>
      <c r="R78">
        <v>18.817186</v>
      </c>
      <c r="S78">
        <v>14.917999999999999</v>
      </c>
      <c r="T78">
        <v>17.614874</v>
      </c>
      <c r="U78">
        <v>17.450641999999998</v>
      </c>
      <c r="V78">
        <v>17.633333</v>
      </c>
      <c r="W78">
        <v>17.050560000000001</v>
      </c>
      <c r="X78">
        <v>17.600023</v>
      </c>
      <c r="Y78">
        <v>18.485575000000001</v>
      </c>
      <c r="Z78">
        <v>17.787801999999999</v>
      </c>
      <c r="AA78">
        <v>19.223288</v>
      </c>
      <c r="AB78">
        <v>18.759720000000002</v>
      </c>
      <c r="AC78">
        <v>15.280217</v>
      </c>
      <c r="AD78">
        <v>18.877493000000001</v>
      </c>
      <c r="AE78">
        <v>15.918663</v>
      </c>
      <c r="AF78">
        <v>19.183129999999998</v>
      </c>
      <c r="AG78">
        <v>18.681723000000002</v>
      </c>
    </row>
    <row r="79" spans="1:33" x14ac:dyDescent="0.25">
      <c r="A79" s="1">
        <v>44130</v>
      </c>
      <c r="B79">
        <v>15.981889000000001</v>
      </c>
      <c r="C79">
        <v>17.022518000000002</v>
      </c>
      <c r="D79">
        <v>16.591042000000002</v>
      </c>
      <c r="E79">
        <v>16.31673</v>
      </c>
      <c r="F79">
        <v>16.945516999999999</v>
      </c>
      <c r="G79">
        <v>17.638300000000001</v>
      </c>
      <c r="H79">
        <v>17.162043000000001</v>
      </c>
      <c r="I79">
        <v>14.780659</v>
      </c>
      <c r="J79">
        <v>15.596059</v>
      </c>
      <c r="K79">
        <v>17.478691000000001</v>
      </c>
      <c r="L79">
        <v>17.548325999999999</v>
      </c>
      <c r="M79">
        <v>17.603232999999999</v>
      </c>
      <c r="N79">
        <v>17.014818000000002</v>
      </c>
      <c r="O79">
        <v>17.312391000000002</v>
      </c>
      <c r="P79">
        <v>17.610420000000001</v>
      </c>
      <c r="Q79">
        <v>17.545414000000001</v>
      </c>
      <c r="R79">
        <v>17.631388000000001</v>
      </c>
      <c r="S79">
        <v>12.909079999999999</v>
      </c>
      <c r="T79">
        <v>16.052088000000001</v>
      </c>
      <c r="U79">
        <v>16.086632000000002</v>
      </c>
      <c r="V79">
        <v>16.222380000000001</v>
      </c>
      <c r="W79">
        <v>15.663012500000001</v>
      </c>
      <c r="X79">
        <v>16.223928000000001</v>
      </c>
      <c r="Y79">
        <v>16.941196000000001</v>
      </c>
      <c r="Z79">
        <v>16.523539</v>
      </c>
      <c r="AA79">
        <v>18.206724000000001</v>
      </c>
      <c r="AB79">
        <v>17.652650000000001</v>
      </c>
      <c r="AC79">
        <v>14.786916</v>
      </c>
      <c r="AD79">
        <v>17.877285000000001</v>
      </c>
      <c r="AE79">
        <v>14.133785</v>
      </c>
      <c r="AF79">
        <v>17.912565000000001</v>
      </c>
      <c r="AG79">
        <v>17.399125999999999</v>
      </c>
    </row>
    <row r="80" spans="1:33" x14ac:dyDescent="0.25">
      <c r="A80" s="1">
        <v>44131</v>
      </c>
      <c r="B80">
        <v>15.841590999999999</v>
      </c>
      <c r="C80">
        <v>16.938972</v>
      </c>
      <c r="D80">
        <v>15.858784999999999</v>
      </c>
      <c r="E80">
        <v>15.930139</v>
      </c>
      <c r="F80">
        <v>16.807259999999999</v>
      </c>
      <c r="G80">
        <v>17.176119</v>
      </c>
      <c r="H80">
        <v>16.771063000000002</v>
      </c>
      <c r="I80">
        <v>14.719542499999999</v>
      </c>
      <c r="J80">
        <v>14.902272</v>
      </c>
      <c r="K80">
        <v>17.022402</v>
      </c>
      <c r="L80">
        <v>17.100714</v>
      </c>
      <c r="M80">
        <v>17.171614000000002</v>
      </c>
      <c r="N80">
        <v>16.726728000000001</v>
      </c>
      <c r="O80">
        <v>16.917449999999999</v>
      </c>
      <c r="P80">
        <v>17.108799999999999</v>
      </c>
      <c r="Q80">
        <v>17.146746</v>
      </c>
      <c r="R80">
        <v>17.266006000000001</v>
      </c>
      <c r="S80">
        <v>11.768592999999999</v>
      </c>
      <c r="T80">
        <v>15.532704000000001</v>
      </c>
      <c r="U80">
        <v>15.33422</v>
      </c>
      <c r="V80">
        <v>15.770975999999999</v>
      </c>
      <c r="W80">
        <v>14.972538999999999</v>
      </c>
      <c r="X80">
        <v>15.704198</v>
      </c>
      <c r="Y80">
        <v>16.026730000000001</v>
      </c>
      <c r="Z80">
        <v>15.868617</v>
      </c>
      <c r="AA80">
        <v>17.6021</v>
      </c>
      <c r="AB80">
        <v>16.726144999999999</v>
      </c>
      <c r="AC80">
        <v>13.991165000000001</v>
      </c>
      <c r="AD80">
        <v>17.326895</v>
      </c>
      <c r="AE80">
        <v>13.766609000000001</v>
      </c>
      <c r="AF80">
        <v>16.543641999999998</v>
      </c>
      <c r="AG80">
        <v>16.772375</v>
      </c>
    </row>
    <row r="81" spans="1:33" x14ac:dyDescent="0.25">
      <c r="A81" s="1">
        <v>44132</v>
      </c>
      <c r="B81">
        <v>15.732654999999999</v>
      </c>
      <c r="C81">
        <v>16.899619999999999</v>
      </c>
      <c r="D81">
        <v>15.705852999999999</v>
      </c>
      <c r="E81">
        <v>15.745865999999999</v>
      </c>
      <c r="F81">
        <v>16.72504</v>
      </c>
      <c r="G81">
        <v>16.949297000000001</v>
      </c>
      <c r="H81">
        <v>16.546500000000002</v>
      </c>
      <c r="I81">
        <v>15.012370000000001</v>
      </c>
      <c r="J81">
        <v>14.852136</v>
      </c>
      <c r="K81">
        <v>16.806273000000001</v>
      </c>
      <c r="L81">
        <v>16.871303999999999</v>
      </c>
      <c r="M81">
        <v>16.959883000000001</v>
      </c>
      <c r="N81">
        <v>16.551024999999999</v>
      </c>
      <c r="O81">
        <v>16.726113999999999</v>
      </c>
      <c r="P81">
        <v>16.878381999999998</v>
      </c>
      <c r="Q81">
        <v>16.943052000000002</v>
      </c>
      <c r="R81">
        <v>17.038430000000002</v>
      </c>
      <c r="S81">
        <v>11.688687</v>
      </c>
      <c r="T81">
        <v>15.247387</v>
      </c>
      <c r="U81">
        <v>14.911625000000001</v>
      </c>
      <c r="V81">
        <v>15.570966</v>
      </c>
      <c r="W81">
        <v>14.040753</v>
      </c>
      <c r="X81">
        <v>15.494210000000001</v>
      </c>
      <c r="Y81">
        <v>15.612193</v>
      </c>
      <c r="Z81">
        <v>15.541537</v>
      </c>
      <c r="AA81">
        <v>17.269839999999999</v>
      </c>
      <c r="AB81">
        <v>16.527939</v>
      </c>
      <c r="AC81">
        <v>12.753995</v>
      </c>
      <c r="AD81">
        <v>17.028309</v>
      </c>
      <c r="AE81">
        <v>14.070952999999999</v>
      </c>
      <c r="AF81">
        <v>15.665991999999999</v>
      </c>
      <c r="AG81">
        <v>16.533852</v>
      </c>
    </row>
    <row r="82" spans="1:33" x14ac:dyDescent="0.25">
      <c r="A82" s="1">
        <v>44133</v>
      </c>
      <c r="B82">
        <v>15.597099999999999</v>
      </c>
      <c r="C82">
        <v>16.741346</v>
      </c>
      <c r="D82">
        <v>15.777183000000001</v>
      </c>
      <c r="E82">
        <v>15.606488000000001</v>
      </c>
      <c r="F82">
        <v>16.593164000000002</v>
      </c>
      <c r="G82">
        <v>16.79955</v>
      </c>
      <c r="H82">
        <v>16.414497000000001</v>
      </c>
      <c r="I82">
        <v>15.092696999999999</v>
      </c>
      <c r="J82">
        <v>14.7497015</v>
      </c>
      <c r="K82">
        <v>16.612030000000001</v>
      </c>
      <c r="L82">
        <v>16.624704000000001</v>
      </c>
      <c r="M82">
        <v>16.813541000000001</v>
      </c>
      <c r="N82">
        <v>16.360973000000001</v>
      </c>
      <c r="O82">
        <v>16.581613999999998</v>
      </c>
      <c r="P82">
        <v>16.675612999999998</v>
      </c>
      <c r="Q82">
        <v>16.798466000000001</v>
      </c>
      <c r="R82">
        <v>16.815569</v>
      </c>
      <c r="S82">
        <v>11.653919</v>
      </c>
      <c r="T82">
        <v>15.034344000000001</v>
      </c>
      <c r="U82">
        <v>14.738095</v>
      </c>
      <c r="V82">
        <v>15.214252</v>
      </c>
      <c r="W82">
        <v>13.900399</v>
      </c>
      <c r="X82">
        <v>15.134475</v>
      </c>
      <c r="Y82">
        <v>15.468045</v>
      </c>
      <c r="Z82">
        <v>15.36284</v>
      </c>
      <c r="AA82">
        <v>16.979502</v>
      </c>
      <c r="AB82">
        <v>16.29637</v>
      </c>
      <c r="AC82">
        <v>12.558925</v>
      </c>
      <c r="AD82">
        <v>16.770682999999998</v>
      </c>
      <c r="AE82">
        <v>14.351748000000001</v>
      </c>
      <c r="AF82">
        <v>15.360305</v>
      </c>
      <c r="AG82">
        <v>16.302040000000002</v>
      </c>
    </row>
    <row r="83" spans="1:33" x14ac:dyDescent="0.25">
      <c r="A83" s="1">
        <v>44134</v>
      </c>
      <c r="B83">
        <v>15.546253999999999</v>
      </c>
      <c r="C83">
        <v>16.616258999999999</v>
      </c>
      <c r="D83">
        <v>15.886559500000001</v>
      </c>
      <c r="E83">
        <v>15.543359000000001</v>
      </c>
      <c r="F83">
        <v>16.407209999999999</v>
      </c>
      <c r="G83">
        <v>16.641992999999999</v>
      </c>
      <c r="H83">
        <v>16.299759000000002</v>
      </c>
      <c r="I83">
        <v>15.048477</v>
      </c>
      <c r="J83">
        <v>14.765293</v>
      </c>
      <c r="K83">
        <v>16.455746000000001</v>
      </c>
      <c r="L83">
        <v>16.482412</v>
      </c>
      <c r="M83">
        <v>16.6496</v>
      </c>
      <c r="N83">
        <v>16.167442000000001</v>
      </c>
      <c r="O83">
        <v>16.498536999999999</v>
      </c>
      <c r="P83">
        <v>16.502958</v>
      </c>
      <c r="Q83">
        <v>16.644632000000001</v>
      </c>
      <c r="R83">
        <v>16.677885</v>
      </c>
      <c r="S83">
        <v>11.74507</v>
      </c>
      <c r="T83">
        <v>14.867972999999999</v>
      </c>
      <c r="U83">
        <v>14.769977000000001</v>
      </c>
      <c r="V83">
        <v>14.789781</v>
      </c>
      <c r="W83">
        <v>13.867448</v>
      </c>
      <c r="X83">
        <v>14.58038</v>
      </c>
      <c r="Y83">
        <v>15.375977000000001</v>
      </c>
      <c r="Z83">
        <v>15.310957999999999</v>
      </c>
      <c r="AA83">
        <v>16.825144000000002</v>
      </c>
      <c r="AB83">
        <v>16.079000000000001</v>
      </c>
      <c r="AC83">
        <v>12.441082</v>
      </c>
      <c r="AD83">
        <v>16.591925</v>
      </c>
      <c r="AE83">
        <v>14.244173999999999</v>
      </c>
      <c r="AF83">
        <v>15.268837</v>
      </c>
      <c r="AG83">
        <v>16.242117</v>
      </c>
    </row>
    <row r="84" spans="1:33" x14ac:dyDescent="0.25">
      <c r="A84" s="1">
        <v>44135</v>
      </c>
      <c r="B84">
        <v>15.512832</v>
      </c>
      <c r="C84">
        <v>16.477540999999999</v>
      </c>
      <c r="D84">
        <v>15.990859</v>
      </c>
      <c r="E84">
        <v>15.532403</v>
      </c>
      <c r="F84">
        <v>16.306356000000001</v>
      </c>
      <c r="G84">
        <v>16.493189000000001</v>
      </c>
      <c r="H84">
        <v>16.210046999999999</v>
      </c>
      <c r="I84">
        <v>15.075021</v>
      </c>
      <c r="J84">
        <v>14.774582000000001</v>
      </c>
      <c r="K84">
        <v>16.324202</v>
      </c>
      <c r="L84">
        <v>16.343952000000002</v>
      </c>
      <c r="M84">
        <v>16.509779000000002</v>
      </c>
      <c r="N84">
        <v>16.003166</v>
      </c>
      <c r="O84">
        <v>16.324843999999999</v>
      </c>
      <c r="P84">
        <v>16.359797</v>
      </c>
      <c r="Q84">
        <v>16.494039999999998</v>
      </c>
      <c r="R84">
        <v>16.515718</v>
      </c>
      <c r="S84">
        <v>11.935501</v>
      </c>
      <c r="T84">
        <v>14.681801</v>
      </c>
      <c r="U84">
        <v>14.269869999999999</v>
      </c>
      <c r="V84">
        <v>14.415668</v>
      </c>
      <c r="W84">
        <v>13.735135</v>
      </c>
      <c r="X84">
        <v>14.124212999999999</v>
      </c>
      <c r="Y84">
        <v>14.97885</v>
      </c>
      <c r="Z84">
        <v>15.263548999999999</v>
      </c>
      <c r="AA84">
        <v>16.687674999999999</v>
      </c>
      <c r="AB84">
        <v>15.84632</v>
      </c>
      <c r="AC84">
        <v>12.226456000000001</v>
      </c>
      <c r="AD84">
        <v>16.429544</v>
      </c>
      <c r="AE84">
        <v>14.402411000000001</v>
      </c>
      <c r="AF84">
        <v>14.871487999999999</v>
      </c>
      <c r="AG84">
        <v>16.131983000000002</v>
      </c>
    </row>
    <row r="85" spans="1:33" x14ac:dyDescent="0.25">
      <c r="A85" s="1">
        <v>44136</v>
      </c>
      <c r="B85">
        <v>15.525558999999999</v>
      </c>
      <c r="C85">
        <v>16.449052999999999</v>
      </c>
      <c r="D85">
        <v>16.098053</v>
      </c>
      <c r="E85">
        <v>15.596985999999999</v>
      </c>
      <c r="F85">
        <v>16.290934</v>
      </c>
      <c r="G85">
        <v>16.429967999999999</v>
      </c>
      <c r="H85">
        <v>16.217697000000001</v>
      </c>
      <c r="I85">
        <v>15.328079000000001</v>
      </c>
      <c r="J85">
        <v>14.869332</v>
      </c>
      <c r="K85">
        <v>16.249687000000002</v>
      </c>
      <c r="L85">
        <v>16.265080999999999</v>
      </c>
      <c r="M85">
        <v>16.455276000000001</v>
      </c>
      <c r="N85">
        <v>15.913423</v>
      </c>
      <c r="O85">
        <v>16.108502999999999</v>
      </c>
      <c r="P85">
        <v>16.279865000000001</v>
      </c>
      <c r="Q85">
        <v>16.417767999999999</v>
      </c>
      <c r="R85">
        <v>16.371939999999999</v>
      </c>
      <c r="S85">
        <v>12.1446085</v>
      </c>
      <c r="T85">
        <v>14.58624</v>
      </c>
      <c r="U85">
        <v>13.834441999999999</v>
      </c>
      <c r="V85">
        <v>14.480734999999999</v>
      </c>
      <c r="W85">
        <v>13.983848</v>
      </c>
      <c r="X85">
        <v>14.2563925</v>
      </c>
      <c r="Y85">
        <v>14.635702999999999</v>
      </c>
      <c r="Z85">
        <v>15.20485</v>
      </c>
      <c r="AA85">
        <v>16.587810000000001</v>
      </c>
      <c r="AB85">
        <v>15.657424000000001</v>
      </c>
      <c r="AC85">
        <v>12.274642</v>
      </c>
      <c r="AD85">
        <v>16.310289999999998</v>
      </c>
      <c r="AE85">
        <v>14.382268</v>
      </c>
      <c r="AF85">
        <v>14.37222</v>
      </c>
      <c r="AG85">
        <v>16.056097000000001</v>
      </c>
    </row>
    <row r="86" spans="1:33" x14ac:dyDescent="0.25">
      <c r="A86" s="1">
        <v>44137</v>
      </c>
      <c r="B86">
        <v>15.523391</v>
      </c>
      <c r="C86">
        <v>16.356842</v>
      </c>
      <c r="D86">
        <v>16.115065000000001</v>
      </c>
      <c r="E86">
        <v>15.658078</v>
      </c>
      <c r="F86">
        <v>16.207535</v>
      </c>
      <c r="G86">
        <v>16.361184999999999</v>
      </c>
      <c r="H86">
        <v>16.209738000000002</v>
      </c>
      <c r="I86">
        <v>15.473042</v>
      </c>
      <c r="J86">
        <v>14.873206</v>
      </c>
      <c r="K86">
        <v>16.156549999999999</v>
      </c>
      <c r="L86">
        <v>16.142954</v>
      </c>
      <c r="M86">
        <v>16.381347999999999</v>
      </c>
      <c r="N86">
        <v>15.829784999999999</v>
      </c>
      <c r="O86">
        <v>15.931702</v>
      </c>
      <c r="P86">
        <v>16.181276</v>
      </c>
      <c r="Q86">
        <v>16.340928999999999</v>
      </c>
      <c r="R86">
        <v>16.198720000000002</v>
      </c>
      <c r="S86">
        <v>12.2362795</v>
      </c>
      <c r="T86">
        <v>14.53619</v>
      </c>
      <c r="U86">
        <v>14.104960999999999</v>
      </c>
      <c r="V86">
        <v>14.432292</v>
      </c>
      <c r="W86">
        <v>14.158118999999999</v>
      </c>
      <c r="X86">
        <v>14.180168999999999</v>
      </c>
      <c r="Y86">
        <v>14.377571</v>
      </c>
      <c r="Z86">
        <v>15.082807000000001</v>
      </c>
      <c r="AA86">
        <v>16.453157000000001</v>
      </c>
      <c r="AB86">
        <v>15.435306000000001</v>
      </c>
      <c r="AC86">
        <v>12.513968</v>
      </c>
      <c r="AD86">
        <v>16.171624999999999</v>
      </c>
      <c r="AE86">
        <v>14.316967</v>
      </c>
      <c r="AF86">
        <v>13.875999</v>
      </c>
      <c r="AG86">
        <v>15.782551</v>
      </c>
    </row>
    <row r="87" spans="1:33" x14ac:dyDescent="0.25">
      <c r="A87" s="1">
        <v>44138</v>
      </c>
      <c r="B87">
        <v>15.575097</v>
      </c>
      <c r="C87">
        <v>16.238810000000001</v>
      </c>
      <c r="D87">
        <v>16.059462</v>
      </c>
      <c r="E87">
        <v>15.691737</v>
      </c>
      <c r="F87">
        <v>16.066344999999998</v>
      </c>
      <c r="G87">
        <v>16.264945999999998</v>
      </c>
      <c r="H87">
        <v>16.117114999999998</v>
      </c>
      <c r="I87">
        <v>15.268848999999999</v>
      </c>
      <c r="J87">
        <v>14.954561999999999</v>
      </c>
      <c r="K87">
        <v>16.062463999999999</v>
      </c>
      <c r="L87">
        <v>16.03866</v>
      </c>
      <c r="M87">
        <v>16.273973000000002</v>
      </c>
      <c r="N87">
        <v>15.749390999999999</v>
      </c>
      <c r="O87">
        <v>15.903798</v>
      </c>
      <c r="P87">
        <v>16.088145999999998</v>
      </c>
      <c r="Q87">
        <v>16.246845</v>
      </c>
      <c r="R87">
        <v>16.101889</v>
      </c>
      <c r="S87">
        <v>12.427429999999999</v>
      </c>
      <c r="T87">
        <v>14.522359</v>
      </c>
      <c r="U87">
        <v>14.188725</v>
      </c>
      <c r="V87">
        <v>14.312345000000001</v>
      </c>
      <c r="W87">
        <v>14.185097000000001</v>
      </c>
      <c r="X87">
        <v>14.035447</v>
      </c>
      <c r="Y87">
        <v>14.255489000000001</v>
      </c>
      <c r="Z87">
        <v>15.036954</v>
      </c>
      <c r="AA87">
        <v>16.325890000000001</v>
      </c>
      <c r="AB87">
        <v>15.105592</v>
      </c>
      <c r="AC87">
        <v>12.803988</v>
      </c>
      <c r="AD87">
        <v>16.064283</v>
      </c>
      <c r="AE87">
        <v>14.651138</v>
      </c>
      <c r="AF87">
        <v>13.587213</v>
      </c>
      <c r="AG87">
        <v>15.715923999999999</v>
      </c>
    </row>
    <row r="88" spans="1:33" x14ac:dyDescent="0.25">
      <c r="A88" s="1">
        <v>44139</v>
      </c>
      <c r="B88">
        <v>15.579136999999999</v>
      </c>
      <c r="C88">
        <v>16.207502000000002</v>
      </c>
      <c r="D88">
        <v>15.989193999999999</v>
      </c>
      <c r="E88">
        <v>15.630666</v>
      </c>
      <c r="F88">
        <v>16.075711999999999</v>
      </c>
      <c r="G88">
        <v>16.149054</v>
      </c>
      <c r="H88">
        <v>16.062957999999998</v>
      </c>
      <c r="I88">
        <v>15.163798999999999</v>
      </c>
      <c r="J88">
        <v>14.987926</v>
      </c>
      <c r="K88">
        <v>15.975056</v>
      </c>
      <c r="L88">
        <v>15.967333999999999</v>
      </c>
      <c r="M88">
        <v>16.194974999999999</v>
      </c>
      <c r="N88">
        <v>15.637013</v>
      </c>
      <c r="O88">
        <v>15.853417</v>
      </c>
      <c r="P88">
        <v>15.983238999999999</v>
      </c>
      <c r="Q88">
        <v>16.122472999999999</v>
      </c>
      <c r="R88">
        <v>16.019988999999999</v>
      </c>
      <c r="S88">
        <v>12.540286999999999</v>
      </c>
      <c r="T88">
        <v>14.480397</v>
      </c>
      <c r="U88">
        <v>14.231645</v>
      </c>
      <c r="V88">
        <v>14.330121</v>
      </c>
      <c r="W88">
        <v>14.214744</v>
      </c>
      <c r="X88">
        <v>14.182703999999999</v>
      </c>
      <c r="Y88">
        <v>14.293620000000001</v>
      </c>
      <c r="Z88">
        <v>14.968311</v>
      </c>
      <c r="AA88">
        <v>16.197205</v>
      </c>
      <c r="AB88">
        <v>15.045196000000001</v>
      </c>
      <c r="AC88">
        <v>13.068391</v>
      </c>
      <c r="AD88">
        <v>15.972759999999999</v>
      </c>
      <c r="AE88">
        <v>14.963004</v>
      </c>
      <c r="AF88">
        <v>13.486579000000001</v>
      </c>
      <c r="AG88">
        <v>15.66282</v>
      </c>
    </row>
    <row r="89" spans="1:33" x14ac:dyDescent="0.25">
      <c r="A89" s="1">
        <v>44140</v>
      </c>
      <c r="B89">
        <v>15.852736</v>
      </c>
      <c r="C89">
        <v>16.293844</v>
      </c>
      <c r="D89">
        <v>16.083601000000002</v>
      </c>
      <c r="E89">
        <v>15.809215999999999</v>
      </c>
      <c r="F89">
        <v>16.267334000000002</v>
      </c>
      <c r="G89">
        <v>16.197520999999998</v>
      </c>
      <c r="H89">
        <v>16.140765999999999</v>
      </c>
      <c r="I89">
        <v>15.542759</v>
      </c>
      <c r="J89">
        <v>15.352306</v>
      </c>
      <c r="K89">
        <v>16.044718</v>
      </c>
      <c r="L89">
        <v>16.034165999999999</v>
      </c>
      <c r="M89">
        <v>16.263421999999998</v>
      </c>
      <c r="N89">
        <v>15.683101000000001</v>
      </c>
      <c r="O89">
        <v>15.885024</v>
      </c>
      <c r="P89">
        <v>16.039867000000001</v>
      </c>
      <c r="Q89">
        <v>16.153776000000001</v>
      </c>
      <c r="R89">
        <v>16.057290999999999</v>
      </c>
      <c r="S89">
        <v>12.893094</v>
      </c>
      <c r="T89">
        <v>14.628403</v>
      </c>
      <c r="U89">
        <v>14.433846000000001</v>
      </c>
      <c r="V89">
        <v>14.560578</v>
      </c>
      <c r="W89">
        <v>14.432338</v>
      </c>
      <c r="X89">
        <v>14.428846999999999</v>
      </c>
      <c r="Y89">
        <v>14.746734</v>
      </c>
      <c r="Z89">
        <v>15.080859</v>
      </c>
      <c r="AA89">
        <v>16.256675999999999</v>
      </c>
      <c r="AB89">
        <v>15.239606</v>
      </c>
      <c r="AC89">
        <v>13.301997</v>
      </c>
      <c r="AD89">
        <v>16.01304</v>
      </c>
      <c r="AE89">
        <v>15.433149999999999</v>
      </c>
      <c r="AF89">
        <v>13.599727</v>
      </c>
      <c r="AG89">
        <v>15.838768</v>
      </c>
    </row>
    <row r="90" spans="1:33" x14ac:dyDescent="0.25">
      <c r="A90" s="1">
        <v>44141</v>
      </c>
      <c r="B90">
        <v>15.379516000000001</v>
      </c>
      <c r="C90">
        <v>15.903919999999999</v>
      </c>
      <c r="D90">
        <v>15.926709000000001</v>
      </c>
      <c r="E90">
        <v>15.624881999999999</v>
      </c>
      <c r="F90">
        <v>15.825771</v>
      </c>
      <c r="G90">
        <v>16.084986000000001</v>
      </c>
      <c r="H90">
        <v>15.907079</v>
      </c>
      <c r="I90">
        <v>15.025543000000001</v>
      </c>
      <c r="J90">
        <v>15.020396</v>
      </c>
      <c r="K90">
        <v>15.836079</v>
      </c>
      <c r="L90">
        <v>15.847728</v>
      </c>
      <c r="M90">
        <v>16.038708</v>
      </c>
      <c r="N90">
        <v>15.536046000000001</v>
      </c>
      <c r="O90">
        <v>15.779629999999999</v>
      </c>
      <c r="P90">
        <v>15.834355</v>
      </c>
      <c r="Q90">
        <v>16.050224</v>
      </c>
      <c r="R90">
        <v>15.905529</v>
      </c>
      <c r="S90">
        <v>13.018575</v>
      </c>
      <c r="T90">
        <v>14.613814</v>
      </c>
      <c r="U90">
        <v>14.450746000000001</v>
      </c>
      <c r="V90">
        <v>14.479903</v>
      </c>
      <c r="W90">
        <v>14.408948000000001</v>
      </c>
      <c r="X90">
        <v>14.358701</v>
      </c>
      <c r="Y90">
        <v>14.874703</v>
      </c>
      <c r="Z90">
        <v>14.973527000000001</v>
      </c>
      <c r="AA90">
        <v>16.088654999999999</v>
      </c>
      <c r="AB90">
        <v>15.256314</v>
      </c>
      <c r="AC90">
        <v>13.357894</v>
      </c>
      <c r="AD90">
        <v>15.848868</v>
      </c>
      <c r="AE90">
        <v>15.312431</v>
      </c>
      <c r="AF90">
        <v>13.692936</v>
      </c>
      <c r="AG90">
        <v>15.711022</v>
      </c>
    </row>
    <row r="91" spans="1:33" x14ac:dyDescent="0.25">
      <c r="A91" s="1">
        <v>44142</v>
      </c>
      <c r="B91">
        <v>14.772394999999999</v>
      </c>
      <c r="C91">
        <v>15.568807</v>
      </c>
      <c r="D91">
        <v>15.430664</v>
      </c>
      <c r="E91">
        <v>15.100129000000001</v>
      </c>
      <c r="F91">
        <v>15.409489000000001</v>
      </c>
      <c r="G91">
        <v>15.654063000000001</v>
      </c>
      <c r="H91">
        <v>15.539415999999999</v>
      </c>
      <c r="I91">
        <v>14.156235000000001</v>
      </c>
      <c r="J91">
        <v>14.163119999999999</v>
      </c>
      <c r="K91">
        <v>15.330859</v>
      </c>
      <c r="L91">
        <v>15.413121</v>
      </c>
      <c r="M91">
        <v>15.620566</v>
      </c>
      <c r="N91">
        <v>15.127312999999999</v>
      </c>
      <c r="O91">
        <v>15.353971</v>
      </c>
      <c r="P91">
        <v>15.345257</v>
      </c>
      <c r="Q91">
        <v>15.608809000000001</v>
      </c>
      <c r="R91">
        <v>15.525786</v>
      </c>
      <c r="S91">
        <v>12.301895</v>
      </c>
      <c r="T91">
        <v>14.258663</v>
      </c>
      <c r="U91">
        <v>14.27275</v>
      </c>
      <c r="V91">
        <v>14.158821</v>
      </c>
      <c r="W91">
        <v>14.232445</v>
      </c>
      <c r="X91">
        <v>14.061128</v>
      </c>
      <c r="Y91">
        <v>14.456028</v>
      </c>
      <c r="Z91">
        <v>14.43277</v>
      </c>
      <c r="AA91">
        <v>15.663921</v>
      </c>
      <c r="AB91">
        <v>14.836736</v>
      </c>
      <c r="AC91">
        <v>13.151942999999999</v>
      </c>
      <c r="AD91">
        <v>15.499229</v>
      </c>
      <c r="AE91">
        <v>14.445809000000001</v>
      </c>
      <c r="AF91">
        <v>13.652030999999999</v>
      </c>
      <c r="AG91">
        <v>15.119460999999999</v>
      </c>
    </row>
    <row r="92" spans="1:33" x14ac:dyDescent="0.25">
      <c r="A92" s="1">
        <v>44143</v>
      </c>
      <c r="B92">
        <v>13.738327</v>
      </c>
      <c r="C92">
        <v>14.923888</v>
      </c>
      <c r="D92">
        <v>14.675115</v>
      </c>
      <c r="E92">
        <v>14.302014</v>
      </c>
      <c r="F92">
        <v>14.588153</v>
      </c>
      <c r="G92">
        <v>15.127288</v>
      </c>
      <c r="H92">
        <v>15.005753500000001</v>
      </c>
      <c r="I92">
        <v>12.84726</v>
      </c>
      <c r="J92">
        <v>13.047088</v>
      </c>
      <c r="K92">
        <v>14.811278</v>
      </c>
      <c r="L92">
        <v>14.858178000000001</v>
      </c>
      <c r="M92">
        <v>15.013591</v>
      </c>
      <c r="N92">
        <v>14.413783</v>
      </c>
      <c r="O92">
        <v>14.712087</v>
      </c>
      <c r="P92">
        <v>14.809374999999999</v>
      </c>
      <c r="Q92">
        <v>15.085281999999999</v>
      </c>
      <c r="R92">
        <v>14.951171</v>
      </c>
      <c r="S92">
        <v>11.602315000000001</v>
      </c>
      <c r="T92">
        <v>13.717078000000001</v>
      </c>
      <c r="U92">
        <v>13.965630000000001</v>
      </c>
      <c r="V92">
        <v>13.618912999999999</v>
      </c>
      <c r="W92">
        <v>13.862413999999999</v>
      </c>
      <c r="X92">
        <v>13.658291999999999</v>
      </c>
      <c r="Y92">
        <v>13.727188</v>
      </c>
      <c r="Z92">
        <v>13.812571999999999</v>
      </c>
      <c r="AA92">
        <v>15.0646515</v>
      </c>
      <c r="AB92">
        <v>14.134708</v>
      </c>
      <c r="AC92">
        <v>12.169708</v>
      </c>
      <c r="AD92">
        <v>14.988998</v>
      </c>
      <c r="AE92">
        <v>13.588482000000001</v>
      </c>
      <c r="AF92">
        <v>13.44727</v>
      </c>
      <c r="AG92">
        <v>14.263427999999999</v>
      </c>
    </row>
    <row r="93" spans="1:33" x14ac:dyDescent="0.25">
      <c r="A93" s="1">
        <v>44144</v>
      </c>
      <c r="B93">
        <v>12.920094499999999</v>
      </c>
      <c r="C93">
        <v>14.217503000000001</v>
      </c>
      <c r="D93">
        <v>13.815367999999999</v>
      </c>
      <c r="E93">
        <v>13.486917999999999</v>
      </c>
      <c r="F93">
        <v>13.984332</v>
      </c>
      <c r="G93">
        <v>14.468685000000001</v>
      </c>
      <c r="H93">
        <v>14.297328</v>
      </c>
      <c r="I93">
        <v>12.146455</v>
      </c>
      <c r="J93">
        <v>11.7644415</v>
      </c>
      <c r="K93">
        <v>14.0624275</v>
      </c>
      <c r="L93">
        <v>14.053654</v>
      </c>
      <c r="M93">
        <v>14.386635</v>
      </c>
      <c r="N93">
        <v>13.686698</v>
      </c>
      <c r="O93">
        <v>13.76023</v>
      </c>
      <c r="P93">
        <v>14.129339999999999</v>
      </c>
      <c r="Q93">
        <v>14.335331999999999</v>
      </c>
      <c r="R93">
        <v>14.194087</v>
      </c>
      <c r="S93">
        <v>9.624091</v>
      </c>
      <c r="T93">
        <v>12.904598</v>
      </c>
      <c r="U93">
        <v>13.302137999999999</v>
      </c>
      <c r="V93">
        <v>13.004013</v>
      </c>
      <c r="W93">
        <v>13.055642000000001</v>
      </c>
      <c r="X93">
        <v>13.024932</v>
      </c>
      <c r="Y93">
        <v>12.691348</v>
      </c>
      <c r="Z93">
        <v>12.891242</v>
      </c>
      <c r="AA93">
        <v>14.168806999999999</v>
      </c>
      <c r="AB93">
        <v>13.090514000000001</v>
      </c>
      <c r="AC93">
        <v>10.413262</v>
      </c>
      <c r="AD93">
        <v>14.314294</v>
      </c>
      <c r="AE93">
        <v>12.371159</v>
      </c>
      <c r="AF93">
        <v>13.078105000000001</v>
      </c>
      <c r="AG93">
        <v>13.100913</v>
      </c>
    </row>
    <row r="94" spans="1:33" x14ac:dyDescent="0.25">
      <c r="A94" s="1">
        <v>44145</v>
      </c>
      <c r="B94">
        <v>12.784546000000001</v>
      </c>
      <c r="C94">
        <v>13.859477</v>
      </c>
      <c r="D94">
        <v>13.260847999999999</v>
      </c>
      <c r="E94">
        <v>13.117540999999999</v>
      </c>
      <c r="F94">
        <v>13.709662</v>
      </c>
      <c r="G94">
        <v>14.066867</v>
      </c>
      <c r="H94">
        <v>13.844514</v>
      </c>
      <c r="I94">
        <v>11.947590999999999</v>
      </c>
      <c r="J94">
        <v>11.303632</v>
      </c>
      <c r="K94">
        <v>13.716666</v>
      </c>
      <c r="L94">
        <v>13.627454</v>
      </c>
      <c r="M94">
        <v>14.006641999999999</v>
      </c>
      <c r="N94">
        <v>13.371333</v>
      </c>
      <c r="O94">
        <v>13.522983</v>
      </c>
      <c r="P94">
        <v>13.728935999999999</v>
      </c>
      <c r="Q94">
        <v>13.954188</v>
      </c>
      <c r="R94">
        <v>13.855397</v>
      </c>
      <c r="S94">
        <v>8.449408</v>
      </c>
      <c r="T94">
        <v>12.491486999999999</v>
      </c>
      <c r="U94">
        <v>12.861145</v>
      </c>
      <c r="V94">
        <v>12.789073</v>
      </c>
      <c r="W94">
        <v>12.411311</v>
      </c>
      <c r="X94">
        <v>12.850224000000001</v>
      </c>
      <c r="Y94">
        <v>12.175298</v>
      </c>
      <c r="Z94">
        <v>12.396357999999999</v>
      </c>
      <c r="AA94">
        <v>13.657256</v>
      </c>
      <c r="AB94">
        <v>12.497864</v>
      </c>
      <c r="AC94">
        <v>9.1362749999999995</v>
      </c>
      <c r="AD94">
        <v>13.853820000000001</v>
      </c>
      <c r="AE94">
        <v>11.757949</v>
      </c>
      <c r="AF94">
        <v>12.783965999999999</v>
      </c>
      <c r="AG94">
        <v>12.633755000000001</v>
      </c>
    </row>
    <row r="95" spans="1:33" x14ac:dyDescent="0.25">
      <c r="A95" s="1">
        <v>44146</v>
      </c>
      <c r="B95">
        <v>12.805422999999999</v>
      </c>
      <c r="C95">
        <v>13.724244000000001</v>
      </c>
      <c r="D95">
        <v>13.109405000000001</v>
      </c>
      <c r="E95">
        <v>13.007134000000001</v>
      </c>
      <c r="F95">
        <v>13.651337</v>
      </c>
      <c r="G95">
        <v>13.868285</v>
      </c>
      <c r="H95">
        <v>13.652068999999999</v>
      </c>
      <c r="I95">
        <v>12.164547000000001</v>
      </c>
      <c r="J95">
        <v>11.437436</v>
      </c>
      <c r="K95">
        <v>13.53196</v>
      </c>
      <c r="L95">
        <v>13.447089999999999</v>
      </c>
      <c r="M95">
        <v>13.831310999999999</v>
      </c>
      <c r="N95">
        <v>13.30115</v>
      </c>
      <c r="O95">
        <v>13.542602</v>
      </c>
      <c r="P95">
        <v>13.536160000000001</v>
      </c>
      <c r="Q95">
        <v>13.799939</v>
      </c>
      <c r="R95">
        <v>13.753797</v>
      </c>
      <c r="S95">
        <v>8.4213880000000003</v>
      </c>
      <c r="T95">
        <v>12.337346</v>
      </c>
      <c r="U95">
        <v>12.706873999999999</v>
      </c>
      <c r="V95">
        <v>12.612311999999999</v>
      </c>
      <c r="W95">
        <v>11.877418</v>
      </c>
      <c r="X95">
        <v>12.625043</v>
      </c>
      <c r="Y95">
        <v>11.951873000000001</v>
      </c>
      <c r="Z95">
        <v>12.172364</v>
      </c>
      <c r="AA95">
        <v>13.401465999999999</v>
      </c>
      <c r="AB95">
        <v>12.325198</v>
      </c>
      <c r="AC95">
        <v>8.7619980000000002</v>
      </c>
      <c r="AD95">
        <v>13.603251999999999</v>
      </c>
      <c r="AE95">
        <v>11.693531</v>
      </c>
      <c r="AF95">
        <v>12.581578</v>
      </c>
      <c r="AG95">
        <v>12.532902999999999</v>
      </c>
    </row>
    <row r="96" spans="1:33" x14ac:dyDescent="0.25">
      <c r="A96" s="1">
        <v>44147</v>
      </c>
      <c r="B96">
        <v>12.492478</v>
      </c>
      <c r="C96">
        <v>13.546341999999999</v>
      </c>
      <c r="D96">
        <v>13.010439999999999</v>
      </c>
      <c r="E96">
        <v>12.787049</v>
      </c>
      <c r="F96">
        <v>13.447304000000001</v>
      </c>
      <c r="G96">
        <v>13.684642</v>
      </c>
      <c r="H96">
        <v>13.439613</v>
      </c>
      <c r="I96">
        <v>12.143494</v>
      </c>
      <c r="J96">
        <v>11.453153</v>
      </c>
      <c r="K96">
        <v>13.308280999999999</v>
      </c>
      <c r="L96">
        <v>13.260821</v>
      </c>
      <c r="M96">
        <v>13.646596000000001</v>
      </c>
      <c r="N96">
        <v>13.120405999999999</v>
      </c>
      <c r="O96">
        <v>13.381306</v>
      </c>
      <c r="P96">
        <v>13.333485</v>
      </c>
      <c r="Q96">
        <v>13.621708999999999</v>
      </c>
      <c r="R96">
        <v>13.548577</v>
      </c>
      <c r="S96">
        <v>8.391807</v>
      </c>
      <c r="T96">
        <v>12.125939000000001</v>
      </c>
      <c r="U96">
        <v>12.490349999999999</v>
      </c>
      <c r="V96">
        <v>12.319610000000001</v>
      </c>
      <c r="W96">
        <v>11.635300000000001</v>
      </c>
      <c r="X96">
        <v>12.278979</v>
      </c>
      <c r="Y96">
        <v>11.736051</v>
      </c>
      <c r="Z96">
        <v>11.988754</v>
      </c>
      <c r="AA96">
        <v>13.166703</v>
      </c>
      <c r="AB96">
        <v>12.051819999999999</v>
      </c>
      <c r="AC96">
        <v>8.6182739999999995</v>
      </c>
      <c r="AD96">
        <v>13.397618</v>
      </c>
      <c r="AE96">
        <v>11.563191</v>
      </c>
      <c r="AF96">
        <v>12.410748</v>
      </c>
      <c r="AG96">
        <v>12.456173</v>
      </c>
    </row>
    <row r="97" spans="1:33" x14ac:dyDescent="0.25">
      <c r="A97" s="1">
        <v>44148</v>
      </c>
      <c r="B97">
        <v>12.182002000000001</v>
      </c>
      <c r="C97">
        <v>13.252319</v>
      </c>
      <c r="D97">
        <v>12.804226999999999</v>
      </c>
      <c r="E97">
        <v>12.563434000000001</v>
      </c>
      <c r="F97">
        <v>13.101888000000001</v>
      </c>
      <c r="G97">
        <v>13.421467</v>
      </c>
      <c r="H97">
        <v>13.167744000000001</v>
      </c>
      <c r="I97">
        <v>11.827102</v>
      </c>
      <c r="J97">
        <v>11.369111</v>
      </c>
      <c r="K97">
        <v>13.050767</v>
      </c>
      <c r="L97">
        <v>13.083572999999999</v>
      </c>
      <c r="M97">
        <v>13.393058999999999</v>
      </c>
      <c r="N97">
        <v>12.935883499999999</v>
      </c>
      <c r="O97">
        <v>13.157306999999999</v>
      </c>
      <c r="P97">
        <v>13.084930999999999</v>
      </c>
      <c r="Q97">
        <v>13.393580999999999</v>
      </c>
      <c r="R97">
        <v>13.313256000000001</v>
      </c>
      <c r="S97">
        <v>8.3313679999999994</v>
      </c>
      <c r="T97">
        <v>11.89507</v>
      </c>
      <c r="U97">
        <v>11.835537</v>
      </c>
      <c r="V97">
        <v>11.935181999999999</v>
      </c>
      <c r="W97">
        <v>11.29969</v>
      </c>
      <c r="X97">
        <v>11.814992</v>
      </c>
      <c r="Y97">
        <v>11.461345</v>
      </c>
      <c r="Z97">
        <v>11.791489</v>
      </c>
      <c r="AA97">
        <v>12.920093</v>
      </c>
      <c r="AB97">
        <v>11.936031</v>
      </c>
      <c r="AC97">
        <v>8.6015720000000009</v>
      </c>
      <c r="AD97">
        <v>13.159193999999999</v>
      </c>
      <c r="AE97">
        <v>11.64453</v>
      </c>
      <c r="AF97">
        <v>12.255402</v>
      </c>
      <c r="AG97">
        <v>12.372695999999999</v>
      </c>
    </row>
    <row r="98" spans="1:33" x14ac:dyDescent="0.25">
      <c r="A98" s="1">
        <v>44149</v>
      </c>
      <c r="B98">
        <v>12.272309</v>
      </c>
      <c r="C98">
        <v>13.269879</v>
      </c>
      <c r="D98">
        <v>12.794506</v>
      </c>
      <c r="E98">
        <v>12.548556</v>
      </c>
      <c r="F98">
        <v>13.114394000000001</v>
      </c>
      <c r="G98">
        <v>13.275361</v>
      </c>
      <c r="H98">
        <v>13.026179000000001</v>
      </c>
      <c r="I98">
        <v>11.948214999999999</v>
      </c>
      <c r="J98">
        <v>11.676015</v>
      </c>
      <c r="K98">
        <v>12.980828000000001</v>
      </c>
      <c r="L98">
        <v>13.0501795</v>
      </c>
      <c r="M98">
        <v>13.270782000000001</v>
      </c>
      <c r="N98">
        <v>12.851993</v>
      </c>
      <c r="O98">
        <v>13.038667</v>
      </c>
      <c r="P98">
        <v>13.009895</v>
      </c>
      <c r="Q98">
        <v>13.250171</v>
      </c>
      <c r="R98">
        <v>13.223488</v>
      </c>
      <c r="S98">
        <v>8.9991610000000009</v>
      </c>
      <c r="T98">
        <v>11.821657999999999</v>
      </c>
      <c r="U98">
        <v>11.368957999999999</v>
      </c>
      <c r="V98">
        <v>11.900907</v>
      </c>
      <c r="W98">
        <v>11.000926</v>
      </c>
      <c r="X98">
        <v>11.755511</v>
      </c>
      <c r="Y98">
        <v>11.345483</v>
      </c>
      <c r="Z98">
        <v>11.901870000000001</v>
      </c>
      <c r="AA98">
        <v>12.883891</v>
      </c>
      <c r="AB98">
        <v>11.987946000000001</v>
      </c>
      <c r="AC98">
        <v>8.8681230000000006</v>
      </c>
      <c r="AD98">
        <v>13.067119999999999</v>
      </c>
      <c r="AE98">
        <v>11.930484999999999</v>
      </c>
      <c r="AF98">
        <v>12.233352999999999</v>
      </c>
      <c r="AG98">
        <v>12.545054</v>
      </c>
    </row>
    <row r="99" spans="1:33" x14ac:dyDescent="0.25">
      <c r="A99" s="1">
        <v>44150</v>
      </c>
      <c r="B99">
        <v>12.223050000000001</v>
      </c>
      <c r="C99">
        <v>13.085827999999999</v>
      </c>
      <c r="D99">
        <v>12.7427435</v>
      </c>
      <c r="E99">
        <v>12.515421999999999</v>
      </c>
      <c r="F99">
        <v>12.938022</v>
      </c>
      <c r="G99">
        <v>13.134057</v>
      </c>
      <c r="H99">
        <v>12.931770999999999</v>
      </c>
      <c r="I99">
        <v>11.954007000000001</v>
      </c>
      <c r="J99">
        <v>11.637046</v>
      </c>
      <c r="K99">
        <v>12.872372</v>
      </c>
      <c r="L99">
        <v>12.869603</v>
      </c>
      <c r="M99">
        <v>13.136272</v>
      </c>
      <c r="N99">
        <v>12.690979</v>
      </c>
      <c r="O99">
        <v>12.781209</v>
      </c>
      <c r="P99">
        <v>12.897218000000001</v>
      </c>
      <c r="Q99">
        <v>13.115024999999999</v>
      </c>
      <c r="R99">
        <v>12.989292000000001</v>
      </c>
      <c r="S99">
        <v>9.0976149999999993</v>
      </c>
      <c r="T99">
        <v>11.716915</v>
      </c>
      <c r="U99">
        <v>10.963146999999999</v>
      </c>
      <c r="V99">
        <v>11.750095</v>
      </c>
      <c r="W99">
        <v>10.708485</v>
      </c>
      <c r="X99">
        <v>11.625771500000001</v>
      </c>
      <c r="Y99">
        <v>11.049168</v>
      </c>
      <c r="Z99">
        <v>11.861575</v>
      </c>
      <c r="AA99">
        <v>12.755234</v>
      </c>
      <c r="AB99">
        <v>11.740786999999999</v>
      </c>
      <c r="AC99">
        <v>8.8660990000000002</v>
      </c>
      <c r="AD99">
        <v>12.8933</v>
      </c>
      <c r="AE99">
        <v>11.960171000000001</v>
      </c>
      <c r="AF99">
        <v>12.073922</v>
      </c>
      <c r="AG99">
        <v>12.407823</v>
      </c>
    </row>
    <row r="100" spans="1:33" x14ac:dyDescent="0.25">
      <c r="A100" s="1">
        <v>44151</v>
      </c>
      <c r="B100">
        <v>12.560371</v>
      </c>
      <c r="C100">
        <v>13.126609999999999</v>
      </c>
      <c r="D100">
        <v>12.833824</v>
      </c>
      <c r="E100">
        <v>12.736371</v>
      </c>
      <c r="F100">
        <v>13.030711</v>
      </c>
      <c r="G100">
        <v>13.11734</v>
      </c>
      <c r="H100">
        <v>12.947327</v>
      </c>
      <c r="I100">
        <v>12.369172000000001</v>
      </c>
      <c r="J100">
        <v>11.959358999999999</v>
      </c>
      <c r="K100">
        <v>12.867829</v>
      </c>
      <c r="L100">
        <v>12.856785</v>
      </c>
      <c r="M100">
        <v>13.139961</v>
      </c>
      <c r="N100">
        <v>12.707134999999999</v>
      </c>
      <c r="O100">
        <v>12.762043</v>
      </c>
      <c r="P100">
        <v>12.892045</v>
      </c>
      <c r="Q100">
        <v>13.0947075</v>
      </c>
      <c r="R100">
        <v>12.926997999999999</v>
      </c>
      <c r="S100">
        <v>9.5305110000000006</v>
      </c>
      <c r="T100">
        <v>11.742350999999999</v>
      </c>
      <c r="U100">
        <v>10.909492999999999</v>
      </c>
      <c r="V100">
        <v>11.725529</v>
      </c>
      <c r="W100">
        <v>10.784958</v>
      </c>
      <c r="X100">
        <v>11.535833999999999</v>
      </c>
      <c r="Y100">
        <v>11.197150000000001</v>
      </c>
      <c r="Z100">
        <v>11.916607000000001</v>
      </c>
      <c r="AA100">
        <v>12.786035</v>
      </c>
      <c r="AB100">
        <v>11.866327999999999</v>
      </c>
      <c r="AC100">
        <v>9.1498329999999992</v>
      </c>
      <c r="AD100">
        <v>12.84591</v>
      </c>
      <c r="AE100">
        <v>12.344329</v>
      </c>
      <c r="AF100">
        <v>12.055928</v>
      </c>
      <c r="AG100">
        <v>12.525081</v>
      </c>
    </row>
    <row r="101" spans="1:33" x14ac:dyDescent="0.25">
      <c r="A101" s="1">
        <v>44152</v>
      </c>
      <c r="B101">
        <v>12.798995</v>
      </c>
      <c r="C101">
        <v>13.023763000000001</v>
      </c>
      <c r="D101">
        <v>12.833703</v>
      </c>
      <c r="E101">
        <v>12.853433000000001</v>
      </c>
      <c r="F101">
        <v>12.995348999999999</v>
      </c>
      <c r="G101">
        <v>13.069509</v>
      </c>
      <c r="H101">
        <v>12.904681</v>
      </c>
      <c r="I101">
        <v>12.504542000000001</v>
      </c>
      <c r="J101">
        <v>12.126113999999999</v>
      </c>
      <c r="K101">
        <v>12.812816</v>
      </c>
      <c r="L101">
        <v>12.802852</v>
      </c>
      <c r="M101">
        <v>13.085654999999999</v>
      </c>
      <c r="N101">
        <v>12.739131</v>
      </c>
      <c r="O101">
        <v>12.724971999999999</v>
      </c>
      <c r="P101">
        <v>12.831333000000001</v>
      </c>
      <c r="Q101">
        <v>13.042343000000001</v>
      </c>
      <c r="R101">
        <v>12.844512999999999</v>
      </c>
      <c r="S101">
        <v>9.8464989999999997</v>
      </c>
      <c r="T101">
        <v>11.785366</v>
      </c>
      <c r="U101">
        <v>10.951005</v>
      </c>
      <c r="V101">
        <v>11.578305</v>
      </c>
      <c r="W101">
        <v>10.759124999999999</v>
      </c>
      <c r="X101">
        <v>11.286884000000001</v>
      </c>
      <c r="Y101">
        <v>11.385941000000001</v>
      </c>
      <c r="Z101">
        <v>11.928905</v>
      </c>
      <c r="AA101">
        <v>12.748856999999999</v>
      </c>
      <c r="AB101">
        <v>11.882070000000001</v>
      </c>
      <c r="AC101">
        <v>9.430078</v>
      </c>
      <c r="AD101">
        <v>12.782569000000001</v>
      </c>
      <c r="AE101">
        <v>12.598226</v>
      </c>
      <c r="AF101">
        <v>12.060134</v>
      </c>
      <c r="AG101">
        <v>12.529469000000001</v>
      </c>
    </row>
    <row r="102" spans="1:33" x14ac:dyDescent="0.25">
      <c r="A102" s="1">
        <v>44153</v>
      </c>
      <c r="B102">
        <v>13.100718499999999</v>
      </c>
      <c r="C102">
        <v>13.239881</v>
      </c>
      <c r="D102">
        <v>12.959324000000001</v>
      </c>
      <c r="E102">
        <v>13.0264015</v>
      </c>
      <c r="F102">
        <v>13.124587999999999</v>
      </c>
      <c r="G102">
        <v>13.106536999999999</v>
      </c>
      <c r="H102">
        <v>12.973934</v>
      </c>
      <c r="I102">
        <v>12.776413</v>
      </c>
      <c r="J102">
        <v>12.586444999999999</v>
      </c>
      <c r="K102">
        <v>12.883519</v>
      </c>
      <c r="L102">
        <v>12.929835000000001</v>
      </c>
      <c r="M102">
        <v>13.121276</v>
      </c>
      <c r="N102">
        <v>12.7535515</v>
      </c>
      <c r="O102">
        <v>12.848153</v>
      </c>
      <c r="P102">
        <v>12.89038</v>
      </c>
      <c r="Q102">
        <v>13.071858000000001</v>
      </c>
      <c r="R102">
        <v>12.925044</v>
      </c>
      <c r="S102">
        <v>10.52582</v>
      </c>
      <c r="T102">
        <v>11.793900000000001</v>
      </c>
      <c r="U102">
        <v>11.187791000000001</v>
      </c>
      <c r="V102">
        <v>11.468982</v>
      </c>
      <c r="W102">
        <v>11.279260000000001</v>
      </c>
      <c r="X102">
        <v>11.195022</v>
      </c>
      <c r="Y102">
        <v>11.571915000000001</v>
      </c>
      <c r="Z102">
        <v>12.049723999999999</v>
      </c>
      <c r="AA102">
        <v>12.917557</v>
      </c>
      <c r="AB102">
        <v>12.233433</v>
      </c>
      <c r="AC102">
        <v>9.9973650000000003</v>
      </c>
      <c r="AD102">
        <v>12.875814999999999</v>
      </c>
      <c r="AE102">
        <v>13.397736999999999</v>
      </c>
      <c r="AF102">
        <v>12.157192999999999</v>
      </c>
      <c r="AG102">
        <v>12.877769000000001</v>
      </c>
    </row>
    <row r="103" spans="1:33" x14ac:dyDescent="0.25">
      <c r="A103" s="1">
        <v>44154</v>
      </c>
      <c r="B103">
        <v>12.688708</v>
      </c>
      <c r="C103">
        <v>13.091258</v>
      </c>
      <c r="D103">
        <v>12.851680999999999</v>
      </c>
      <c r="E103">
        <v>12.768743000000001</v>
      </c>
      <c r="F103">
        <v>12.944295</v>
      </c>
      <c r="G103">
        <v>13.006057999999999</v>
      </c>
      <c r="H103">
        <v>12.990334499999999</v>
      </c>
      <c r="I103">
        <v>12.587445000000001</v>
      </c>
      <c r="J103">
        <v>12.380704</v>
      </c>
      <c r="K103">
        <v>12.799106</v>
      </c>
      <c r="L103">
        <v>12.80866</v>
      </c>
      <c r="M103">
        <v>13.012795000000001</v>
      </c>
      <c r="N103">
        <v>12.461147</v>
      </c>
      <c r="O103">
        <v>12.600735</v>
      </c>
      <c r="P103">
        <v>12.799344</v>
      </c>
      <c r="Q103">
        <v>12.945713</v>
      </c>
      <c r="R103">
        <v>12.76707</v>
      </c>
      <c r="S103">
        <v>10.45018</v>
      </c>
      <c r="T103">
        <v>11.624065</v>
      </c>
      <c r="U103">
        <v>11.185025</v>
      </c>
      <c r="V103">
        <v>11.189743999999999</v>
      </c>
      <c r="W103">
        <v>11.609355000000001</v>
      </c>
      <c r="X103">
        <v>11.011943</v>
      </c>
      <c r="Y103">
        <v>11.312402000000001</v>
      </c>
      <c r="Z103">
        <v>11.946261</v>
      </c>
      <c r="AA103">
        <v>12.827633000000001</v>
      </c>
      <c r="AB103">
        <v>11.920059</v>
      </c>
      <c r="AC103">
        <v>10.0819235</v>
      </c>
      <c r="AD103">
        <v>12.758236</v>
      </c>
      <c r="AE103">
        <v>13.553515000000001</v>
      </c>
      <c r="AF103">
        <v>12.055709999999999</v>
      </c>
      <c r="AG103">
        <v>12.656219500000001</v>
      </c>
    </row>
    <row r="104" spans="1:33" x14ac:dyDescent="0.25">
      <c r="A104" s="1">
        <v>44155</v>
      </c>
      <c r="B104">
        <v>12.205163000000001</v>
      </c>
      <c r="C104">
        <v>12.903354999999999</v>
      </c>
      <c r="D104">
        <v>12.616989999999999</v>
      </c>
      <c r="E104">
        <v>12.407432</v>
      </c>
      <c r="F104">
        <v>12.75821</v>
      </c>
      <c r="G104">
        <v>12.819202000000001</v>
      </c>
      <c r="H104">
        <v>12.893405</v>
      </c>
      <c r="I104">
        <v>12.340572</v>
      </c>
      <c r="J104">
        <v>11.854766</v>
      </c>
      <c r="K104">
        <v>12.548757</v>
      </c>
      <c r="L104">
        <v>12.535598999999999</v>
      </c>
      <c r="M104">
        <v>12.818847</v>
      </c>
      <c r="N104">
        <v>12.1431</v>
      </c>
      <c r="O104">
        <v>12.289982</v>
      </c>
      <c r="P104">
        <v>12.553236999999999</v>
      </c>
      <c r="Q104">
        <v>12.7186775</v>
      </c>
      <c r="R104">
        <v>12.509012999999999</v>
      </c>
      <c r="S104">
        <v>9.8000860000000003</v>
      </c>
      <c r="T104">
        <v>11.379307000000001</v>
      </c>
      <c r="U104">
        <v>11.03106</v>
      </c>
      <c r="V104">
        <v>11.182747000000001</v>
      </c>
      <c r="W104">
        <v>11.820408</v>
      </c>
      <c r="X104">
        <v>11.198418999999999</v>
      </c>
      <c r="Y104">
        <v>11.151807</v>
      </c>
      <c r="Z104">
        <v>11.658232999999999</v>
      </c>
      <c r="AA104">
        <v>12.547343</v>
      </c>
      <c r="AB104">
        <v>11.611955</v>
      </c>
      <c r="AC104">
        <v>9.9620259999999998</v>
      </c>
      <c r="AD104">
        <v>12.518295</v>
      </c>
      <c r="AE104">
        <v>12.90809</v>
      </c>
      <c r="AF104">
        <v>11.866588999999999</v>
      </c>
      <c r="AG104">
        <v>12.231711000000001</v>
      </c>
    </row>
    <row r="105" spans="1:33" x14ac:dyDescent="0.25">
      <c r="A105" s="1">
        <v>44156</v>
      </c>
      <c r="B105">
        <v>11.856636</v>
      </c>
      <c r="C105">
        <v>12.648293000000001</v>
      </c>
      <c r="D105">
        <v>12.362933</v>
      </c>
      <c r="E105">
        <v>12.079803999999999</v>
      </c>
      <c r="F105">
        <v>12.554245</v>
      </c>
      <c r="G105">
        <v>12.627795000000001</v>
      </c>
      <c r="H105">
        <v>12.781552</v>
      </c>
      <c r="I105">
        <v>12.061576000000001</v>
      </c>
      <c r="J105">
        <v>11.344882</v>
      </c>
      <c r="K105">
        <v>12.299804999999999</v>
      </c>
      <c r="L105">
        <v>12.250931</v>
      </c>
      <c r="M105">
        <v>12.614399000000001</v>
      </c>
      <c r="N105">
        <v>11.880791</v>
      </c>
      <c r="O105">
        <v>12.056638</v>
      </c>
      <c r="P105">
        <v>12.295771999999999</v>
      </c>
      <c r="Q105">
        <v>12.504842</v>
      </c>
      <c r="R105">
        <v>12.283504499999999</v>
      </c>
      <c r="S105">
        <v>8.9530060000000002</v>
      </c>
      <c r="T105">
        <v>11.172890000000001</v>
      </c>
      <c r="U105">
        <v>10.817079</v>
      </c>
      <c r="V105">
        <v>11.213862000000001</v>
      </c>
      <c r="W105">
        <v>11.797946</v>
      </c>
      <c r="X105">
        <v>11.270379</v>
      </c>
      <c r="Y105">
        <v>10.760956</v>
      </c>
      <c r="Z105">
        <v>11.291202999999999</v>
      </c>
      <c r="AA105">
        <v>12.2263</v>
      </c>
      <c r="AB105">
        <v>11.280753000000001</v>
      </c>
      <c r="AC105">
        <v>9.7385629999999992</v>
      </c>
      <c r="AD105">
        <v>12.252698000000001</v>
      </c>
      <c r="AE105">
        <v>12.060691</v>
      </c>
      <c r="AF105">
        <v>11.654052</v>
      </c>
      <c r="AG105">
        <v>11.814899</v>
      </c>
    </row>
    <row r="106" spans="1:33" x14ac:dyDescent="0.25">
      <c r="A106" s="1">
        <v>44157</v>
      </c>
      <c r="B106">
        <v>11.658787</v>
      </c>
      <c r="C106">
        <v>12.358098</v>
      </c>
      <c r="D106">
        <v>12.145408</v>
      </c>
      <c r="E106">
        <v>11.834300000000001</v>
      </c>
      <c r="F106">
        <v>12.331462999999999</v>
      </c>
      <c r="G106">
        <v>12.432</v>
      </c>
      <c r="H106">
        <v>12.6413145</v>
      </c>
      <c r="I106">
        <v>11.699588</v>
      </c>
      <c r="J106">
        <v>10.869168</v>
      </c>
      <c r="K106">
        <v>12.057715</v>
      </c>
      <c r="L106">
        <v>11.994161</v>
      </c>
      <c r="M106">
        <v>12.388412000000001</v>
      </c>
      <c r="N106">
        <v>11.641505</v>
      </c>
      <c r="O106">
        <v>11.862893</v>
      </c>
      <c r="P106">
        <v>12.047147000000001</v>
      </c>
      <c r="Q106">
        <v>12.308730000000001</v>
      </c>
      <c r="R106">
        <v>12.096577999999999</v>
      </c>
      <c r="S106">
        <v>8.2396200000000004</v>
      </c>
      <c r="T106">
        <v>11.01886</v>
      </c>
      <c r="U106">
        <v>10.59399</v>
      </c>
      <c r="V106">
        <v>11.253717999999999</v>
      </c>
      <c r="W106">
        <v>11.517151</v>
      </c>
      <c r="X106">
        <v>11.314209</v>
      </c>
      <c r="Y106">
        <v>10.399578</v>
      </c>
      <c r="Z106">
        <v>10.882771</v>
      </c>
      <c r="AA106">
        <v>11.941178000000001</v>
      </c>
      <c r="AB106">
        <v>11.024308</v>
      </c>
      <c r="AC106">
        <v>9.4204709999999992</v>
      </c>
      <c r="AD106">
        <v>11.999703</v>
      </c>
      <c r="AE106">
        <v>11.326687</v>
      </c>
      <c r="AF106">
        <v>11.469967</v>
      </c>
      <c r="AG106">
        <v>11.502834</v>
      </c>
    </row>
    <row r="107" spans="1:33" x14ac:dyDescent="0.25">
      <c r="A107" s="1">
        <v>44158</v>
      </c>
      <c r="B107">
        <v>11.644748999999999</v>
      </c>
      <c r="C107">
        <v>12.185051</v>
      </c>
      <c r="D107">
        <v>12.021190000000001</v>
      </c>
      <c r="E107">
        <v>11.724116</v>
      </c>
      <c r="F107">
        <v>12.260196000000001</v>
      </c>
      <c r="G107">
        <v>12.33188</v>
      </c>
      <c r="H107">
        <v>12.552512</v>
      </c>
      <c r="I107">
        <v>11.547927</v>
      </c>
      <c r="J107">
        <v>10.701097000000001</v>
      </c>
      <c r="K107">
        <v>11.910617999999999</v>
      </c>
      <c r="L107">
        <v>11.859505</v>
      </c>
      <c r="M107">
        <v>12.282508999999999</v>
      </c>
      <c r="N107">
        <v>11.528815</v>
      </c>
      <c r="O107">
        <v>11.800960999999999</v>
      </c>
      <c r="P107">
        <v>11.900135000000001</v>
      </c>
      <c r="Q107">
        <v>12.204357999999999</v>
      </c>
      <c r="R107">
        <v>11.992143</v>
      </c>
      <c r="S107">
        <v>7.9345894000000001</v>
      </c>
      <c r="T107">
        <v>10.97062</v>
      </c>
      <c r="U107">
        <v>10.520035999999999</v>
      </c>
      <c r="V107">
        <v>11.302209</v>
      </c>
      <c r="W107">
        <v>11.3290205</v>
      </c>
      <c r="X107">
        <v>11.355188999999999</v>
      </c>
      <c r="Y107">
        <v>10.193705</v>
      </c>
      <c r="Z107">
        <v>10.626636</v>
      </c>
      <c r="AA107">
        <v>11.767023999999999</v>
      </c>
      <c r="AB107">
        <v>10.84806</v>
      </c>
      <c r="AC107">
        <v>9.2388130000000004</v>
      </c>
      <c r="AD107">
        <v>11.832829</v>
      </c>
      <c r="AE107">
        <v>11.647582</v>
      </c>
      <c r="AF107">
        <v>11.389239</v>
      </c>
      <c r="AG107">
        <v>11.435006</v>
      </c>
    </row>
    <row r="108" spans="1:33" x14ac:dyDescent="0.25">
      <c r="A108" s="1">
        <v>44159</v>
      </c>
      <c r="B108">
        <v>11.584891000000001</v>
      </c>
      <c r="C108">
        <v>12.133359</v>
      </c>
      <c r="D108">
        <v>11.793574</v>
      </c>
      <c r="E108">
        <v>11.681637</v>
      </c>
      <c r="F108">
        <v>12.203132</v>
      </c>
      <c r="G108">
        <v>12.269347</v>
      </c>
      <c r="H108">
        <v>12.472352000000001</v>
      </c>
      <c r="I108">
        <v>11.496078499999999</v>
      </c>
      <c r="J108">
        <v>10.68885</v>
      </c>
      <c r="K108">
        <v>11.829442</v>
      </c>
      <c r="L108">
        <v>11.761964000000001</v>
      </c>
      <c r="M108">
        <v>12.202750999999999</v>
      </c>
      <c r="N108">
        <v>11.473003</v>
      </c>
      <c r="O108">
        <v>11.738365</v>
      </c>
      <c r="P108">
        <v>11.821529999999999</v>
      </c>
      <c r="Q108">
        <v>12.12764</v>
      </c>
      <c r="R108">
        <v>11.903337000000001</v>
      </c>
      <c r="S108">
        <v>7.9401339999999996</v>
      </c>
      <c r="T108">
        <v>10.97052</v>
      </c>
      <c r="U108">
        <v>10.505329</v>
      </c>
      <c r="V108">
        <v>11.256588000000001</v>
      </c>
      <c r="W108">
        <v>11.309892</v>
      </c>
      <c r="X108">
        <v>11.289885999999999</v>
      </c>
      <c r="Y108">
        <v>10.038178</v>
      </c>
      <c r="Z108">
        <v>10.517766999999999</v>
      </c>
      <c r="AA108">
        <v>11.686709</v>
      </c>
      <c r="AB108">
        <v>10.780616999999999</v>
      </c>
      <c r="AC108">
        <v>8.9861629999999995</v>
      </c>
      <c r="AD108">
        <v>11.744274000000001</v>
      </c>
      <c r="AE108">
        <v>11.858955999999999</v>
      </c>
      <c r="AF108">
        <v>11.342292</v>
      </c>
      <c r="AG108">
        <v>11.412098</v>
      </c>
    </row>
    <row r="109" spans="1:33" x14ac:dyDescent="0.25">
      <c r="A109" s="1">
        <v>44160</v>
      </c>
      <c r="B109">
        <v>11.428369</v>
      </c>
      <c r="C109">
        <v>11.937087</v>
      </c>
      <c r="D109">
        <v>11.675475</v>
      </c>
      <c r="E109">
        <v>11.623566</v>
      </c>
      <c r="F109">
        <v>12.033291999999999</v>
      </c>
      <c r="G109">
        <v>12.182733000000001</v>
      </c>
      <c r="H109">
        <v>12.384071</v>
      </c>
      <c r="I109">
        <v>11.315526</v>
      </c>
      <c r="J109">
        <v>10.579008999999999</v>
      </c>
      <c r="K109">
        <v>11.706624</v>
      </c>
      <c r="L109">
        <v>11.629832</v>
      </c>
      <c r="M109">
        <v>12.100116</v>
      </c>
      <c r="N109">
        <v>11.403112999999999</v>
      </c>
      <c r="O109">
        <v>11.588039999999999</v>
      </c>
      <c r="P109">
        <v>11.715745</v>
      </c>
      <c r="Q109">
        <v>12.049712</v>
      </c>
      <c r="R109">
        <v>11.754491</v>
      </c>
      <c r="S109">
        <v>8.0102010000000003</v>
      </c>
      <c r="T109">
        <v>10.915863999999999</v>
      </c>
      <c r="U109">
        <v>10.912118</v>
      </c>
      <c r="V109">
        <v>11.098637999999999</v>
      </c>
      <c r="W109">
        <v>11.230338</v>
      </c>
      <c r="X109">
        <v>11.124639</v>
      </c>
      <c r="Y109">
        <v>10.031143999999999</v>
      </c>
      <c r="Z109">
        <v>10.425172999999999</v>
      </c>
      <c r="AA109">
        <v>11.586377000000001</v>
      </c>
      <c r="AB109">
        <v>10.659287000000001</v>
      </c>
      <c r="AC109">
        <v>8.8055869999999992</v>
      </c>
      <c r="AD109">
        <v>11.635983</v>
      </c>
      <c r="AE109">
        <v>11.668248</v>
      </c>
      <c r="AF109">
        <v>11.29435</v>
      </c>
      <c r="AG109">
        <v>11.282878</v>
      </c>
    </row>
    <row r="110" spans="1:33" x14ac:dyDescent="0.25">
      <c r="A110" s="1">
        <v>44161</v>
      </c>
      <c r="B110">
        <v>10.883625</v>
      </c>
      <c r="C110">
        <v>11.604844</v>
      </c>
      <c r="D110">
        <v>11.444138000000001</v>
      </c>
      <c r="E110">
        <v>11.275729999999999</v>
      </c>
      <c r="F110">
        <v>11.629981000000001</v>
      </c>
      <c r="G110">
        <v>11.957599</v>
      </c>
      <c r="H110">
        <v>12.102024999999999</v>
      </c>
      <c r="I110">
        <v>10.893096</v>
      </c>
      <c r="J110">
        <v>9.9329820000000009</v>
      </c>
      <c r="K110">
        <v>11.364891</v>
      </c>
      <c r="L110">
        <v>11.206346999999999</v>
      </c>
      <c r="M110">
        <v>11.820558</v>
      </c>
      <c r="N110">
        <v>11.048457000000001</v>
      </c>
      <c r="O110">
        <v>11.18056</v>
      </c>
      <c r="P110">
        <v>11.401315</v>
      </c>
      <c r="Q110">
        <v>11.789552</v>
      </c>
      <c r="R110">
        <v>11.349542</v>
      </c>
      <c r="S110">
        <v>7.7400627000000002</v>
      </c>
      <c r="T110">
        <v>10.515245999999999</v>
      </c>
      <c r="U110">
        <v>10.927128</v>
      </c>
      <c r="V110">
        <v>10.654633499999999</v>
      </c>
      <c r="W110">
        <v>10.817710999999999</v>
      </c>
      <c r="X110">
        <v>10.670260000000001</v>
      </c>
      <c r="Y110">
        <v>9.3014390000000002</v>
      </c>
      <c r="Z110">
        <v>10.149081000000001</v>
      </c>
      <c r="AA110">
        <v>11.240762</v>
      </c>
      <c r="AB110">
        <v>10.219814</v>
      </c>
      <c r="AC110">
        <v>8.2758280000000006</v>
      </c>
      <c r="AD110">
        <v>11.270623000000001</v>
      </c>
      <c r="AE110">
        <v>11.169703999999999</v>
      </c>
      <c r="AF110">
        <v>11.04438</v>
      </c>
      <c r="AG110">
        <v>10.809853</v>
      </c>
    </row>
    <row r="111" spans="1:33" x14ac:dyDescent="0.25">
      <c r="A111" s="1">
        <v>44162</v>
      </c>
      <c r="B111">
        <v>10.645154</v>
      </c>
      <c r="C111">
        <v>11.391075000000001</v>
      </c>
      <c r="D111">
        <v>11.167679</v>
      </c>
      <c r="E111">
        <v>11.031931999999999</v>
      </c>
      <c r="F111">
        <v>11.455009</v>
      </c>
      <c r="G111">
        <v>11.715023</v>
      </c>
      <c r="H111">
        <v>11.922653</v>
      </c>
      <c r="I111">
        <v>10.594150000000001</v>
      </c>
      <c r="J111">
        <v>9.4078820000000007</v>
      </c>
      <c r="K111">
        <v>11.095616</v>
      </c>
      <c r="L111">
        <v>10.978401</v>
      </c>
      <c r="M111">
        <v>11.640098999999999</v>
      </c>
      <c r="N111">
        <v>10.982303999999999</v>
      </c>
      <c r="O111">
        <v>10.878107999999999</v>
      </c>
      <c r="P111">
        <v>11.141453</v>
      </c>
      <c r="Q111">
        <v>11.579986999999999</v>
      </c>
      <c r="R111">
        <v>11.139573</v>
      </c>
      <c r="S111">
        <v>7.1062430000000001</v>
      </c>
      <c r="T111">
        <v>10.275181999999999</v>
      </c>
      <c r="U111">
        <v>10.562017000000001</v>
      </c>
      <c r="V111">
        <v>10.415680999999999</v>
      </c>
      <c r="W111">
        <v>10.476016</v>
      </c>
      <c r="X111">
        <v>10.415660000000001</v>
      </c>
      <c r="Y111">
        <v>9.0588390000000008</v>
      </c>
      <c r="Z111">
        <v>9.8867580000000004</v>
      </c>
      <c r="AA111">
        <v>10.861157</v>
      </c>
      <c r="AB111">
        <v>9.8978570000000001</v>
      </c>
      <c r="AC111">
        <v>7.9157250000000001</v>
      </c>
      <c r="AD111">
        <v>10.978348</v>
      </c>
      <c r="AE111">
        <v>10.637378</v>
      </c>
      <c r="AF111">
        <v>10.834301</v>
      </c>
      <c r="AG111">
        <v>10.461349999999999</v>
      </c>
    </row>
    <row r="112" spans="1:33" x14ac:dyDescent="0.25">
      <c r="A112" s="1">
        <v>44163</v>
      </c>
      <c r="B112">
        <v>10.510453999999999</v>
      </c>
      <c r="C112">
        <v>11.328567</v>
      </c>
      <c r="D112">
        <v>10.979365</v>
      </c>
      <c r="E112">
        <v>10.865738</v>
      </c>
      <c r="F112">
        <v>11.286025</v>
      </c>
      <c r="G112">
        <v>11.5599165</v>
      </c>
      <c r="H112">
        <v>11.784635</v>
      </c>
      <c r="I112">
        <v>10.406340999999999</v>
      </c>
      <c r="J112">
        <v>9.1954220000000007</v>
      </c>
      <c r="K112">
        <v>10.903976999999999</v>
      </c>
      <c r="L112">
        <v>10.791721000000001</v>
      </c>
      <c r="M112">
        <v>11.486583</v>
      </c>
      <c r="N112">
        <v>10.873307</v>
      </c>
      <c r="O112">
        <v>10.666024999999999</v>
      </c>
      <c r="P112">
        <v>10.953544000000001</v>
      </c>
      <c r="Q112">
        <v>11.434749999999999</v>
      </c>
      <c r="R112">
        <v>10.917972000000001</v>
      </c>
      <c r="S112">
        <v>6.7332954000000003</v>
      </c>
      <c r="T112">
        <v>10.073812999999999</v>
      </c>
      <c r="U112">
        <v>10.302287</v>
      </c>
      <c r="V112">
        <v>10.249029</v>
      </c>
      <c r="W112">
        <v>10.1638</v>
      </c>
      <c r="X112">
        <v>10.255093</v>
      </c>
      <c r="Y112">
        <v>8.72072</v>
      </c>
      <c r="Z112">
        <v>9.7246100000000002</v>
      </c>
      <c r="AA112">
        <v>10.628219</v>
      </c>
      <c r="AB112">
        <v>9.62988</v>
      </c>
      <c r="AC112">
        <v>7.6336529999999998</v>
      </c>
      <c r="AD112">
        <v>10.765809000000001</v>
      </c>
      <c r="AE112">
        <v>10.218415</v>
      </c>
      <c r="AF112">
        <v>10.681573</v>
      </c>
      <c r="AG112">
        <v>10.289711</v>
      </c>
    </row>
    <row r="113" spans="1:33" x14ac:dyDescent="0.25">
      <c r="A113" s="1">
        <v>44164</v>
      </c>
      <c r="B113">
        <v>10.440683999999999</v>
      </c>
      <c r="C113">
        <v>11.197395</v>
      </c>
      <c r="D113">
        <v>10.823684</v>
      </c>
      <c r="E113">
        <v>10.740735000000001</v>
      </c>
      <c r="F113">
        <v>11.140237000000001</v>
      </c>
      <c r="G113">
        <v>11.405746000000001</v>
      </c>
      <c r="H113">
        <v>11.683392</v>
      </c>
      <c r="I113">
        <v>10.301087000000001</v>
      </c>
      <c r="J113">
        <v>9.0072179999999999</v>
      </c>
      <c r="K113">
        <v>10.726388</v>
      </c>
      <c r="L113">
        <v>10.611705000000001</v>
      </c>
      <c r="M113">
        <v>11.352786999999999</v>
      </c>
      <c r="N113">
        <v>10.772477</v>
      </c>
      <c r="O113">
        <v>10.516778</v>
      </c>
      <c r="P113">
        <v>10.773167000000001</v>
      </c>
      <c r="Q113">
        <v>11.301501</v>
      </c>
      <c r="R113">
        <v>10.736817</v>
      </c>
      <c r="S113">
        <v>6.4885820000000001</v>
      </c>
      <c r="T113">
        <v>9.9080929999999992</v>
      </c>
      <c r="U113">
        <v>10.035112</v>
      </c>
      <c r="V113">
        <v>10.056819000000001</v>
      </c>
      <c r="W113">
        <v>9.9188840000000003</v>
      </c>
      <c r="X113">
        <v>10.032809</v>
      </c>
      <c r="Y113">
        <v>8.5569469999999992</v>
      </c>
      <c r="Z113">
        <v>9.5845760000000002</v>
      </c>
      <c r="AA113">
        <v>10.390508000000001</v>
      </c>
      <c r="AB113">
        <v>9.4629639999999995</v>
      </c>
      <c r="AC113">
        <v>7.273936</v>
      </c>
      <c r="AD113">
        <v>10.582919</v>
      </c>
      <c r="AE113">
        <v>9.9412009999999995</v>
      </c>
      <c r="AF113">
        <v>10.531905</v>
      </c>
      <c r="AG113">
        <v>10.080195</v>
      </c>
    </row>
    <row r="114" spans="1:33" x14ac:dyDescent="0.25">
      <c r="A114" s="1">
        <v>44165</v>
      </c>
      <c r="B114">
        <v>10.400793</v>
      </c>
      <c r="C114">
        <v>11.078961</v>
      </c>
      <c r="D114">
        <v>10.718223</v>
      </c>
      <c r="E114">
        <v>10.638823500000001</v>
      </c>
      <c r="F114">
        <v>11.016845</v>
      </c>
      <c r="G114">
        <v>11.275884</v>
      </c>
      <c r="H114">
        <v>11.581355</v>
      </c>
      <c r="I114">
        <v>10.218619</v>
      </c>
      <c r="J114">
        <v>8.9836840000000002</v>
      </c>
      <c r="K114">
        <v>10.583442</v>
      </c>
      <c r="L114">
        <v>10.480005</v>
      </c>
      <c r="M114">
        <v>11.216027</v>
      </c>
      <c r="N114">
        <v>10.652984999999999</v>
      </c>
      <c r="O114">
        <v>10.403351000000001</v>
      </c>
      <c r="P114">
        <v>10.625712</v>
      </c>
      <c r="Q114">
        <v>11.16508</v>
      </c>
      <c r="R114">
        <v>10.583358</v>
      </c>
      <c r="S114">
        <v>6.5258965</v>
      </c>
      <c r="T114">
        <v>9.7607180000000007</v>
      </c>
      <c r="U114">
        <v>9.9116239999999998</v>
      </c>
      <c r="V114">
        <v>9.8944259999999993</v>
      </c>
      <c r="W114">
        <v>9.8782479999999993</v>
      </c>
      <c r="X114">
        <v>9.8555089999999996</v>
      </c>
      <c r="Y114">
        <v>8.3392459999999993</v>
      </c>
      <c r="Z114">
        <v>9.5470310000000005</v>
      </c>
      <c r="AA114">
        <v>10.237733</v>
      </c>
      <c r="AB114">
        <v>9.3785469999999993</v>
      </c>
      <c r="AC114">
        <v>7.0238310000000004</v>
      </c>
      <c r="AD114">
        <v>10.435086999999999</v>
      </c>
      <c r="AE114">
        <v>9.9188069999999993</v>
      </c>
      <c r="AF114">
        <v>10.41351</v>
      </c>
      <c r="AG114">
        <v>9.9678470000000008</v>
      </c>
    </row>
    <row r="115" spans="1:33" x14ac:dyDescent="0.25">
      <c r="A115" s="1">
        <v>44166</v>
      </c>
      <c r="B115">
        <v>10.404755</v>
      </c>
      <c r="C115">
        <v>11.050098</v>
      </c>
      <c r="D115">
        <v>10.666308000000001</v>
      </c>
      <c r="E115">
        <v>10.580749000000001</v>
      </c>
      <c r="F115">
        <v>11.017638</v>
      </c>
      <c r="G115">
        <v>11.185338</v>
      </c>
      <c r="H115">
        <v>11.505694999999999</v>
      </c>
      <c r="I115">
        <v>10.275891</v>
      </c>
      <c r="J115">
        <v>9.1068630000000006</v>
      </c>
      <c r="K115">
        <v>10.515765</v>
      </c>
      <c r="L115">
        <v>10.373011999999999</v>
      </c>
      <c r="M115">
        <v>11.144225</v>
      </c>
      <c r="N115">
        <v>10.563703</v>
      </c>
      <c r="O115">
        <v>10.324626</v>
      </c>
      <c r="P115">
        <v>10.547024</v>
      </c>
      <c r="Q115">
        <v>11.06635</v>
      </c>
      <c r="R115">
        <v>10.471767</v>
      </c>
      <c r="S115">
        <v>6.5724907000000004</v>
      </c>
      <c r="T115">
        <v>9.6709794999999996</v>
      </c>
      <c r="U115">
        <v>9.9581859999999995</v>
      </c>
      <c r="V115">
        <v>9.7838720000000006</v>
      </c>
      <c r="W115">
        <v>9.7729389999999992</v>
      </c>
      <c r="X115">
        <v>9.7296060000000004</v>
      </c>
      <c r="Y115">
        <v>8.3024009999999997</v>
      </c>
      <c r="Z115">
        <v>9.5378710000000009</v>
      </c>
      <c r="AA115">
        <v>10.143345999999999</v>
      </c>
      <c r="AB115">
        <v>9.2281510000000004</v>
      </c>
      <c r="AC115">
        <v>6.8821719999999997</v>
      </c>
      <c r="AD115">
        <v>10.328052</v>
      </c>
      <c r="AE115">
        <v>10.09792</v>
      </c>
      <c r="AF115">
        <v>10.304275000000001</v>
      </c>
      <c r="AG115">
        <v>9.883597</v>
      </c>
    </row>
    <row r="116" spans="1:33" x14ac:dyDescent="0.25">
      <c r="A116" s="1">
        <v>44167</v>
      </c>
      <c r="B116">
        <v>10.324935</v>
      </c>
      <c r="C116">
        <v>10.949707</v>
      </c>
      <c r="D116">
        <v>10.5930605</v>
      </c>
      <c r="E116">
        <v>10.504536999999999</v>
      </c>
      <c r="F116">
        <v>10.914739000000001</v>
      </c>
      <c r="G116">
        <v>11.114379</v>
      </c>
      <c r="H116">
        <v>11.463412999999999</v>
      </c>
      <c r="I116">
        <v>10.291209</v>
      </c>
      <c r="J116">
        <v>9.1344650000000005</v>
      </c>
      <c r="K116">
        <v>10.421229</v>
      </c>
      <c r="L116">
        <v>10.277239</v>
      </c>
      <c r="M116">
        <v>11.068189</v>
      </c>
      <c r="N116">
        <v>10.484508</v>
      </c>
      <c r="O116">
        <v>10.249677</v>
      </c>
      <c r="P116">
        <v>10.4517565</v>
      </c>
      <c r="Q116">
        <v>10.983438</v>
      </c>
      <c r="R116">
        <v>10.36801</v>
      </c>
      <c r="S116">
        <v>6.6483207000000002</v>
      </c>
      <c r="T116">
        <v>9.5924510000000005</v>
      </c>
      <c r="U116">
        <v>9.8449799999999996</v>
      </c>
      <c r="V116">
        <v>9.6758209999999991</v>
      </c>
      <c r="W116">
        <v>9.7967270000000006</v>
      </c>
      <c r="X116">
        <v>9.6360655000000008</v>
      </c>
      <c r="Y116">
        <v>8.5019170000000006</v>
      </c>
      <c r="Z116">
        <v>9.5127959999999998</v>
      </c>
      <c r="AA116">
        <v>10.032579999999999</v>
      </c>
      <c r="AB116">
        <v>9.0859880000000004</v>
      </c>
      <c r="AC116">
        <v>6.7854390000000002</v>
      </c>
      <c r="AD116">
        <v>10.243183999999999</v>
      </c>
      <c r="AE116">
        <v>10.041465000000001</v>
      </c>
      <c r="AF116">
        <v>10.213868</v>
      </c>
      <c r="AG116">
        <v>9.77271</v>
      </c>
    </row>
    <row r="117" spans="1:33" x14ac:dyDescent="0.25">
      <c r="A117" s="1">
        <v>44168</v>
      </c>
      <c r="B117">
        <v>10.30997</v>
      </c>
      <c r="C117">
        <v>10.902772000000001</v>
      </c>
      <c r="D117">
        <v>10.551477999999999</v>
      </c>
      <c r="E117">
        <v>10.462152</v>
      </c>
      <c r="F117">
        <v>10.9235525</v>
      </c>
      <c r="G117">
        <v>11.047904000000001</v>
      </c>
      <c r="H117">
        <v>11.400031</v>
      </c>
      <c r="I117">
        <v>10.358159000000001</v>
      </c>
      <c r="J117">
        <v>9.159497</v>
      </c>
      <c r="K117">
        <v>10.318908</v>
      </c>
      <c r="L117">
        <v>10.183987</v>
      </c>
      <c r="M117">
        <v>11.003757999999999</v>
      </c>
      <c r="N117">
        <v>10.360752</v>
      </c>
      <c r="O117">
        <v>10.1633215</v>
      </c>
      <c r="P117">
        <v>10.351124</v>
      </c>
      <c r="Q117">
        <v>10.902168</v>
      </c>
      <c r="R117">
        <v>10.274406000000001</v>
      </c>
      <c r="S117">
        <v>6.6798634999999997</v>
      </c>
      <c r="T117">
        <v>9.4793479999999999</v>
      </c>
      <c r="U117">
        <v>9.7395200000000006</v>
      </c>
      <c r="V117">
        <v>9.5694940000000006</v>
      </c>
      <c r="W117">
        <v>9.756513</v>
      </c>
      <c r="X117">
        <v>9.5437975000000002</v>
      </c>
      <c r="Y117">
        <v>8.0922739999999997</v>
      </c>
      <c r="Z117">
        <v>9.4718470000000003</v>
      </c>
      <c r="AA117">
        <v>9.9197319999999998</v>
      </c>
      <c r="AB117">
        <v>9.0405580000000008</v>
      </c>
      <c r="AC117">
        <v>6.712898</v>
      </c>
      <c r="AD117">
        <v>10.146063</v>
      </c>
      <c r="AE117">
        <v>10.025409</v>
      </c>
      <c r="AF117">
        <v>10.097905000000001</v>
      </c>
      <c r="AG117">
        <v>9.6544100000000004</v>
      </c>
    </row>
    <row r="118" spans="1:33" x14ac:dyDescent="0.25">
      <c r="A118" s="1">
        <v>44169</v>
      </c>
      <c r="B118">
        <v>10.201264999999999</v>
      </c>
      <c r="C118">
        <v>10.780732</v>
      </c>
      <c r="D118">
        <v>10.476229999999999</v>
      </c>
      <c r="E118">
        <v>10.3680105</v>
      </c>
      <c r="F118">
        <v>10.872249999999999</v>
      </c>
      <c r="G118">
        <v>10.957496000000001</v>
      </c>
      <c r="H118">
        <v>11.343211999999999</v>
      </c>
      <c r="I118">
        <v>10.37716</v>
      </c>
      <c r="J118">
        <v>9.1605310000000006</v>
      </c>
      <c r="K118">
        <v>10.213695</v>
      </c>
      <c r="L118">
        <v>10.074991000000001</v>
      </c>
      <c r="M118">
        <v>10.926137000000001</v>
      </c>
      <c r="N118">
        <v>10.223409</v>
      </c>
      <c r="O118">
        <v>10.067372000000001</v>
      </c>
      <c r="P118">
        <v>10.240097</v>
      </c>
      <c r="Q118">
        <v>10.789134000000001</v>
      </c>
      <c r="R118">
        <v>10.164337</v>
      </c>
      <c r="S118">
        <v>6.6620179999999998</v>
      </c>
      <c r="T118">
        <v>9.3636389999999992</v>
      </c>
      <c r="U118">
        <v>9.6310140000000004</v>
      </c>
      <c r="V118">
        <v>9.514678</v>
      </c>
      <c r="W118">
        <v>9.7109179999999995</v>
      </c>
      <c r="X118">
        <v>9.5535800000000002</v>
      </c>
      <c r="Y118">
        <v>8.1346100000000003</v>
      </c>
      <c r="Z118">
        <v>9.4031149999999997</v>
      </c>
      <c r="AA118">
        <v>9.8051189999999995</v>
      </c>
      <c r="AB118">
        <v>8.8073490000000003</v>
      </c>
      <c r="AC118">
        <v>6.7121940000000002</v>
      </c>
      <c r="AD118">
        <v>10.046504000000001</v>
      </c>
      <c r="AE118">
        <v>10.351988</v>
      </c>
      <c r="AF118">
        <v>9.9718710000000002</v>
      </c>
      <c r="AG118">
        <v>9.5233489999999996</v>
      </c>
    </row>
    <row r="119" spans="1:33" x14ac:dyDescent="0.25">
      <c r="A119" s="1">
        <v>44170</v>
      </c>
      <c r="B119">
        <v>10.087120000000001</v>
      </c>
      <c r="C119">
        <v>10.672062</v>
      </c>
      <c r="D119">
        <v>10.384147</v>
      </c>
      <c r="E119">
        <v>10.266639</v>
      </c>
      <c r="F119">
        <v>10.797262999999999</v>
      </c>
      <c r="G119">
        <v>10.901721</v>
      </c>
      <c r="H119">
        <v>11.296500999999999</v>
      </c>
      <c r="I119">
        <v>10.359311</v>
      </c>
      <c r="J119">
        <v>9.0461019999999994</v>
      </c>
      <c r="K119">
        <v>10.113284999999999</v>
      </c>
      <c r="L119">
        <v>9.9854540000000007</v>
      </c>
      <c r="M119">
        <v>10.854561</v>
      </c>
      <c r="N119">
        <v>10.143996</v>
      </c>
      <c r="O119">
        <v>9.9809450000000002</v>
      </c>
      <c r="P119">
        <v>10.144657</v>
      </c>
      <c r="Q119">
        <v>10.718975</v>
      </c>
      <c r="R119">
        <v>10.075608000000001</v>
      </c>
      <c r="S119">
        <v>6.6107630000000004</v>
      </c>
      <c r="T119">
        <v>9.3061399999999992</v>
      </c>
      <c r="U119">
        <v>9.4620130000000007</v>
      </c>
      <c r="V119">
        <v>9.4702160000000006</v>
      </c>
      <c r="W119">
        <v>9.734299</v>
      </c>
      <c r="X119">
        <v>9.5107549999999996</v>
      </c>
      <c r="Y119">
        <v>8.2432060000000007</v>
      </c>
      <c r="Z119">
        <v>9.3018265000000007</v>
      </c>
      <c r="AA119">
        <v>9.6773790000000002</v>
      </c>
      <c r="AB119">
        <v>8.7503689999999992</v>
      </c>
      <c r="AC119">
        <v>6.7589040000000002</v>
      </c>
      <c r="AD119">
        <v>9.9497210000000003</v>
      </c>
      <c r="AE119">
        <v>10.267934</v>
      </c>
      <c r="AF119">
        <v>9.8580349999999992</v>
      </c>
      <c r="AG119">
        <v>9.3743370000000006</v>
      </c>
    </row>
    <row r="120" spans="1:33" x14ac:dyDescent="0.25">
      <c r="A120" s="1">
        <v>44171</v>
      </c>
      <c r="B120">
        <v>9.9641610000000007</v>
      </c>
      <c r="C120">
        <v>10.523164</v>
      </c>
      <c r="D120">
        <v>10.234261999999999</v>
      </c>
      <c r="E120">
        <v>10.086662</v>
      </c>
      <c r="F120">
        <v>10.729454</v>
      </c>
      <c r="G120">
        <v>10.763672</v>
      </c>
      <c r="H120">
        <v>11.213255999999999</v>
      </c>
      <c r="I120">
        <v>10.228183</v>
      </c>
      <c r="J120">
        <v>8.865748</v>
      </c>
      <c r="K120">
        <v>9.9793900000000004</v>
      </c>
      <c r="L120">
        <v>9.8528680000000008</v>
      </c>
      <c r="M120">
        <v>10.715945</v>
      </c>
      <c r="N120">
        <v>9.9547415000000008</v>
      </c>
      <c r="O120">
        <v>9.8760790000000007</v>
      </c>
      <c r="P120">
        <v>10.006221</v>
      </c>
      <c r="Q120">
        <v>10.585758</v>
      </c>
      <c r="R120">
        <v>9.9562840000000001</v>
      </c>
      <c r="S120">
        <v>6.4949455</v>
      </c>
      <c r="T120">
        <v>9.2066700000000008</v>
      </c>
      <c r="U120">
        <v>9.3592659999999999</v>
      </c>
      <c r="V120">
        <v>9.3931389999999997</v>
      </c>
      <c r="W120">
        <v>9.74343</v>
      </c>
      <c r="X120">
        <v>9.4403509999999997</v>
      </c>
      <c r="Y120">
        <v>8.0784870000000009</v>
      </c>
      <c r="Z120">
        <v>9.1556840000000008</v>
      </c>
      <c r="AA120">
        <v>9.5073830000000008</v>
      </c>
      <c r="AB120">
        <v>8.6478439999999992</v>
      </c>
      <c r="AC120">
        <v>6.7678865999999998</v>
      </c>
      <c r="AD120">
        <v>9.8013139999999996</v>
      </c>
      <c r="AE120">
        <v>10.219946999999999</v>
      </c>
      <c r="AF120">
        <v>9.6980199999999996</v>
      </c>
      <c r="AG120">
        <v>9.1797629999999995</v>
      </c>
    </row>
    <row r="121" spans="1:33" x14ac:dyDescent="0.25">
      <c r="A121" s="1">
        <v>44172</v>
      </c>
      <c r="B121">
        <v>9.9007869999999993</v>
      </c>
      <c r="C121">
        <v>10.396261000000001</v>
      </c>
      <c r="D121">
        <v>10.082257</v>
      </c>
      <c r="E121">
        <v>9.9576580000000003</v>
      </c>
      <c r="F121">
        <v>10.680522</v>
      </c>
      <c r="G121">
        <v>10.662729000000001</v>
      </c>
      <c r="H121">
        <v>11.14874</v>
      </c>
      <c r="I121">
        <v>10.250691</v>
      </c>
      <c r="J121">
        <v>8.7434619999999992</v>
      </c>
      <c r="K121">
        <v>9.8420100000000001</v>
      </c>
      <c r="L121">
        <v>9.6643989999999995</v>
      </c>
      <c r="M121">
        <v>10.604272</v>
      </c>
      <c r="N121">
        <v>9.7041640000000005</v>
      </c>
      <c r="O121">
        <v>9.7817930000000004</v>
      </c>
      <c r="P121">
        <v>9.8665380000000003</v>
      </c>
      <c r="Q121">
        <v>10.453314000000001</v>
      </c>
      <c r="R121">
        <v>9.8180759999999996</v>
      </c>
      <c r="S121">
        <v>6.5082554999999997</v>
      </c>
      <c r="T121">
        <v>9.0981909999999999</v>
      </c>
      <c r="U121">
        <v>9.1920490000000008</v>
      </c>
      <c r="V121">
        <v>9.3360380000000003</v>
      </c>
      <c r="W121">
        <v>9.7578519999999997</v>
      </c>
      <c r="X121">
        <v>9.4073689999999992</v>
      </c>
      <c r="Y121">
        <v>7.6913090000000004</v>
      </c>
      <c r="Z121">
        <v>9.0101490000000002</v>
      </c>
      <c r="AA121">
        <v>9.3639119999999991</v>
      </c>
      <c r="AB121">
        <v>8.325215</v>
      </c>
      <c r="AC121">
        <v>6.7875823999999998</v>
      </c>
      <c r="AD121">
        <v>9.6480010000000007</v>
      </c>
      <c r="AE121">
        <v>10.391386000000001</v>
      </c>
      <c r="AF121">
        <v>9.5129230000000007</v>
      </c>
      <c r="AG121">
        <v>9.0228870000000008</v>
      </c>
    </row>
    <row r="122" spans="1:33" x14ac:dyDescent="0.25">
      <c r="A122" s="1">
        <v>44173</v>
      </c>
      <c r="B122">
        <v>9.970675</v>
      </c>
      <c r="C122">
        <v>10.389488999999999</v>
      </c>
      <c r="D122">
        <v>10.01286</v>
      </c>
      <c r="E122">
        <v>9.9665984999999999</v>
      </c>
      <c r="F122">
        <v>10.690896</v>
      </c>
      <c r="G122">
        <v>10.6316595</v>
      </c>
      <c r="H122">
        <v>11.136773</v>
      </c>
      <c r="I122">
        <v>10.324769</v>
      </c>
      <c r="J122">
        <v>8.7930320000000002</v>
      </c>
      <c r="K122">
        <v>9.8260570000000005</v>
      </c>
      <c r="L122">
        <v>9.6343060000000005</v>
      </c>
      <c r="M122">
        <v>10.543184</v>
      </c>
      <c r="N122">
        <v>9.7153770000000002</v>
      </c>
      <c r="O122">
        <v>9.7567280000000007</v>
      </c>
      <c r="P122">
        <v>9.8263890000000007</v>
      </c>
      <c r="Q122">
        <v>10.418843000000001</v>
      </c>
      <c r="R122">
        <v>9.8288279999999997</v>
      </c>
      <c r="S122">
        <v>6.5754294</v>
      </c>
      <c r="T122">
        <v>9.1443530000000006</v>
      </c>
      <c r="U122">
        <v>9.1205449999999999</v>
      </c>
      <c r="V122">
        <v>9.4211299999999998</v>
      </c>
      <c r="W122">
        <v>9.7799099999999992</v>
      </c>
      <c r="X122">
        <v>9.4793869999999991</v>
      </c>
      <c r="Y122">
        <v>7.7492064999999997</v>
      </c>
      <c r="Z122">
        <v>8.9750069999999997</v>
      </c>
      <c r="AA122">
        <v>9.3503139999999991</v>
      </c>
      <c r="AB122">
        <v>8.3381814999999992</v>
      </c>
      <c r="AC122">
        <v>6.8221993000000003</v>
      </c>
      <c r="AD122">
        <v>9.6086930000000006</v>
      </c>
      <c r="AE122">
        <v>10.607604</v>
      </c>
      <c r="AF122">
        <v>9.3980720000000009</v>
      </c>
      <c r="AG122">
        <v>9.0587129999999991</v>
      </c>
    </row>
    <row r="123" spans="1:33" x14ac:dyDescent="0.25">
      <c r="A123" s="1">
        <v>44174</v>
      </c>
      <c r="B123">
        <v>9.7670180000000002</v>
      </c>
      <c r="C123">
        <v>10.294835000000001</v>
      </c>
      <c r="D123">
        <v>9.9503219999999999</v>
      </c>
      <c r="E123">
        <v>9.8924900000000004</v>
      </c>
      <c r="F123">
        <v>10.586059000000001</v>
      </c>
      <c r="G123">
        <v>10.592745000000001</v>
      </c>
      <c r="H123">
        <v>11.054266999999999</v>
      </c>
      <c r="I123">
        <v>10.240617</v>
      </c>
      <c r="J123">
        <v>8.6492439999999995</v>
      </c>
      <c r="K123">
        <v>9.7489819999999998</v>
      </c>
      <c r="L123">
        <v>9.5030850000000004</v>
      </c>
      <c r="M123">
        <v>10.472909</v>
      </c>
      <c r="N123">
        <v>9.6579080000000008</v>
      </c>
      <c r="O123">
        <v>9.6235979999999994</v>
      </c>
      <c r="P123">
        <v>9.7573790000000002</v>
      </c>
      <c r="Q123">
        <v>10.365048</v>
      </c>
      <c r="R123">
        <v>9.7249800000000004</v>
      </c>
      <c r="S123">
        <v>6.4058890000000002</v>
      </c>
      <c r="T123">
        <v>9.1106809999999996</v>
      </c>
      <c r="U123">
        <v>9.0058520000000009</v>
      </c>
      <c r="V123">
        <v>9.4311030000000002</v>
      </c>
      <c r="W123">
        <v>9.63964</v>
      </c>
      <c r="X123">
        <v>9.4858659999999997</v>
      </c>
      <c r="Y123">
        <v>7.8324299999999996</v>
      </c>
      <c r="Z123">
        <v>8.8843530000000008</v>
      </c>
      <c r="AA123">
        <v>9.2559500000000003</v>
      </c>
      <c r="AB123">
        <v>8.3426829999999992</v>
      </c>
      <c r="AC123">
        <v>6.7570623999999997</v>
      </c>
      <c r="AD123">
        <v>9.5200814999999999</v>
      </c>
      <c r="AE123">
        <v>10.347631</v>
      </c>
      <c r="AF123">
        <v>9.2707204999999995</v>
      </c>
      <c r="AG123">
        <v>8.9231160000000003</v>
      </c>
    </row>
    <row r="124" spans="1:33" x14ac:dyDescent="0.25">
      <c r="A124" s="1">
        <v>44175</v>
      </c>
      <c r="B124">
        <v>9.7380169999999993</v>
      </c>
      <c r="C124">
        <v>10.242812000000001</v>
      </c>
      <c r="D124">
        <v>9.9803169999999994</v>
      </c>
      <c r="E124">
        <v>9.9216080000000009</v>
      </c>
      <c r="F124">
        <v>10.544741</v>
      </c>
      <c r="G124">
        <v>10.581799500000001</v>
      </c>
      <c r="H124">
        <v>11.021787</v>
      </c>
      <c r="I124">
        <v>10.187839500000001</v>
      </c>
      <c r="J124">
        <v>8.6486160000000005</v>
      </c>
      <c r="K124">
        <v>9.6847770000000004</v>
      </c>
      <c r="L124">
        <v>9.4439250000000001</v>
      </c>
      <c r="M124">
        <v>10.462081</v>
      </c>
      <c r="N124">
        <v>9.6714870000000008</v>
      </c>
      <c r="O124">
        <v>9.5659980000000004</v>
      </c>
      <c r="P124">
        <v>9.7101469999999992</v>
      </c>
      <c r="Q124">
        <v>10.3718</v>
      </c>
      <c r="R124">
        <v>9.6532859999999996</v>
      </c>
      <c r="S124">
        <v>6.4889245000000004</v>
      </c>
      <c r="T124">
        <v>9.1145809999999994</v>
      </c>
      <c r="U124">
        <v>8.9203759999999992</v>
      </c>
      <c r="V124">
        <v>9.4016590000000004</v>
      </c>
      <c r="W124">
        <v>9.7152469999999997</v>
      </c>
      <c r="X124">
        <v>9.4509849999999993</v>
      </c>
      <c r="Y124">
        <v>7.9857725999999998</v>
      </c>
      <c r="Z124">
        <v>8.8151890000000002</v>
      </c>
      <c r="AA124">
        <v>9.1630020000000005</v>
      </c>
      <c r="AB124">
        <v>8.4529230000000002</v>
      </c>
      <c r="AC124">
        <v>6.7300487000000002</v>
      </c>
      <c r="AD124">
        <v>9.4533050000000003</v>
      </c>
      <c r="AE124">
        <v>10.316822</v>
      </c>
      <c r="AF124">
        <v>9.1939510000000002</v>
      </c>
      <c r="AG124">
        <v>8.8226250000000004</v>
      </c>
    </row>
    <row r="125" spans="1:33" x14ac:dyDescent="0.25">
      <c r="A125" s="1">
        <v>44176</v>
      </c>
      <c r="B125">
        <v>9.3388639999999992</v>
      </c>
      <c r="C125">
        <v>10.082794</v>
      </c>
      <c r="D125">
        <v>9.8457089999999994</v>
      </c>
      <c r="E125">
        <v>9.7636240000000001</v>
      </c>
      <c r="F125">
        <v>10.216704</v>
      </c>
      <c r="G125">
        <v>10.412224</v>
      </c>
      <c r="H125">
        <v>10.793358</v>
      </c>
      <c r="I125">
        <v>9.7292810000000003</v>
      </c>
      <c r="J125">
        <v>8.4614180000000001</v>
      </c>
      <c r="K125">
        <v>9.5169820000000005</v>
      </c>
      <c r="L125">
        <v>9.2776379999999996</v>
      </c>
      <c r="M125">
        <v>10.288442</v>
      </c>
      <c r="N125">
        <v>9.5499930000000006</v>
      </c>
      <c r="O125">
        <v>9.4041530000000009</v>
      </c>
      <c r="P125">
        <v>9.5662775</v>
      </c>
      <c r="Q125">
        <v>10.203336</v>
      </c>
      <c r="R125">
        <v>9.4824649999999995</v>
      </c>
      <c r="S125">
        <v>6.3204637000000004</v>
      </c>
      <c r="T125">
        <v>8.9942829999999994</v>
      </c>
      <c r="U125">
        <v>8.7580960000000001</v>
      </c>
      <c r="V125">
        <v>9.2386470000000003</v>
      </c>
      <c r="W125">
        <v>9.5884889999999992</v>
      </c>
      <c r="X125">
        <v>9.2928110000000004</v>
      </c>
      <c r="Y125">
        <v>7.8775329999999997</v>
      </c>
      <c r="Z125">
        <v>8.6642849999999996</v>
      </c>
      <c r="AA125">
        <v>8.9975660000000008</v>
      </c>
      <c r="AB125">
        <v>8.3225580000000008</v>
      </c>
      <c r="AC125">
        <v>6.6530623000000002</v>
      </c>
      <c r="AD125">
        <v>9.3053290000000004</v>
      </c>
      <c r="AE125">
        <v>10.039593999999999</v>
      </c>
      <c r="AF125">
        <v>9.0134670000000003</v>
      </c>
      <c r="AG125">
        <v>8.6624099999999995</v>
      </c>
    </row>
    <row r="126" spans="1:33" x14ac:dyDescent="0.25">
      <c r="A126" s="1">
        <v>44177</v>
      </c>
      <c r="B126">
        <v>9.7253849999999993</v>
      </c>
      <c r="C126">
        <v>10.196591</v>
      </c>
      <c r="D126">
        <v>9.9457240000000002</v>
      </c>
      <c r="E126">
        <v>9.9710649999999994</v>
      </c>
      <c r="F126">
        <v>10.399543</v>
      </c>
      <c r="G126">
        <v>10.376887999999999</v>
      </c>
      <c r="H126">
        <v>10.790637</v>
      </c>
      <c r="I126">
        <v>10.044332000000001</v>
      </c>
      <c r="J126">
        <v>8.8219360000000009</v>
      </c>
      <c r="K126">
        <v>9.5664300000000004</v>
      </c>
      <c r="L126">
        <v>9.3733920000000008</v>
      </c>
      <c r="M126">
        <v>10.294904000000001</v>
      </c>
      <c r="N126">
        <v>9.6510259999999999</v>
      </c>
      <c r="O126">
        <v>9.4836069999999992</v>
      </c>
      <c r="P126">
        <v>9.5971810000000009</v>
      </c>
      <c r="Q126">
        <v>10.199282999999999</v>
      </c>
      <c r="R126">
        <v>9.5216150000000006</v>
      </c>
      <c r="S126">
        <v>6.8386655000000003</v>
      </c>
      <c r="T126">
        <v>9.0692970000000006</v>
      </c>
      <c r="U126">
        <v>8.838279</v>
      </c>
      <c r="V126">
        <v>9.3794930000000001</v>
      </c>
      <c r="W126">
        <v>9.5907389999999992</v>
      </c>
      <c r="X126">
        <v>9.4649079999999994</v>
      </c>
      <c r="Y126">
        <v>8.0691980000000001</v>
      </c>
      <c r="Z126">
        <v>8.7915550000000007</v>
      </c>
      <c r="AA126">
        <v>9.0861249999999991</v>
      </c>
      <c r="AB126">
        <v>8.4901359999999997</v>
      </c>
      <c r="AC126">
        <v>6.9266486</v>
      </c>
      <c r="AD126">
        <v>9.3386390000000006</v>
      </c>
      <c r="AE126">
        <v>10.345756</v>
      </c>
      <c r="AF126">
        <v>9.0104369999999996</v>
      </c>
      <c r="AG126">
        <v>8.9270870000000002</v>
      </c>
    </row>
    <row r="127" spans="1:33" x14ac:dyDescent="0.25">
      <c r="A127" s="1">
        <v>44178</v>
      </c>
      <c r="B127">
        <v>9.6763279999999998</v>
      </c>
      <c r="C127">
        <v>10.060452</v>
      </c>
      <c r="D127">
        <v>10.038004000000001</v>
      </c>
      <c r="E127">
        <v>10.085452999999999</v>
      </c>
      <c r="F127">
        <v>10.2508745</v>
      </c>
      <c r="G127">
        <v>10.339803</v>
      </c>
      <c r="H127">
        <v>10.744507</v>
      </c>
      <c r="I127">
        <v>10.082191999999999</v>
      </c>
      <c r="J127">
        <v>8.9750809999999994</v>
      </c>
      <c r="K127">
        <v>9.5353169999999992</v>
      </c>
      <c r="L127">
        <v>9.3327960000000001</v>
      </c>
      <c r="M127">
        <v>10.249041999999999</v>
      </c>
      <c r="N127">
        <v>9.6419049999999995</v>
      </c>
      <c r="O127">
        <v>9.4350579999999997</v>
      </c>
      <c r="P127">
        <v>9.5679580000000009</v>
      </c>
      <c r="Q127">
        <v>10.157520999999999</v>
      </c>
      <c r="R127">
        <v>9.4682169999999992</v>
      </c>
      <c r="S127">
        <v>7.2538029999999996</v>
      </c>
      <c r="T127">
        <v>9.1289879999999997</v>
      </c>
      <c r="U127">
        <v>8.798603</v>
      </c>
      <c r="V127">
        <v>9.3939450000000004</v>
      </c>
      <c r="W127">
        <v>9.5105959999999996</v>
      </c>
      <c r="X127">
        <v>9.4520180000000007</v>
      </c>
      <c r="Y127">
        <v>8.0480099999999997</v>
      </c>
      <c r="Z127">
        <v>8.8842040000000004</v>
      </c>
      <c r="AA127">
        <v>9.0752939999999995</v>
      </c>
      <c r="AB127">
        <v>8.4284809999999997</v>
      </c>
      <c r="AC127">
        <v>7.2556750000000001</v>
      </c>
      <c r="AD127">
        <v>9.3195979999999992</v>
      </c>
      <c r="AE127">
        <v>10.7869215</v>
      </c>
      <c r="AF127">
        <v>8.8905790000000007</v>
      </c>
      <c r="AG127">
        <v>8.9160229999999991</v>
      </c>
    </row>
    <row r="128" spans="1:33" x14ac:dyDescent="0.25">
      <c r="A128" s="1">
        <v>44179</v>
      </c>
      <c r="B128">
        <v>9.4406499999999998</v>
      </c>
      <c r="C128">
        <v>9.9484270000000006</v>
      </c>
      <c r="D128">
        <v>9.9898830000000007</v>
      </c>
      <c r="E128">
        <v>9.9926650000000006</v>
      </c>
      <c r="F128">
        <v>10.082224999999999</v>
      </c>
      <c r="G128">
        <v>10.210274</v>
      </c>
      <c r="H128">
        <v>10.621905</v>
      </c>
      <c r="I128">
        <v>9.8101590000000005</v>
      </c>
      <c r="J128">
        <v>8.9336350000000007</v>
      </c>
      <c r="K128">
        <v>9.4354510000000005</v>
      </c>
      <c r="L128">
        <v>9.2560929999999999</v>
      </c>
      <c r="M128">
        <v>10.114976</v>
      </c>
      <c r="N128">
        <v>9.5159179999999992</v>
      </c>
      <c r="O128">
        <v>9.3420480000000001</v>
      </c>
      <c r="P128">
        <v>9.4785140000000006</v>
      </c>
      <c r="Q128">
        <v>10.039923999999999</v>
      </c>
      <c r="R128">
        <v>9.3723200000000002</v>
      </c>
      <c r="S128">
        <v>7.4823639999999996</v>
      </c>
      <c r="T128">
        <v>9.0798220000000001</v>
      </c>
      <c r="U128">
        <v>8.7772170000000003</v>
      </c>
      <c r="V128">
        <v>9.3121369999999999</v>
      </c>
      <c r="W128">
        <v>9.5222040000000003</v>
      </c>
      <c r="X128">
        <v>9.3739139999999992</v>
      </c>
      <c r="Y128">
        <v>8.0500380000000007</v>
      </c>
      <c r="Z128">
        <v>8.8936220000000006</v>
      </c>
      <c r="AA128">
        <v>9.0140860000000007</v>
      </c>
      <c r="AB128">
        <v>8.4421180000000007</v>
      </c>
      <c r="AC128">
        <v>7.7021173999999997</v>
      </c>
      <c r="AD128">
        <v>9.2505810000000004</v>
      </c>
      <c r="AE128">
        <v>10.773776</v>
      </c>
      <c r="AF128">
        <v>8.7740770000000001</v>
      </c>
      <c r="AG128">
        <v>8.8131450000000005</v>
      </c>
    </row>
    <row r="129" spans="1:33" x14ac:dyDescent="0.25">
      <c r="A129" s="1">
        <v>44180</v>
      </c>
      <c r="B129">
        <v>9.3603210000000008</v>
      </c>
      <c r="C129">
        <v>9.8139059999999994</v>
      </c>
      <c r="D129">
        <v>9.8604555000000005</v>
      </c>
      <c r="E129">
        <v>9.8288740000000008</v>
      </c>
      <c r="F129">
        <v>9.9444339999999993</v>
      </c>
      <c r="G129">
        <v>10.055901</v>
      </c>
      <c r="H129">
        <v>10.481927000000001</v>
      </c>
      <c r="I129">
        <v>9.6470900000000004</v>
      </c>
      <c r="J129">
        <v>8.740361</v>
      </c>
      <c r="K129">
        <v>9.3301169999999995</v>
      </c>
      <c r="L129">
        <v>9.1298709999999996</v>
      </c>
      <c r="M129">
        <v>9.9864569999999997</v>
      </c>
      <c r="N129">
        <v>9.4099350000000008</v>
      </c>
      <c r="O129">
        <v>9.2178489999999993</v>
      </c>
      <c r="P129">
        <v>9.3768949999999993</v>
      </c>
      <c r="Q129">
        <v>9.882612</v>
      </c>
      <c r="R129">
        <v>9.2550190000000008</v>
      </c>
      <c r="S129">
        <v>7.1980304999999998</v>
      </c>
      <c r="T129">
        <v>8.9630209999999995</v>
      </c>
      <c r="U129">
        <v>8.6546789999999998</v>
      </c>
      <c r="V129">
        <v>9.1997789999999995</v>
      </c>
      <c r="W129">
        <v>9.6366490000000002</v>
      </c>
      <c r="X129">
        <v>9.2541620000000009</v>
      </c>
      <c r="Y129">
        <v>8.0270139999999994</v>
      </c>
      <c r="Z129">
        <v>8.8346540000000005</v>
      </c>
      <c r="AA129">
        <v>8.9125720000000008</v>
      </c>
      <c r="AB129">
        <v>8.2910900000000005</v>
      </c>
      <c r="AC129">
        <v>11.215332</v>
      </c>
      <c r="AD129">
        <v>9.1421489999999999</v>
      </c>
      <c r="AE129">
        <v>10.659414999999999</v>
      </c>
      <c r="AF129">
        <v>8.5503929999999997</v>
      </c>
      <c r="AG129">
        <v>8.6480340000000009</v>
      </c>
    </row>
    <row r="130" spans="1:33" x14ac:dyDescent="0.25">
      <c r="A130" s="1">
        <v>44181</v>
      </c>
      <c r="B130">
        <v>9.3804390000000009</v>
      </c>
      <c r="C130">
        <v>9.7604190000000006</v>
      </c>
      <c r="D130">
        <v>9.7143460000000008</v>
      </c>
      <c r="E130">
        <v>9.7266239999999993</v>
      </c>
      <c r="F130">
        <v>9.8788070000000001</v>
      </c>
      <c r="G130">
        <v>9.9671660000000006</v>
      </c>
      <c r="H130">
        <v>10.393174999999999</v>
      </c>
      <c r="I130">
        <v>9.6037079999999992</v>
      </c>
      <c r="J130">
        <v>8.7414109999999994</v>
      </c>
      <c r="K130">
        <v>9.2876519999999996</v>
      </c>
      <c r="L130">
        <v>9.1042839999999998</v>
      </c>
      <c r="M130">
        <v>9.9048339999999993</v>
      </c>
      <c r="N130">
        <v>9.3627699999999994</v>
      </c>
      <c r="O130">
        <v>9.2091630000000002</v>
      </c>
      <c r="P130">
        <v>9.3228939999999998</v>
      </c>
      <c r="Q130">
        <v>9.7901769999999999</v>
      </c>
      <c r="R130">
        <v>9.2302049999999998</v>
      </c>
      <c r="S130">
        <v>7.1060980000000002</v>
      </c>
      <c r="T130">
        <v>8.9514169999999993</v>
      </c>
      <c r="U130">
        <v>8.6653629999999993</v>
      </c>
      <c r="V130">
        <v>9.2748439999999999</v>
      </c>
      <c r="W130">
        <v>9.6641270000000006</v>
      </c>
      <c r="X130">
        <v>9.3746150000000004</v>
      </c>
      <c r="Y130">
        <v>8.1461500000000004</v>
      </c>
      <c r="Z130">
        <v>8.8450050000000005</v>
      </c>
      <c r="AA130">
        <v>8.8706700000000005</v>
      </c>
      <c r="AB130">
        <v>8.3265619999999991</v>
      </c>
      <c r="AC130">
        <v>15.170161999999999</v>
      </c>
      <c r="AD130">
        <v>9.1039569999999994</v>
      </c>
      <c r="AE130">
        <v>10.421298</v>
      </c>
      <c r="AF130">
        <v>8.4180060000000001</v>
      </c>
      <c r="AG130">
        <v>8.6195020000000007</v>
      </c>
    </row>
    <row r="131" spans="1:33" x14ac:dyDescent="0.25">
      <c r="A131" s="1">
        <v>44182</v>
      </c>
      <c r="B131">
        <v>9.6352759999999993</v>
      </c>
      <c r="C131">
        <v>9.842435</v>
      </c>
      <c r="D131">
        <v>9.7272789999999993</v>
      </c>
      <c r="E131">
        <v>9.8059600000000007</v>
      </c>
      <c r="F131">
        <v>10.0229</v>
      </c>
      <c r="G131">
        <v>10.022717999999999</v>
      </c>
      <c r="H131">
        <v>10.464801</v>
      </c>
      <c r="I131">
        <v>9.8635190000000001</v>
      </c>
      <c r="J131">
        <v>9.1155159999999995</v>
      </c>
      <c r="K131">
        <v>9.37134</v>
      </c>
      <c r="L131">
        <v>9.2302409999999995</v>
      </c>
      <c r="M131">
        <v>9.9788979999999992</v>
      </c>
      <c r="N131">
        <v>9.4597200000000008</v>
      </c>
      <c r="O131">
        <v>9.3217800000000004</v>
      </c>
      <c r="P131">
        <v>9.4067600000000002</v>
      </c>
      <c r="Q131">
        <v>9.8441379999999992</v>
      </c>
      <c r="R131">
        <v>9.3117870000000007</v>
      </c>
      <c r="S131">
        <v>7.5650085999999996</v>
      </c>
      <c r="T131">
        <v>9.1369690000000006</v>
      </c>
      <c r="U131">
        <v>8.8766409999999993</v>
      </c>
      <c r="V131">
        <v>9.494351</v>
      </c>
      <c r="W131">
        <v>9.7777720000000006</v>
      </c>
      <c r="X131">
        <v>9.6670149999999992</v>
      </c>
      <c r="Y131">
        <v>9.1817960000000003</v>
      </c>
      <c r="Z131">
        <v>9.0386819999999997</v>
      </c>
      <c r="AA131">
        <v>9.0149220000000003</v>
      </c>
      <c r="AB131">
        <v>8.8281469999999995</v>
      </c>
      <c r="AC131">
        <v>14.602454</v>
      </c>
      <c r="AD131">
        <v>9.2095500000000001</v>
      </c>
      <c r="AE131">
        <v>10.904603</v>
      </c>
      <c r="AF131">
        <v>8.4648430000000001</v>
      </c>
      <c r="AG131">
        <v>8.8555869999999999</v>
      </c>
    </row>
    <row r="132" spans="1:33" x14ac:dyDescent="0.25">
      <c r="A132" s="1">
        <v>44183</v>
      </c>
      <c r="B132">
        <v>9.3352760000000004</v>
      </c>
      <c r="C132">
        <v>9.7041920000000008</v>
      </c>
      <c r="D132">
        <v>9.5693900000000003</v>
      </c>
      <c r="E132">
        <v>9.5517559999999992</v>
      </c>
      <c r="F132">
        <v>9.865767</v>
      </c>
      <c r="G132">
        <v>9.8949549999999995</v>
      </c>
      <c r="H132">
        <v>10.350422</v>
      </c>
      <c r="I132">
        <v>9.6898490000000006</v>
      </c>
      <c r="J132">
        <v>8.8030519999999992</v>
      </c>
      <c r="K132">
        <v>9.2966339999999992</v>
      </c>
      <c r="L132">
        <v>9.1513570000000009</v>
      </c>
      <c r="M132">
        <v>9.8415499999999998</v>
      </c>
      <c r="N132">
        <v>9.3495659999999994</v>
      </c>
      <c r="O132">
        <v>9.2415839999999996</v>
      </c>
      <c r="P132">
        <v>9.3278590000000001</v>
      </c>
      <c r="Q132">
        <v>9.7229989999999997</v>
      </c>
      <c r="R132">
        <v>9.2231640000000006</v>
      </c>
      <c r="S132">
        <v>7.2555594000000001</v>
      </c>
      <c r="T132">
        <v>9.1172199999999997</v>
      </c>
      <c r="U132">
        <v>8.7517099999999992</v>
      </c>
      <c r="V132">
        <v>9.4372640000000008</v>
      </c>
      <c r="W132">
        <v>9.8782270000000008</v>
      </c>
      <c r="X132">
        <v>9.5594000000000001</v>
      </c>
      <c r="Y132">
        <v>10.6491785</v>
      </c>
      <c r="Z132">
        <v>9.0169339999999991</v>
      </c>
      <c r="AA132">
        <v>8.9320129999999995</v>
      </c>
      <c r="AB132">
        <v>9.7711290000000002</v>
      </c>
      <c r="AC132">
        <v>12.11984</v>
      </c>
      <c r="AD132">
        <v>9.1445550000000004</v>
      </c>
      <c r="AE132">
        <v>10.554042000000001</v>
      </c>
      <c r="AF132">
        <v>8.3108260000000005</v>
      </c>
      <c r="AG132">
        <v>8.7138000000000009</v>
      </c>
    </row>
    <row r="133" spans="1:33" x14ac:dyDescent="0.25">
      <c r="A133" s="1">
        <v>44184</v>
      </c>
      <c r="B133">
        <v>9.0866410000000002</v>
      </c>
      <c r="C133">
        <v>9.5993320000000004</v>
      </c>
      <c r="D133">
        <v>9.3474880000000002</v>
      </c>
      <c r="E133">
        <v>9.2960119999999993</v>
      </c>
      <c r="F133">
        <v>9.6988590000000006</v>
      </c>
      <c r="G133">
        <v>9.7573410000000003</v>
      </c>
      <c r="H133">
        <v>10.21008</v>
      </c>
      <c r="I133">
        <v>9.4720530000000007</v>
      </c>
      <c r="J133">
        <v>8.4538220000000006</v>
      </c>
      <c r="K133">
        <v>9.1705579999999998</v>
      </c>
      <c r="L133">
        <v>9.0610020000000002</v>
      </c>
      <c r="M133">
        <v>9.6962489999999999</v>
      </c>
      <c r="N133">
        <v>9.2217149999999997</v>
      </c>
      <c r="O133">
        <v>9.1838580000000007</v>
      </c>
      <c r="P133">
        <v>9.1922370000000004</v>
      </c>
      <c r="Q133">
        <v>9.5670330000000003</v>
      </c>
      <c r="R133">
        <v>9.1530430000000003</v>
      </c>
      <c r="S133">
        <v>6.8292656000000003</v>
      </c>
      <c r="T133">
        <v>9.008051</v>
      </c>
      <c r="U133">
        <v>8.7468839999999997</v>
      </c>
      <c r="V133">
        <v>9.4641850000000005</v>
      </c>
      <c r="W133">
        <v>9.8104390000000006</v>
      </c>
      <c r="X133">
        <v>9.6006839999999993</v>
      </c>
      <c r="Y133">
        <v>11.181594</v>
      </c>
      <c r="Z133">
        <v>8.8813095000000004</v>
      </c>
      <c r="AA133">
        <v>8.7991569999999992</v>
      </c>
      <c r="AB133">
        <v>10.344220999999999</v>
      </c>
      <c r="AC133">
        <v>9.8214159999999993</v>
      </c>
      <c r="AD133">
        <v>9.0627320000000005</v>
      </c>
      <c r="AE133">
        <v>9.9415449999999996</v>
      </c>
      <c r="AF133">
        <v>8.2135514999999995</v>
      </c>
      <c r="AG133">
        <v>8.4847540000000006</v>
      </c>
    </row>
    <row r="134" spans="1:33" x14ac:dyDescent="0.25">
      <c r="A134" s="1">
        <v>44185</v>
      </c>
      <c r="B134">
        <v>8.8923170000000002</v>
      </c>
      <c r="C134">
        <v>9.4736320000000003</v>
      </c>
      <c r="D134">
        <v>9.1438500000000005</v>
      </c>
      <c r="E134">
        <v>9.0997269999999997</v>
      </c>
      <c r="F134">
        <v>9.6112470000000005</v>
      </c>
      <c r="G134">
        <v>9.6312940000000005</v>
      </c>
      <c r="H134">
        <v>10.108193</v>
      </c>
      <c r="I134">
        <v>9.3575949999999999</v>
      </c>
      <c r="J134">
        <v>8.1874459999999996</v>
      </c>
      <c r="K134">
        <v>9.0805450000000008</v>
      </c>
      <c r="L134">
        <v>8.9906590000000008</v>
      </c>
      <c r="M134">
        <v>9.5701789999999995</v>
      </c>
      <c r="N134">
        <v>9.1350099999999994</v>
      </c>
      <c r="O134">
        <v>9.1529720000000001</v>
      </c>
      <c r="P134">
        <v>9.0831710000000001</v>
      </c>
      <c r="Q134">
        <v>9.4465474999999994</v>
      </c>
      <c r="R134">
        <v>9.1144280000000002</v>
      </c>
      <c r="S134">
        <v>6.5594196</v>
      </c>
      <c r="T134">
        <v>8.9888619999999992</v>
      </c>
      <c r="U134">
        <v>8.7430260000000004</v>
      </c>
      <c r="V134">
        <v>9.5442060000000009</v>
      </c>
      <c r="W134">
        <v>9.5366219999999995</v>
      </c>
      <c r="X134">
        <v>9.6702359999999992</v>
      </c>
      <c r="Y134">
        <v>10.600353</v>
      </c>
      <c r="Z134">
        <v>8.8283009999999997</v>
      </c>
      <c r="AA134">
        <v>8.6697880000000005</v>
      </c>
      <c r="AB134">
        <v>10.010873</v>
      </c>
      <c r="AC134">
        <v>8.4652530000000006</v>
      </c>
      <c r="AD134">
        <v>8.9994820000000004</v>
      </c>
      <c r="AE134">
        <v>9.5109670000000008</v>
      </c>
      <c r="AF134">
        <v>8.3972029999999993</v>
      </c>
      <c r="AG134">
        <v>8.3036539999999999</v>
      </c>
    </row>
    <row r="135" spans="1:33" x14ac:dyDescent="0.25">
      <c r="A135" s="1">
        <v>44186</v>
      </c>
      <c r="B135">
        <v>8.7253139999999991</v>
      </c>
      <c r="C135">
        <v>9.2463879999999996</v>
      </c>
      <c r="D135">
        <v>8.9496765000000007</v>
      </c>
      <c r="E135">
        <v>8.9398739999999997</v>
      </c>
      <c r="F135">
        <v>9.4458319999999993</v>
      </c>
      <c r="G135">
        <v>9.5142299999999995</v>
      </c>
      <c r="H135">
        <v>10.026097</v>
      </c>
      <c r="I135">
        <v>9.1164819999999995</v>
      </c>
      <c r="J135">
        <v>7.8703732000000004</v>
      </c>
      <c r="K135">
        <v>8.9850130000000004</v>
      </c>
      <c r="L135">
        <v>8.8919709999999998</v>
      </c>
      <c r="M135">
        <v>9.4302259999999993</v>
      </c>
      <c r="N135">
        <v>9.0618280000000002</v>
      </c>
      <c r="O135">
        <v>9.0573680000000003</v>
      </c>
      <c r="P135">
        <v>8.9755490000000009</v>
      </c>
      <c r="Q135">
        <v>9.3347449999999998</v>
      </c>
      <c r="R135">
        <v>9.0412929999999996</v>
      </c>
      <c r="S135">
        <v>6.3592829999999996</v>
      </c>
      <c r="T135">
        <v>8.9817879999999999</v>
      </c>
      <c r="U135">
        <v>8.6243610000000004</v>
      </c>
      <c r="V135">
        <v>9.3985920000000007</v>
      </c>
      <c r="W135">
        <v>9.4020050000000008</v>
      </c>
      <c r="X135">
        <v>9.4611699999999992</v>
      </c>
      <c r="Y135">
        <v>9.2651990000000009</v>
      </c>
      <c r="Z135">
        <v>8.6913429999999998</v>
      </c>
      <c r="AA135">
        <v>8.5374339999999993</v>
      </c>
      <c r="AB135">
        <v>9.0759779999999992</v>
      </c>
      <c r="AC135">
        <v>7.859019</v>
      </c>
      <c r="AD135">
        <v>8.9033270000000009</v>
      </c>
      <c r="AE135">
        <v>9.2347099999999998</v>
      </c>
      <c r="AF135">
        <v>8.6632920000000002</v>
      </c>
      <c r="AG135">
        <v>8.0896480000000004</v>
      </c>
    </row>
    <row r="136" spans="1:33" x14ac:dyDescent="0.25">
      <c r="A136" s="1">
        <v>44187</v>
      </c>
      <c r="B136">
        <v>8.7794120000000007</v>
      </c>
      <c r="C136">
        <v>9.175891</v>
      </c>
      <c r="D136">
        <v>8.8297980000000003</v>
      </c>
      <c r="E136">
        <v>8.8415365000000001</v>
      </c>
      <c r="F136">
        <v>9.4310939999999999</v>
      </c>
      <c r="G136">
        <v>9.4459160000000004</v>
      </c>
      <c r="H136">
        <v>9.9634529999999994</v>
      </c>
      <c r="I136">
        <v>9.1140450000000008</v>
      </c>
      <c r="J136">
        <v>7.5874457</v>
      </c>
      <c r="K136">
        <v>8.8650169999999999</v>
      </c>
      <c r="L136">
        <v>8.7712990000000008</v>
      </c>
      <c r="M136">
        <v>9.3323119999999999</v>
      </c>
      <c r="N136">
        <v>8.9725894999999998</v>
      </c>
      <c r="O136">
        <v>8.9257629999999999</v>
      </c>
      <c r="P136">
        <v>8.8585879999999992</v>
      </c>
      <c r="Q136">
        <v>9.2572539999999996</v>
      </c>
      <c r="R136">
        <v>8.9447019999999995</v>
      </c>
      <c r="S136">
        <v>6.1334324000000002</v>
      </c>
      <c r="T136">
        <v>8.8446490000000004</v>
      </c>
      <c r="U136">
        <v>8.497166</v>
      </c>
      <c r="V136">
        <v>9.1222469999999998</v>
      </c>
      <c r="W136">
        <v>9.3098379999999992</v>
      </c>
      <c r="X136">
        <v>9.1666690000000006</v>
      </c>
      <c r="Y136">
        <v>8.3341360000000009</v>
      </c>
      <c r="Z136">
        <v>8.5759260000000008</v>
      </c>
      <c r="AA136">
        <v>8.4104449999999993</v>
      </c>
      <c r="AB136">
        <v>8.3944960000000002</v>
      </c>
      <c r="AC136">
        <v>7.2849716999999998</v>
      </c>
      <c r="AD136">
        <v>8.7972199999999994</v>
      </c>
      <c r="AE136">
        <v>8.9334345000000006</v>
      </c>
      <c r="AF136">
        <v>8.9085059999999991</v>
      </c>
      <c r="AG136">
        <v>7.979317</v>
      </c>
    </row>
    <row r="137" spans="1:33" x14ac:dyDescent="0.25">
      <c r="A137" s="1">
        <v>44188</v>
      </c>
      <c r="B137">
        <v>8.3267980000000001</v>
      </c>
      <c r="C137">
        <v>8.9374000000000002</v>
      </c>
      <c r="D137">
        <v>8.6086589999999994</v>
      </c>
      <c r="E137">
        <v>8.5675460000000001</v>
      </c>
      <c r="F137">
        <v>9.0884529999999994</v>
      </c>
      <c r="G137">
        <v>9.2872260000000004</v>
      </c>
      <c r="H137">
        <v>9.6796089999999992</v>
      </c>
      <c r="I137">
        <v>8.5907870000000006</v>
      </c>
      <c r="J137">
        <v>7.1601214000000004</v>
      </c>
      <c r="K137">
        <v>8.6782459999999997</v>
      </c>
      <c r="L137">
        <v>8.5340089999999993</v>
      </c>
      <c r="M137">
        <v>9.1237580000000005</v>
      </c>
      <c r="N137">
        <v>8.7863019999999992</v>
      </c>
      <c r="O137">
        <v>8.7030325000000008</v>
      </c>
      <c r="P137">
        <v>8.6915460000000007</v>
      </c>
      <c r="Q137">
        <v>9.0938639999999999</v>
      </c>
      <c r="R137">
        <v>8.7642489999999995</v>
      </c>
      <c r="S137">
        <v>5.6648399999999999</v>
      </c>
      <c r="T137">
        <v>8.5878300000000003</v>
      </c>
      <c r="U137">
        <v>8.2729060000000008</v>
      </c>
      <c r="V137">
        <v>8.8772000000000002</v>
      </c>
      <c r="W137">
        <v>9.0983239999999999</v>
      </c>
      <c r="X137">
        <v>8.9379039999999996</v>
      </c>
      <c r="Y137">
        <v>7.517601</v>
      </c>
      <c r="Z137">
        <v>8.3402469999999997</v>
      </c>
      <c r="AA137">
        <v>8.1385799999999993</v>
      </c>
      <c r="AB137">
        <v>7.7021712999999998</v>
      </c>
      <c r="AC137">
        <v>6.5380935999999998</v>
      </c>
      <c r="AD137">
        <v>8.6085960000000004</v>
      </c>
      <c r="AE137">
        <v>8.9138719999999996</v>
      </c>
      <c r="AF137">
        <v>9.146922</v>
      </c>
      <c r="AG137">
        <v>7.5863969999999998</v>
      </c>
    </row>
    <row r="138" spans="1:33" x14ac:dyDescent="0.25">
      <c r="A138" s="1">
        <v>44189</v>
      </c>
      <c r="B138">
        <v>8.0751270000000002</v>
      </c>
      <c r="C138">
        <v>8.7672380000000008</v>
      </c>
      <c r="D138">
        <v>8.3857280000000003</v>
      </c>
      <c r="E138">
        <v>8.3434059999999999</v>
      </c>
      <c r="F138">
        <v>8.8561960000000006</v>
      </c>
      <c r="G138">
        <v>9.0983230000000006</v>
      </c>
      <c r="H138">
        <v>9.4112980000000004</v>
      </c>
      <c r="I138">
        <v>8.0205369999999991</v>
      </c>
      <c r="J138">
        <v>6.9383774000000003</v>
      </c>
      <c r="K138">
        <v>8.5510970000000004</v>
      </c>
      <c r="L138">
        <v>8.4657250000000008</v>
      </c>
      <c r="M138">
        <v>8.9549540000000007</v>
      </c>
      <c r="N138">
        <v>8.6697220000000002</v>
      </c>
      <c r="O138">
        <v>8.5767129999999998</v>
      </c>
      <c r="P138">
        <v>8.5673510000000004</v>
      </c>
      <c r="Q138">
        <v>8.9334489999999995</v>
      </c>
      <c r="R138">
        <v>8.654712</v>
      </c>
      <c r="S138">
        <v>5.2465997</v>
      </c>
      <c r="T138">
        <v>8.4222339999999996</v>
      </c>
      <c r="U138">
        <v>8.1623669999999997</v>
      </c>
      <c r="V138">
        <v>8.7512519999999991</v>
      </c>
      <c r="W138">
        <v>9.0130420000000004</v>
      </c>
      <c r="X138">
        <v>8.8062179999999994</v>
      </c>
      <c r="Y138">
        <v>7.0773387000000003</v>
      </c>
      <c r="Z138">
        <v>8.2033830000000005</v>
      </c>
      <c r="AA138">
        <v>8.005941</v>
      </c>
      <c r="AB138">
        <v>7.3721832999999997</v>
      </c>
      <c r="AC138">
        <v>6.3040104000000001</v>
      </c>
      <c r="AD138">
        <v>8.4896609999999999</v>
      </c>
      <c r="AE138">
        <v>9.0288199999999996</v>
      </c>
      <c r="AF138">
        <v>9.205247</v>
      </c>
      <c r="AG138">
        <v>7.6878950000000001</v>
      </c>
    </row>
    <row r="139" spans="1:33" x14ac:dyDescent="0.25">
      <c r="A139" s="1">
        <v>44190</v>
      </c>
      <c r="B139">
        <v>8.0580510000000007</v>
      </c>
      <c r="C139">
        <v>8.6782140000000005</v>
      </c>
      <c r="D139">
        <v>8.2774190000000001</v>
      </c>
      <c r="E139">
        <v>8.3022109999999998</v>
      </c>
      <c r="F139">
        <v>8.8258329999999994</v>
      </c>
      <c r="G139">
        <v>9.0169324999999994</v>
      </c>
      <c r="H139">
        <v>9.4838850000000008</v>
      </c>
      <c r="I139">
        <v>7.9678288000000004</v>
      </c>
      <c r="J139">
        <v>6.9263244000000004</v>
      </c>
      <c r="K139">
        <v>8.4719689999999996</v>
      </c>
      <c r="L139">
        <v>8.4885529999999996</v>
      </c>
      <c r="M139">
        <v>8.9199359999999999</v>
      </c>
      <c r="N139">
        <v>8.6570459999999994</v>
      </c>
      <c r="O139">
        <v>8.5678625000000004</v>
      </c>
      <c r="P139">
        <v>8.4791489999999996</v>
      </c>
      <c r="Q139">
        <v>8.8921869999999998</v>
      </c>
      <c r="R139">
        <v>8.6262249999999998</v>
      </c>
      <c r="S139">
        <v>5.4182296000000001</v>
      </c>
      <c r="T139">
        <v>8.4219860000000004</v>
      </c>
      <c r="U139">
        <v>8.0455660000000009</v>
      </c>
      <c r="V139">
        <v>8.6642790000000005</v>
      </c>
      <c r="W139">
        <v>8.7821379999999998</v>
      </c>
      <c r="X139">
        <v>8.7080120000000001</v>
      </c>
      <c r="Y139">
        <v>6.9973564000000001</v>
      </c>
      <c r="Z139">
        <v>8.1556949999999997</v>
      </c>
      <c r="AA139">
        <v>7.9422192999999996</v>
      </c>
      <c r="AB139">
        <v>7.4271425999999998</v>
      </c>
      <c r="AC139">
        <v>6.2280889999999998</v>
      </c>
      <c r="AD139">
        <v>8.4774969999999996</v>
      </c>
      <c r="AE139">
        <v>8.8977769999999996</v>
      </c>
      <c r="AF139">
        <v>8.9554989999999997</v>
      </c>
      <c r="AG139">
        <v>7.7861875999999999</v>
      </c>
    </row>
    <row r="140" spans="1:33" x14ac:dyDescent="0.25">
      <c r="A140" s="1">
        <v>44191</v>
      </c>
      <c r="B140">
        <v>8.3810249999999993</v>
      </c>
      <c r="C140">
        <v>8.8893710000000006</v>
      </c>
      <c r="D140">
        <v>8.4379880000000007</v>
      </c>
      <c r="E140">
        <v>8.4768170000000005</v>
      </c>
      <c r="F140">
        <v>9.0385950000000008</v>
      </c>
      <c r="G140">
        <v>9.0634700000000006</v>
      </c>
      <c r="H140">
        <v>9.5892529999999994</v>
      </c>
      <c r="I140">
        <v>8.39621</v>
      </c>
      <c r="J140">
        <v>7.3096166</v>
      </c>
      <c r="K140">
        <v>8.5451879999999996</v>
      </c>
      <c r="L140">
        <v>8.6110950000000006</v>
      </c>
      <c r="M140">
        <v>8.99207</v>
      </c>
      <c r="N140">
        <v>8.746283</v>
      </c>
      <c r="O140">
        <v>8.7131869999999996</v>
      </c>
      <c r="P140">
        <v>8.5445379999999993</v>
      </c>
      <c r="Q140">
        <v>8.9379760000000008</v>
      </c>
      <c r="R140">
        <v>8.7049090000000007</v>
      </c>
      <c r="S140">
        <v>6.2358174000000002</v>
      </c>
      <c r="T140">
        <v>8.5481210000000001</v>
      </c>
      <c r="U140">
        <v>8.1631520000000002</v>
      </c>
      <c r="V140">
        <v>8.802835</v>
      </c>
      <c r="W140">
        <v>8.8547630000000002</v>
      </c>
      <c r="X140">
        <v>8.8784519999999993</v>
      </c>
      <c r="Y140">
        <v>7.2393003</v>
      </c>
      <c r="Z140">
        <v>8.3285699999999991</v>
      </c>
      <c r="AA140">
        <v>8.0729489999999995</v>
      </c>
      <c r="AB140">
        <v>7.6342489999999996</v>
      </c>
      <c r="AC140">
        <v>6.4710983999999998</v>
      </c>
      <c r="AD140">
        <v>8.5874550000000003</v>
      </c>
      <c r="AE140">
        <v>9.7467400000000008</v>
      </c>
      <c r="AF140">
        <v>8.9157510000000002</v>
      </c>
      <c r="AG140">
        <v>8.0216910000000006</v>
      </c>
    </row>
    <row r="141" spans="1:33" x14ac:dyDescent="0.25">
      <c r="A141" s="1">
        <v>44192</v>
      </c>
      <c r="B141">
        <v>8.4223999999999997</v>
      </c>
      <c r="C141">
        <v>8.9062090000000005</v>
      </c>
      <c r="D141">
        <v>8.5904019999999992</v>
      </c>
      <c r="E141">
        <v>8.5960000000000001</v>
      </c>
      <c r="F141">
        <v>9.060962</v>
      </c>
      <c r="G141">
        <v>9.1066885000000006</v>
      </c>
      <c r="H141">
        <v>9.5922020000000003</v>
      </c>
      <c r="I141">
        <v>8.6280999999999999</v>
      </c>
      <c r="J141">
        <v>7.5075969999999996</v>
      </c>
      <c r="K141">
        <v>8.5923660000000002</v>
      </c>
      <c r="L141">
        <v>8.5800059999999991</v>
      </c>
      <c r="M141">
        <v>9.044473</v>
      </c>
      <c r="N141">
        <v>8.7748030000000004</v>
      </c>
      <c r="O141">
        <v>8.6844710000000003</v>
      </c>
      <c r="P141">
        <v>8.5965469999999993</v>
      </c>
      <c r="Q141">
        <v>8.9995259999999995</v>
      </c>
      <c r="R141">
        <v>8.6900739999999992</v>
      </c>
      <c r="S141">
        <v>6.4188799999999997</v>
      </c>
      <c r="T141">
        <v>8.5966609999999992</v>
      </c>
      <c r="U141">
        <v>8.2022879999999994</v>
      </c>
      <c r="V141">
        <v>8.7905999999999995</v>
      </c>
      <c r="W141">
        <v>8.9547419999999995</v>
      </c>
      <c r="X141">
        <v>8.8244740000000004</v>
      </c>
      <c r="Y141">
        <v>7.2405906</v>
      </c>
      <c r="Z141">
        <v>8.4078579999999992</v>
      </c>
      <c r="AA141">
        <v>8.1289719999999992</v>
      </c>
      <c r="AB141">
        <v>7.7608050000000004</v>
      </c>
      <c r="AC141">
        <v>6.6271339999999999</v>
      </c>
      <c r="AD141">
        <v>8.5965089999999993</v>
      </c>
      <c r="AE141">
        <v>10.417411</v>
      </c>
      <c r="AF141">
        <v>8.9164870000000001</v>
      </c>
      <c r="AG141">
        <v>8.0330220000000008</v>
      </c>
    </row>
    <row r="142" spans="1:33" x14ac:dyDescent="0.25">
      <c r="A142" s="1">
        <v>44193</v>
      </c>
      <c r="B142">
        <v>8.4514040000000001</v>
      </c>
      <c r="C142">
        <v>8.9305470000000007</v>
      </c>
      <c r="D142">
        <v>8.6567209999999992</v>
      </c>
      <c r="E142">
        <v>8.6534119999999994</v>
      </c>
      <c r="F142">
        <v>9.0685699999999994</v>
      </c>
      <c r="G142">
        <v>9.1397239999999993</v>
      </c>
      <c r="H142">
        <v>9.5846780000000003</v>
      </c>
      <c r="I142">
        <v>8.6430249999999997</v>
      </c>
      <c r="J142">
        <v>7.6648579999999997</v>
      </c>
      <c r="K142">
        <v>8.5971799999999998</v>
      </c>
      <c r="L142">
        <v>8.5779259999999997</v>
      </c>
      <c r="M142">
        <v>9.0827674999999992</v>
      </c>
      <c r="N142">
        <v>8.7996610000000004</v>
      </c>
      <c r="O142">
        <v>8.6628229999999995</v>
      </c>
      <c r="P142">
        <v>8.6139170000000007</v>
      </c>
      <c r="Q142">
        <v>9.0388190000000002</v>
      </c>
      <c r="R142">
        <v>8.6617320000000007</v>
      </c>
      <c r="S142">
        <v>6.6185499999999999</v>
      </c>
      <c r="T142">
        <v>8.6113920000000004</v>
      </c>
      <c r="U142">
        <v>8.286251</v>
      </c>
      <c r="V142">
        <v>8.7611419999999995</v>
      </c>
      <c r="W142">
        <v>9.0333830000000006</v>
      </c>
      <c r="X142">
        <v>8.8225850000000001</v>
      </c>
      <c r="Y142">
        <v>7.423489</v>
      </c>
      <c r="Z142">
        <v>8.4635935</v>
      </c>
      <c r="AA142">
        <v>8.1723809999999997</v>
      </c>
      <c r="AB142">
        <v>7.7986719999999998</v>
      </c>
      <c r="AC142">
        <v>7.1520552999999998</v>
      </c>
      <c r="AD142">
        <v>8.5950439999999997</v>
      </c>
      <c r="AE142">
        <v>10.769743999999999</v>
      </c>
      <c r="AF142">
        <v>8.8490380000000002</v>
      </c>
      <c r="AG142">
        <v>8.0637600000000003</v>
      </c>
    </row>
    <row r="143" spans="1:33" x14ac:dyDescent="0.25">
      <c r="A143" s="1">
        <v>44194</v>
      </c>
      <c r="B143">
        <v>8.3162669999999999</v>
      </c>
      <c r="C143">
        <v>8.9155069999999998</v>
      </c>
      <c r="D143">
        <v>8.6638570000000001</v>
      </c>
      <c r="E143">
        <v>8.5704975000000001</v>
      </c>
      <c r="F143">
        <v>8.9813899999999993</v>
      </c>
      <c r="G143">
        <v>9.0827720000000003</v>
      </c>
      <c r="H143">
        <v>9.5011369999999999</v>
      </c>
      <c r="I143">
        <v>8.5490250000000003</v>
      </c>
      <c r="J143">
        <v>7.5730399999999998</v>
      </c>
      <c r="K143">
        <v>8.5205160000000006</v>
      </c>
      <c r="L143">
        <v>8.4839260000000003</v>
      </c>
      <c r="M143">
        <v>9.0217069999999993</v>
      </c>
      <c r="N143">
        <v>8.7123259999999991</v>
      </c>
      <c r="O143">
        <v>8.5590860000000006</v>
      </c>
      <c r="P143">
        <v>8.5530290000000004</v>
      </c>
      <c r="Q143">
        <v>8.9780139999999999</v>
      </c>
      <c r="R143">
        <v>8.5660240000000005</v>
      </c>
      <c r="S143">
        <v>6.5916475999999999</v>
      </c>
      <c r="T143">
        <v>8.5204310000000003</v>
      </c>
      <c r="U143">
        <v>8.1904780000000006</v>
      </c>
      <c r="V143">
        <v>8.6936099999999996</v>
      </c>
      <c r="W143">
        <v>9.0165679999999995</v>
      </c>
      <c r="X143">
        <v>8.7655499999999993</v>
      </c>
      <c r="Y143">
        <v>7.5600569999999996</v>
      </c>
      <c r="Z143">
        <v>8.4066869999999998</v>
      </c>
      <c r="AA143">
        <v>8.1141439999999996</v>
      </c>
      <c r="AB143">
        <v>7.7413449999999999</v>
      </c>
      <c r="AC143">
        <v>7.6102449999999999</v>
      </c>
      <c r="AD143">
        <v>8.509957</v>
      </c>
      <c r="AE143">
        <v>10.258255999999999</v>
      </c>
      <c r="AF143">
        <v>8.7662340000000007</v>
      </c>
      <c r="AG143">
        <v>7.9221386999999996</v>
      </c>
    </row>
    <row r="144" spans="1:33" x14ac:dyDescent="0.25">
      <c r="A144" s="1">
        <v>44195</v>
      </c>
      <c r="B144">
        <v>8.3453370000000007</v>
      </c>
      <c r="C144">
        <v>8.8163230000000006</v>
      </c>
      <c r="D144">
        <v>8.6274110000000004</v>
      </c>
      <c r="E144">
        <v>8.5303620000000002</v>
      </c>
      <c r="F144">
        <v>8.9049209999999999</v>
      </c>
      <c r="G144">
        <v>8.9910589999999999</v>
      </c>
      <c r="H144">
        <v>9.4488430000000001</v>
      </c>
      <c r="I144">
        <v>8.5260040000000004</v>
      </c>
      <c r="J144">
        <v>7.3451519999999997</v>
      </c>
      <c r="K144">
        <v>8.4273579999999999</v>
      </c>
      <c r="L144">
        <v>8.3495760000000008</v>
      </c>
      <c r="M144">
        <v>8.9421219999999995</v>
      </c>
      <c r="N144">
        <v>8.6419499999999996</v>
      </c>
      <c r="O144">
        <v>8.4311869999999995</v>
      </c>
      <c r="P144">
        <v>8.4591069999999995</v>
      </c>
      <c r="Q144">
        <v>8.8899830000000009</v>
      </c>
      <c r="R144">
        <v>8.4635189999999998</v>
      </c>
      <c r="S144">
        <v>6.0603939999999996</v>
      </c>
      <c r="T144">
        <v>8.3985610000000008</v>
      </c>
      <c r="U144">
        <v>8.0909499999999994</v>
      </c>
      <c r="V144">
        <v>8.6255880000000005</v>
      </c>
      <c r="W144">
        <v>8.9557269999999995</v>
      </c>
      <c r="X144">
        <v>8.7162389999999998</v>
      </c>
      <c r="Y144">
        <v>7.6077423</v>
      </c>
      <c r="Z144">
        <v>8.2747965000000008</v>
      </c>
      <c r="AA144">
        <v>7.9554419999999997</v>
      </c>
      <c r="AB144">
        <v>7.5757440000000003</v>
      </c>
      <c r="AC144">
        <v>7.6290684000000004</v>
      </c>
      <c r="AD144">
        <v>8.3850580000000008</v>
      </c>
      <c r="AE144">
        <v>9.5749639999999996</v>
      </c>
      <c r="AF144">
        <v>8.5837144999999992</v>
      </c>
      <c r="AG144">
        <v>7.6659683999999997</v>
      </c>
    </row>
    <row r="145" spans="1:33" x14ac:dyDescent="0.25">
      <c r="A145" s="1">
        <v>44196</v>
      </c>
      <c r="B145">
        <v>8.5372889999999995</v>
      </c>
      <c r="C145">
        <v>8.9251819999999995</v>
      </c>
      <c r="D145">
        <v>8.7056419999999992</v>
      </c>
      <c r="E145">
        <v>8.6512189999999993</v>
      </c>
      <c r="F145">
        <v>9.0082400000000007</v>
      </c>
      <c r="G145">
        <v>9.0473400000000002</v>
      </c>
      <c r="H145">
        <v>9.5030830000000002</v>
      </c>
      <c r="I145">
        <v>8.7998949999999994</v>
      </c>
      <c r="J145">
        <v>7.7031416999999998</v>
      </c>
      <c r="K145">
        <v>8.4992669999999997</v>
      </c>
      <c r="L145">
        <v>8.4499410000000008</v>
      </c>
      <c r="M145">
        <v>9.0049220000000005</v>
      </c>
      <c r="N145">
        <v>8.6977089999999997</v>
      </c>
      <c r="O145">
        <v>8.5352809999999995</v>
      </c>
      <c r="P145">
        <v>8.5280240000000003</v>
      </c>
      <c r="Q145">
        <v>8.9318074999999997</v>
      </c>
      <c r="R145">
        <v>8.5199499999999997</v>
      </c>
      <c r="S145">
        <v>6.4456715999999998</v>
      </c>
      <c r="T145">
        <v>8.4632459999999998</v>
      </c>
      <c r="U145">
        <v>8.2300109999999993</v>
      </c>
      <c r="V145">
        <v>8.7793279999999996</v>
      </c>
      <c r="W145">
        <v>8.9674899999999997</v>
      </c>
      <c r="X145">
        <v>8.9145859999999999</v>
      </c>
      <c r="Y145">
        <v>7.7386146</v>
      </c>
      <c r="Z145">
        <v>8.3680070000000004</v>
      </c>
      <c r="AA145">
        <v>8.0717569999999998</v>
      </c>
      <c r="AB145">
        <v>7.7335814999999997</v>
      </c>
      <c r="AC145">
        <v>7.8834413999999997</v>
      </c>
      <c r="AD145">
        <v>8.450018</v>
      </c>
      <c r="AE145">
        <v>9.7435530000000004</v>
      </c>
      <c r="AF145">
        <v>8.5702979999999993</v>
      </c>
      <c r="AG145">
        <v>7.8875584999999999</v>
      </c>
    </row>
    <row r="146" spans="1:33" x14ac:dyDescent="0.25">
      <c r="A146" s="1">
        <v>44197</v>
      </c>
      <c r="B146">
        <v>8.4309569999999994</v>
      </c>
      <c r="C146">
        <v>8.8607130000000005</v>
      </c>
      <c r="D146">
        <v>8.6735000000000007</v>
      </c>
      <c r="E146">
        <v>8.6039580000000004</v>
      </c>
      <c r="F146">
        <v>8.9507589999999997</v>
      </c>
      <c r="G146">
        <v>9.0309640000000009</v>
      </c>
      <c r="H146">
        <v>9.4826099999999993</v>
      </c>
      <c r="I146">
        <v>8.7559369999999994</v>
      </c>
      <c r="J146">
        <v>7.6939909999999996</v>
      </c>
      <c r="K146">
        <v>8.4949119999999994</v>
      </c>
      <c r="L146">
        <v>8.4051460000000002</v>
      </c>
      <c r="M146">
        <v>8.9868354999999998</v>
      </c>
      <c r="N146">
        <v>8.6743780000000008</v>
      </c>
      <c r="O146">
        <v>8.4859930000000006</v>
      </c>
      <c r="P146">
        <v>8.5247135000000007</v>
      </c>
      <c r="Q146">
        <v>8.9085319999999992</v>
      </c>
      <c r="R146">
        <v>8.474952</v>
      </c>
      <c r="S146">
        <v>6.3417300000000001</v>
      </c>
      <c r="T146">
        <v>8.4464780000000008</v>
      </c>
      <c r="U146">
        <v>8.1831610000000001</v>
      </c>
      <c r="V146">
        <v>8.7251899999999996</v>
      </c>
      <c r="W146">
        <v>8.9071890000000007</v>
      </c>
      <c r="X146">
        <v>8.8409189999999995</v>
      </c>
      <c r="Y146">
        <v>7.8250793999999999</v>
      </c>
      <c r="Z146">
        <v>8.3430110000000006</v>
      </c>
      <c r="AA146">
        <v>8.057086</v>
      </c>
      <c r="AB146">
        <v>7.7659225000000003</v>
      </c>
      <c r="AC146">
        <v>7.6521115000000002</v>
      </c>
      <c r="AD146">
        <v>8.4181469999999994</v>
      </c>
      <c r="AE146">
        <v>9.5655180000000009</v>
      </c>
      <c r="AF146">
        <v>8.4237350000000006</v>
      </c>
      <c r="AG146">
        <v>7.8276880000000002</v>
      </c>
    </row>
    <row r="147" spans="1:33" x14ac:dyDescent="0.25">
      <c r="A147" s="1">
        <v>44198</v>
      </c>
      <c r="B147">
        <v>8.4447449999999993</v>
      </c>
      <c r="C147">
        <v>8.8695590000000006</v>
      </c>
      <c r="D147">
        <v>8.6460500000000007</v>
      </c>
      <c r="E147">
        <v>8.5758770000000002</v>
      </c>
      <c r="F147">
        <v>8.9841470000000001</v>
      </c>
      <c r="G147">
        <v>9.0187120000000007</v>
      </c>
      <c r="H147">
        <v>9.4755909999999997</v>
      </c>
      <c r="I147">
        <v>8.8183369999999996</v>
      </c>
      <c r="J147">
        <v>7.6622769999999996</v>
      </c>
      <c r="K147">
        <v>8.4589569999999998</v>
      </c>
      <c r="L147">
        <v>8.3617539999999995</v>
      </c>
      <c r="M147">
        <v>8.9650770000000009</v>
      </c>
      <c r="N147">
        <v>8.6267230000000001</v>
      </c>
      <c r="O147">
        <v>8.4671900000000004</v>
      </c>
      <c r="P147">
        <v>8.4802060000000008</v>
      </c>
      <c r="Q147">
        <v>8.8827560000000005</v>
      </c>
      <c r="R147">
        <v>8.4483370000000004</v>
      </c>
      <c r="S147">
        <v>6.3963485000000002</v>
      </c>
      <c r="T147">
        <v>8.3942379999999996</v>
      </c>
      <c r="U147">
        <v>8.1947659999999996</v>
      </c>
      <c r="V147">
        <v>8.6721020000000006</v>
      </c>
      <c r="W147">
        <v>9.0355249999999998</v>
      </c>
      <c r="X147">
        <v>8.7792460000000005</v>
      </c>
      <c r="Y147">
        <v>7.8250237</v>
      </c>
      <c r="Z147">
        <v>8.2732600000000005</v>
      </c>
      <c r="AA147">
        <v>8.029973</v>
      </c>
      <c r="AB147">
        <v>7.7910649999999997</v>
      </c>
      <c r="AC147">
        <v>7.5349592999999997</v>
      </c>
      <c r="AD147">
        <v>8.372897</v>
      </c>
      <c r="AE147">
        <v>9.9639220000000002</v>
      </c>
      <c r="AF147">
        <v>8.2813979999999994</v>
      </c>
      <c r="AG147">
        <v>7.7924657000000002</v>
      </c>
    </row>
    <row r="148" spans="1:33" x14ac:dyDescent="0.25">
      <c r="A148" s="1">
        <v>44199</v>
      </c>
      <c r="B148">
        <v>8.6843249999999994</v>
      </c>
      <c r="C148">
        <v>8.9669650000000001</v>
      </c>
      <c r="D148">
        <v>8.73034</v>
      </c>
      <c r="E148">
        <v>8.7104979999999994</v>
      </c>
      <c r="F148">
        <v>9.1508819999999993</v>
      </c>
      <c r="G148">
        <v>9.0665289999999992</v>
      </c>
      <c r="H148">
        <v>9.5529829999999993</v>
      </c>
      <c r="I148">
        <v>9.1378219999999999</v>
      </c>
      <c r="J148">
        <v>7.9660010000000003</v>
      </c>
      <c r="K148">
        <v>8.5345630000000003</v>
      </c>
      <c r="L148">
        <v>8.4551580000000008</v>
      </c>
      <c r="M148">
        <v>9.0353539999999999</v>
      </c>
      <c r="N148">
        <v>8.6959680000000006</v>
      </c>
      <c r="O148">
        <v>8.5743109999999998</v>
      </c>
      <c r="P148">
        <v>8.5527999999999995</v>
      </c>
      <c r="Q148">
        <v>8.9247420000000002</v>
      </c>
      <c r="R148">
        <v>8.5259079999999994</v>
      </c>
      <c r="S148">
        <v>6.6361504</v>
      </c>
      <c r="T148">
        <v>8.4800909999999998</v>
      </c>
      <c r="U148">
        <v>8.2913829999999997</v>
      </c>
      <c r="V148">
        <v>8.7652579999999993</v>
      </c>
      <c r="W148">
        <v>9.0377240000000008</v>
      </c>
      <c r="X148">
        <v>8.8808565000000002</v>
      </c>
      <c r="Y148">
        <v>7.8868885000000004</v>
      </c>
      <c r="Z148">
        <v>8.3814060000000001</v>
      </c>
      <c r="AA148">
        <v>8.1202190000000005</v>
      </c>
      <c r="AB148">
        <v>7.9105340000000002</v>
      </c>
      <c r="AC148">
        <v>7.649464</v>
      </c>
      <c r="AD148">
        <v>8.4412400000000005</v>
      </c>
      <c r="AE148">
        <v>10.426553</v>
      </c>
      <c r="AF148">
        <v>8.2467830000000006</v>
      </c>
      <c r="AG148">
        <v>8.0272459999999999</v>
      </c>
    </row>
    <row r="149" spans="1:33" x14ac:dyDescent="0.25">
      <c r="A149" s="1">
        <v>44200</v>
      </c>
      <c r="B149">
        <v>8.9512999999999998</v>
      </c>
      <c r="C149">
        <v>9.0795250000000003</v>
      </c>
      <c r="D149">
        <v>8.8472810000000006</v>
      </c>
      <c r="E149">
        <v>8.8981200000000005</v>
      </c>
      <c r="F149">
        <v>9.3000369999999997</v>
      </c>
      <c r="G149">
        <v>9.1933349999999994</v>
      </c>
      <c r="H149">
        <v>9.6897335000000009</v>
      </c>
      <c r="I149">
        <v>9.3633810000000004</v>
      </c>
      <c r="J149">
        <v>8.2742979999999999</v>
      </c>
      <c r="K149">
        <v>8.6543019999999995</v>
      </c>
      <c r="L149">
        <v>8.5599450000000008</v>
      </c>
      <c r="M149">
        <v>9.1629869999999993</v>
      </c>
      <c r="N149">
        <v>8.8322570000000002</v>
      </c>
      <c r="O149">
        <v>8.6613819999999997</v>
      </c>
      <c r="P149">
        <v>8.6762479999999993</v>
      </c>
      <c r="Q149">
        <v>9.0506589999999996</v>
      </c>
      <c r="R149">
        <v>8.5968370000000007</v>
      </c>
      <c r="S149">
        <v>7.1341109999999999</v>
      </c>
      <c r="T149">
        <v>8.6440970000000004</v>
      </c>
      <c r="U149">
        <v>8.4459569999999999</v>
      </c>
      <c r="V149">
        <v>8.9072370000000003</v>
      </c>
      <c r="W149">
        <v>9.0451219999999992</v>
      </c>
      <c r="X149">
        <v>9.0171340000000004</v>
      </c>
      <c r="Y149">
        <v>8.0312199999999994</v>
      </c>
      <c r="Z149">
        <v>8.5308200000000003</v>
      </c>
      <c r="AA149">
        <v>8.2860119999999995</v>
      </c>
      <c r="AB149">
        <v>8.0599769999999999</v>
      </c>
      <c r="AC149">
        <v>7.8508399999999998</v>
      </c>
      <c r="AD149">
        <v>8.5422829999999994</v>
      </c>
      <c r="AE149">
        <v>10.621129</v>
      </c>
      <c r="AF149">
        <v>8.2817089999999993</v>
      </c>
      <c r="AG149">
        <v>8.2598219999999998</v>
      </c>
    </row>
    <row r="150" spans="1:33" x14ac:dyDescent="0.25">
      <c r="A150" s="1">
        <v>44201</v>
      </c>
      <c r="B150">
        <v>8.8654510000000002</v>
      </c>
      <c r="C150">
        <v>8.9850890000000003</v>
      </c>
      <c r="D150">
        <v>8.9053310000000003</v>
      </c>
      <c r="E150">
        <v>8.8150139999999997</v>
      </c>
      <c r="F150">
        <v>9.2813370000000006</v>
      </c>
      <c r="G150">
        <v>9.1775450000000003</v>
      </c>
      <c r="H150">
        <v>9.6966710000000003</v>
      </c>
      <c r="I150">
        <v>9.3202560000000005</v>
      </c>
      <c r="J150">
        <v>8.1162019999999995</v>
      </c>
      <c r="K150">
        <v>8.6280269999999994</v>
      </c>
      <c r="L150">
        <v>8.5384569999999993</v>
      </c>
      <c r="M150">
        <v>9.123113</v>
      </c>
      <c r="N150">
        <v>8.7886380000000006</v>
      </c>
      <c r="O150">
        <v>8.6445799999999995</v>
      </c>
      <c r="P150">
        <v>8.6345500000000008</v>
      </c>
      <c r="Q150">
        <v>9.0456210000000006</v>
      </c>
      <c r="R150">
        <v>8.5923700000000007</v>
      </c>
      <c r="S150">
        <v>7.1225886000000003</v>
      </c>
      <c r="T150">
        <v>8.6944379999999999</v>
      </c>
      <c r="U150">
        <v>8.4324875000000006</v>
      </c>
      <c r="V150">
        <v>8.9879029999999993</v>
      </c>
      <c r="W150">
        <v>9.3171479999999995</v>
      </c>
      <c r="X150">
        <v>9.0589189999999995</v>
      </c>
      <c r="Y150">
        <v>7.9549937000000002</v>
      </c>
      <c r="Z150">
        <v>8.5371729999999992</v>
      </c>
      <c r="AA150">
        <v>8.2840389999999999</v>
      </c>
      <c r="AB150">
        <v>8.0230650000000008</v>
      </c>
      <c r="AC150">
        <v>8.0830500000000001</v>
      </c>
      <c r="AD150">
        <v>8.518891</v>
      </c>
      <c r="AE150">
        <v>10.169472000000001</v>
      </c>
      <c r="AF150">
        <v>8.2031489999999998</v>
      </c>
      <c r="AG150">
        <v>8.2460985000000004</v>
      </c>
    </row>
    <row r="151" spans="1:33" x14ac:dyDescent="0.25">
      <c r="A151" s="1">
        <v>44202</v>
      </c>
      <c r="B151">
        <v>8.6589989999999997</v>
      </c>
      <c r="C151">
        <v>8.9865560000000002</v>
      </c>
      <c r="D151">
        <v>8.8283819999999995</v>
      </c>
      <c r="E151">
        <v>8.7290220000000005</v>
      </c>
      <c r="F151">
        <v>9.2330719999999999</v>
      </c>
      <c r="G151">
        <v>9.1618490000000001</v>
      </c>
      <c r="H151">
        <v>9.6608169999999998</v>
      </c>
      <c r="I151">
        <v>9.3019829999999999</v>
      </c>
      <c r="J151">
        <v>7.9659804999999997</v>
      </c>
      <c r="K151">
        <v>8.5985980000000009</v>
      </c>
      <c r="L151">
        <v>8.4798690000000008</v>
      </c>
      <c r="M151">
        <v>9.0725359999999995</v>
      </c>
      <c r="N151">
        <v>8.7395619999999994</v>
      </c>
      <c r="O151">
        <v>8.6267259999999997</v>
      </c>
      <c r="P151">
        <v>8.5964519999999993</v>
      </c>
      <c r="Q151">
        <v>9.0128590000000006</v>
      </c>
      <c r="R151">
        <v>8.5854370000000007</v>
      </c>
      <c r="S151">
        <v>6.8923839999999998</v>
      </c>
      <c r="T151">
        <v>8.6520449999999993</v>
      </c>
      <c r="U151">
        <v>8.3820700000000006</v>
      </c>
      <c r="V151">
        <v>8.8773970000000002</v>
      </c>
      <c r="W151">
        <v>9.4479559999999996</v>
      </c>
      <c r="X151">
        <v>8.9154699999999991</v>
      </c>
      <c r="Y151">
        <v>7.9200214999999998</v>
      </c>
      <c r="Z151">
        <v>8.5006570000000004</v>
      </c>
      <c r="AA151">
        <v>8.246105</v>
      </c>
      <c r="AB151">
        <v>8.0035150000000002</v>
      </c>
      <c r="AC151">
        <v>8.2581950000000006</v>
      </c>
      <c r="AD151">
        <v>8.4854439999999993</v>
      </c>
      <c r="AE151">
        <v>9.7996300000000005</v>
      </c>
      <c r="AF151">
        <v>8.1469339999999999</v>
      </c>
      <c r="AG151">
        <v>8.1564665000000005</v>
      </c>
    </row>
    <row r="152" spans="1:33" x14ac:dyDescent="0.25">
      <c r="A152" s="1">
        <v>44203</v>
      </c>
      <c r="B152">
        <v>8.6396110000000004</v>
      </c>
      <c r="C152">
        <v>8.9816889999999994</v>
      </c>
      <c r="D152">
        <v>8.7825679999999995</v>
      </c>
      <c r="E152">
        <v>8.7320794999999993</v>
      </c>
      <c r="F152">
        <v>9.2352989999999995</v>
      </c>
      <c r="G152">
        <v>9.1861800000000002</v>
      </c>
      <c r="H152">
        <v>9.6944099999999995</v>
      </c>
      <c r="I152">
        <v>9.2456329999999998</v>
      </c>
      <c r="J152">
        <v>8.0297859999999996</v>
      </c>
      <c r="K152">
        <v>8.6748139999999996</v>
      </c>
      <c r="L152">
        <v>8.5318850000000008</v>
      </c>
      <c r="M152">
        <v>9.0882179999999995</v>
      </c>
      <c r="N152">
        <v>8.7895029999999998</v>
      </c>
      <c r="O152">
        <v>8.6640835000000003</v>
      </c>
      <c r="P152">
        <v>8.6610309999999995</v>
      </c>
      <c r="Q152">
        <v>9.0416989999999995</v>
      </c>
      <c r="R152">
        <v>8.6514480000000002</v>
      </c>
      <c r="S152">
        <v>6.7124762999999996</v>
      </c>
      <c r="T152">
        <v>8.7297390000000004</v>
      </c>
      <c r="U152">
        <v>8.3916009999999996</v>
      </c>
      <c r="V152">
        <v>9.0580719999999992</v>
      </c>
      <c r="W152">
        <v>9.515193</v>
      </c>
      <c r="X152">
        <v>9.1284700000000001</v>
      </c>
      <c r="Y152">
        <v>8.1416090000000008</v>
      </c>
      <c r="Z152">
        <v>8.5382909999999992</v>
      </c>
      <c r="AA152">
        <v>8.2976229999999997</v>
      </c>
      <c r="AB152">
        <v>8.1381099999999993</v>
      </c>
      <c r="AC152">
        <v>8.2915910000000004</v>
      </c>
      <c r="AD152">
        <v>8.5296140000000005</v>
      </c>
      <c r="AE152">
        <v>10.042081</v>
      </c>
      <c r="AF152">
        <v>8.1910559999999997</v>
      </c>
      <c r="AG152">
        <v>8.2355549999999997</v>
      </c>
    </row>
    <row r="153" spans="1:33" x14ac:dyDescent="0.25">
      <c r="A153" s="1">
        <v>44204</v>
      </c>
      <c r="B153">
        <v>8.8348119999999994</v>
      </c>
      <c r="C153">
        <v>9.0368870000000001</v>
      </c>
      <c r="D153">
        <v>8.881005</v>
      </c>
      <c r="E153">
        <v>8.9055649999999993</v>
      </c>
      <c r="F153">
        <v>9.2763720000000003</v>
      </c>
      <c r="G153">
        <v>9.2497425</v>
      </c>
      <c r="H153">
        <v>9.8057359999999996</v>
      </c>
      <c r="I153">
        <v>9.3258259999999993</v>
      </c>
      <c r="J153">
        <v>8.0342079999999996</v>
      </c>
      <c r="K153">
        <v>8.7330179999999995</v>
      </c>
      <c r="L153">
        <v>8.5862320000000008</v>
      </c>
      <c r="M153">
        <v>9.1517649999999993</v>
      </c>
      <c r="N153">
        <v>8.8770249999999997</v>
      </c>
      <c r="O153">
        <v>8.7043359999999996</v>
      </c>
      <c r="P153">
        <v>8.7308020000000006</v>
      </c>
      <c r="Q153">
        <v>9.1116659999999996</v>
      </c>
      <c r="R153">
        <v>8.696828</v>
      </c>
      <c r="S153">
        <v>6.7818722999999999</v>
      </c>
      <c r="T153">
        <v>8.8678539999999995</v>
      </c>
      <c r="U153">
        <v>8.4946970000000004</v>
      </c>
      <c r="V153">
        <v>9.1964100000000002</v>
      </c>
      <c r="W153">
        <v>9.6311409999999995</v>
      </c>
      <c r="X153">
        <v>9.2707139999999999</v>
      </c>
      <c r="Y153">
        <v>8.2807720000000007</v>
      </c>
      <c r="Z153">
        <v>8.5785820000000008</v>
      </c>
      <c r="AA153">
        <v>8.3448969999999996</v>
      </c>
      <c r="AB153">
        <v>8.2775829999999999</v>
      </c>
      <c r="AC153">
        <v>8.2409280000000003</v>
      </c>
      <c r="AD153">
        <v>8.5834989999999998</v>
      </c>
      <c r="AE153">
        <v>10.234724</v>
      </c>
      <c r="AF153">
        <v>8.2581050000000005</v>
      </c>
      <c r="AG153">
        <v>8.3354979999999994</v>
      </c>
    </row>
    <row r="154" spans="1:33" x14ac:dyDescent="0.25">
      <c r="A154" s="1">
        <v>44205</v>
      </c>
      <c r="B154">
        <v>8.7173970000000001</v>
      </c>
      <c r="C154">
        <v>9.0648429999999998</v>
      </c>
      <c r="D154">
        <v>8.9587590000000006</v>
      </c>
      <c r="E154">
        <v>8.9851290000000006</v>
      </c>
      <c r="F154">
        <v>9.2742170000000002</v>
      </c>
      <c r="G154">
        <v>9.298114</v>
      </c>
      <c r="H154">
        <v>9.8790060000000004</v>
      </c>
      <c r="I154">
        <v>9.2477370000000008</v>
      </c>
      <c r="J154">
        <v>8.0026045000000003</v>
      </c>
      <c r="K154">
        <v>8.7498609999999992</v>
      </c>
      <c r="L154">
        <v>8.5950120000000005</v>
      </c>
      <c r="M154">
        <v>9.1967359999999996</v>
      </c>
      <c r="N154">
        <v>8.9222800000000007</v>
      </c>
      <c r="O154">
        <v>8.7017009999999999</v>
      </c>
      <c r="P154">
        <v>8.7581509999999998</v>
      </c>
      <c r="Q154">
        <v>9.1653570000000002</v>
      </c>
      <c r="R154">
        <v>8.6999479999999991</v>
      </c>
      <c r="S154">
        <v>6.8208500000000001</v>
      </c>
      <c r="T154">
        <v>8.9341229999999996</v>
      </c>
      <c r="U154">
        <v>8.3923860000000001</v>
      </c>
      <c r="V154">
        <v>9.211748</v>
      </c>
      <c r="W154">
        <v>9.7039679999999997</v>
      </c>
      <c r="X154">
        <v>9.2766730000000006</v>
      </c>
      <c r="Y154">
        <v>8.2660470000000004</v>
      </c>
      <c r="Z154">
        <v>8.5585020000000007</v>
      </c>
      <c r="AA154">
        <v>8.3662030000000005</v>
      </c>
      <c r="AB154">
        <v>8.2636380000000003</v>
      </c>
      <c r="AC154">
        <v>8.0356740000000002</v>
      </c>
      <c r="AD154">
        <v>8.6027970000000007</v>
      </c>
      <c r="AE154">
        <v>9.9828205000000008</v>
      </c>
      <c r="AF154">
        <v>8.2815290000000008</v>
      </c>
      <c r="AG154">
        <v>8.2710410000000003</v>
      </c>
    </row>
    <row r="155" spans="1:33" x14ac:dyDescent="0.25">
      <c r="A155" s="1">
        <v>44206</v>
      </c>
      <c r="B155">
        <v>8.7639510000000005</v>
      </c>
      <c r="C155">
        <v>9.0381889999999991</v>
      </c>
      <c r="D155">
        <v>8.9601319999999998</v>
      </c>
      <c r="E155">
        <v>9.0376600000000007</v>
      </c>
      <c r="F155">
        <v>9.241225</v>
      </c>
      <c r="G155">
        <v>9.3247219999999995</v>
      </c>
      <c r="H155">
        <v>9.9079110000000004</v>
      </c>
      <c r="I155">
        <v>9.126296</v>
      </c>
      <c r="J155">
        <v>7.8365226000000003</v>
      </c>
      <c r="K155">
        <v>8.7282019999999996</v>
      </c>
      <c r="L155">
        <v>8.5747619999999998</v>
      </c>
      <c r="M155">
        <v>9.236936</v>
      </c>
      <c r="N155">
        <v>8.9584109999999999</v>
      </c>
      <c r="O155">
        <v>8.6460749999999997</v>
      </c>
      <c r="P155">
        <v>8.7492699999999992</v>
      </c>
      <c r="Q155">
        <v>9.1961480000000009</v>
      </c>
      <c r="R155">
        <v>8.6498969999999993</v>
      </c>
      <c r="S155">
        <v>6.635561</v>
      </c>
      <c r="T155">
        <v>8.9090699999999998</v>
      </c>
      <c r="U155">
        <v>8.3721069999999997</v>
      </c>
      <c r="V155">
        <v>9.1435440000000003</v>
      </c>
      <c r="W155">
        <v>9.5746420000000008</v>
      </c>
      <c r="X155">
        <v>9.2394909999999992</v>
      </c>
      <c r="Y155">
        <v>8.0681589999999996</v>
      </c>
      <c r="Z155">
        <v>8.4937850000000008</v>
      </c>
      <c r="AA155">
        <v>8.318206</v>
      </c>
      <c r="AB155">
        <v>8.1385780000000008</v>
      </c>
      <c r="AC155">
        <v>7.9133380000000004</v>
      </c>
      <c r="AD155">
        <v>8.5868219999999997</v>
      </c>
      <c r="AE155">
        <v>9.7390050000000006</v>
      </c>
      <c r="AF155">
        <v>8.2891209999999997</v>
      </c>
      <c r="AG155">
        <v>8.1862499999999994</v>
      </c>
    </row>
    <row r="156" spans="1:33" x14ac:dyDescent="0.25">
      <c r="A156" s="1">
        <v>44207</v>
      </c>
      <c r="B156">
        <v>8.8794749999999993</v>
      </c>
      <c r="C156">
        <v>9.1306720000000006</v>
      </c>
      <c r="D156">
        <v>9.0195380000000007</v>
      </c>
      <c r="E156">
        <v>9.1022289999999995</v>
      </c>
      <c r="F156">
        <v>9.2985039999999994</v>
      </c>
      <c r="G156">
        <v>9.3575280000000003</v>
      </c>
      <c r="H156">
        <v>9.9101949999999999</v>
      </c>
      <c r="I156">
        <v>9.1325839999999996</v>
      </c>
      <c r="J156">
        <v>7.884093</v>
      </c>
      <c r="K156">
        <v>8.7372200000000007</v>
      </c>
      <c r="L156">
        <v>8.5767670000000003</v>
      </c>
      <c r="M156">
        <v>9.2715359999999993</v>
      </c>
      <c r="N156">
        <v>8.9865700000000004</v>
      </c>
      <c r="O156">
        <v>8.663926</v>
      </c>
      <c r="P156">
        <v>8.7529590000000006</v>
      </c>
      <c r="Q156">
        <v>9.2215120000000006</v>
      </c>
      <c r="R156">
        <v>8.6625800000000002</v>
      </c>
      <c r="S156">
        <v>6.74688</v>
      </c>
      <c r="T156">
        <v>8.8852820000000001</v>
      </c>
      <c r="U156">
        <v>8.3026370000000007</v>
      </c>
      <c r="V156">
        <v>9.1785700000000006</v>
      </c>
      <c r="W156">
        <v>9.2873750000000008</v>
      </c>
      <c r="X156">
        <v>9.2911439999999992</v>
      </c>
      <c r="Y156">
        <v>8.0215340000000008</v>
      </c>
      <c r="Z156">
        <v>8.4659449999999996</v>
      </c>
      <c r="AA156">
        <v>8.2899180000000001</v>
      </c>
      <c r="AB156">
        <v>8.11341</v>
      </c>
      <c r="AC156">
        <v>7.8831296000000002</v>
      </c>
      <c r="AD156">
        <v>8.5829889999999995</v>
      </c>
      <c r="AE156">
        <v>9.8092170000000003</v>
      </c>
      <c r="AF156">
        <v>8.2968609999999998</v>
      </c>
      <c r="AG156">
        <v>8.1618910000000007</v>
      </c>
    </row>
    <row r="157" spans="1:33" x14ac:dyDescent="0.25">
      <c r="A157" s="1">
        <v>44208</v>
      </c>
      <c r="B157">
        <v>9.0408200000000001</v>
      </c>
      <c r="C157">
        <v>9.1775389999999994</v>
      </c>
      <c r="D157">
        <v>9.0884199999999993</v>
      </c>
      <c r="E157">
        <v>9.1786549999999991</v>
      </c>
      <c r="F157">
        <v>9.3384140000000002</v>
      </c>
      <c r="G157">
        <v>9.3957815</v>
      </c>
      <c r="H157">
        <v>9.9428660000000004</v>
      </c>
      <c r="I157">
        <v>9.1799020000000002</v>
      </c>
      <c r="J157">
        <v>8.0073369999999997</v>
      </c>
      <c r="K157">
        <v>8.7671639999999993</v>
      </c>
      <c r="L157">
        <v>8.6080930000000002</v>
      </c>
      <c r="M157">
        <v>9.3224739999999997</v>
      </c>
      <c r="N157">
        <v>9.0392969999999995</v>
      </c>
      <c r="O157">
        <v>8.7099279999999997</v>
      </c>
      <c r="P157">
        <v>8.7900200000000002</v>
      </c>
      <c r="Q157">
        <v>9.2578569999999996</v>
      </c>
      <c r="R157">
        <v>8.6958439999999992</v>
      </c>
      <c r="S157">
        <v>6.9338430000000004</v>
      </c>
      <c r="T157">
        <v>8.9375889999999991</v>
      </c>
      <c r="U157">
        <v>8.3715580000000003</v>
      </c>
      <c r="V157">
        <v>9.2421465000000005</v>
      </c>
      <c r="W157">
        <v>8.921208</v>
      </c>
      <c r="X157">
        <v>9.3709749999999996</v>
      </c>
      <c r="Y157">
        <v>8.0442610000000005</v>
      </c>
      <c r="Z157">
        <v>8.4969070000000002</v>
      </c>
      <c r="AA157">
        <v>8.3021689999999992</v>
      </c>
      <c r="AB157">
        <v>8.1074490000000008</v>
      </c>
      <c r="AC157">
        <v>7.8004899999999999</v>
      </c>
      <c r="AD157">
        <v>8.6095100000000002</v>
      </c>
      <c r="AE157">
        <v>10.019575</v>
      </c>
      <c r="AF157">
        <v>8.3096990000000002</v>
      </c>
      <c r="AG157">
        <v>8.1731099999999994</v>
      </c>
    </row>
    <row r="158" spans="1:33" x14ac:dyDescent="0.25">
      <c r="A158" s="1">
        <v>44209</v>
      </c>
      <c r="B158">
        <v>9.3084860000000003</v>
      </c>
      <c r="C158">
        <v>9.3130900000000008</v>
      </c>
      <c r="D158">
        <v>9.2455680000000005</v>
      </c>
      <c r="E158">
        <v>9.3476269999999992</v>
      </c>
      <c r="F158">
        <v>9.5106529999999996</v>
      </c>
      <c r="G158">
        <v>9.4476750000000003</v>
      </c>
      <c r="H158">
        <v>10.003303000000001</v>
      </c>
      <c r="I158">
        <v>9.3943750000000001</v>
      </c>
      <c r="J158">
        <v>8.3235309999999991</v>
      </c>
      <c r="K158">
        <v>8.8683340000000008</v>
      </c>
      <c r="L158">
        <v>8.7228919999999999</v>
      </c>
      <c r="M158">
        <v>9.4069299999999991</v>
      </c>
      <c r="N158">
        <v>9.130884</v>
      </c>
      <c r="O158">
        <v>8.8401969999999999</v>
      </c>
      <c r="P158">
        <v>8.8958790000000008</v>
      </c>
      <c r="Q158">
        <v>9.3186940000000007</v>
      </c>
      <c r="R158">
        <v>8.8019479999999994</v>
      </c>
      <c r="S158">
        <v>7.2816749999999999</v>
      </c>
      <c r="T158">
        <v>9.0569679999999995</v>
      </c>
      <c r="U158">
        <v>8.5215560000000004</v>
      </c>
      <c r="V158">
        <v>9.3006060000000002</v>
      </c>
      <c r="W158">
        <v>8.9635649999999991</v>
      </c>
      <c r="X158">
        <v>9.3645870000000002</v>
      </c>
      <c r="Y158">
        <v>8.1456149999999994</v>
      </c>
      <c r="Z158">
        <v>8.6386160000000007</v>
      </c>
      <c r="AA158">
        <v>8.4222529999999995</v>
      </c>
      <c r="AB158">
        <v>8.2455400000000001</v>
      </c>
      <c r="AC158">
        <v>7.8455805999999999</v>
      </c>
      <c r="AD158">
        <v>8.7013119999999997</v>
      </c>
      <c r="AE158">
        <v>10.694823</v>
      </c>
      <c r="AF158">
        <v>8.3855179999999994</v>
      </c>
      <c r="AG158">
        <v>8.3508999999999993</v>
      </c>
    </row>
    <row r="159" spans="1:33" x14ac:dyDescent="0.25">
      <c r="A159" s="1">
        <v>44210</v>
      </c>
      <c r="B159">
        <v>9.5635329999999996</v>
      </c>
      <c r="C159">
        <v>9.4646910000000002</v>
      </c>
      <c r="D159">
        <v>9.4946889999999993</v>
      </c>
      <c r="E159">
        <v>9.5579499999999999</v>
      </c>
      <c r="F159">
        <v>9.6644670000000001</v>
      </c>
      <c r="G159">
        <v>9.5865570000000009</v>
      </c>
      <c r="H159">
        <v>10.130604999999999</v>
      </c>
      <c r="I159">
        <v>9.6550039999999999</v>
      </c>
      <c r="J159">
        <v>8.7652024999999991</v>
      </c>
      <c r="K159">
        <v>9.0646350000000009</v>
      </c>
      <c r="L159">
        <v>8.9178300000000004</v>
      </c>
      <c r="M159">
        <v>9.5530080000000002</v>
      </c>
      <c r="N159">
        <v>9.3010024999999992</v>
      </c>
      <c r="O159">
        <v>9.0476829999999993</v>
      </c>
      <c r="P159">
        <v>9.0952889999999993</v>
      </c>
      <c r="Q159">
        <v>9.460502</v>
      </c>
      <c r="R159">
        <v>8.9701219999999999</v>
      </c>
      <c r="S159">
        <v>7.7648989999999998</v>
      </c>
      <c r="T159">
        <v>9.2491690000000002</v>
      </c>
      <c r="U159">
        <v>8.7490190000000005</v>
      </c>
      <c r="V159">
        <v>9.3000880000000006</v>
      </c>
      <c r="W159">
        <v>9.4411124999999991</v>
      </c>
      <c r="X159">
        <v>9.2706370000000007</v>
      </c>
      <c r="Y159">
        <v>8.3793500000000005</v>
      </c>
      <c r="Z159">
        <v>8.9314839999999993</v>
      </c>
      <c r="AA159">
        <v>8.662096</v>
      </c>
      <c r="AB159">
        <v>8.5145359999999997</v>
      </c>
      <c r="AC159">
        <v>8.1031089999999999</v>
      </c>
      <c r="AD159">
        <v>8.8851139999999997</v>
      </c>
      <c r="AE159">
        <v>11.657170000000001</v>
      </c>
      <c r="AF159">
        <v>8.5325989999999994</v>
      </c>
      <c r="AG159">
        <v>8.6836690000000001</v>
      </c>
    </row>
    <row r="160" spans="1:33" x14ac:dyDescent="0.25">
      <c r="A160" s="1">
        <v>44211</v>
      </c>
      <c r="B160">
        <v>9.6472599999999993</v>
      </c>
      <c r="C160">
        <v>9.5237780000000001</v>
      </c>
      <c r="D160">
        <v>9.6106829999999999</v>
      </c>
      <c r="E160">
        <v>9.6441890000000008</v>
      </c>
      <c r="F160">
        <v>9.7263140000000003</v>
      </c>
      <c r="G160">
        <v>9.6804199999999998</v>
      </c>
      <c r="H160">
        <v>10.217286</v>
      </c>
      <c r="I160">
        <v>9.7646339999999991</v>
      </c>
      <c r="J160">
        <v>8.9682359999999992</v>
      </c>
      <c r="K160">
        <v>9.2002959999999998</v>
      </c>
      <c r="L160">
        <v>9.0515969999999992</v>
      </c>
      <c r="M160">
        <v>9.6481680000000001</v>
      </c>
      <c r="N160">
        <v>9.4099430000000002</v>
      </c>
      <c r="O160">
        <v>9.1564960000000006</v>
      </c>
      <c r="P160">
        <v>9.2298010000000001</v>
      </c>
      <c r="Q160">
        <v>9.5515740000000005</v>
      </c>
      <c r="R160">
        <v>9.0817429999999995</v>
      </c>
      <c r="S160">
        <v>8.0847529999999992</v>
      </c>
      <c r="T160">
        <v>9.3503640000000008</v>
      </c>
      <c r="U160">
        <v>8.9815760000000004</v>
      </c>
      <c r="V160">
        <v>9.3297939999999997</v>
      </c>
      <c r="W160">
        <v>9.8469329999999999</v>
      </c>
      <c r="X160">
        <v>9.3005270000000007</v>
      </c>
      <c r="Y160">
        <v>8.475066</v>
      </c>
      <c r="Z160">
        <v>9.1717519999999997</v>
      </c>
      <c r="AA160">
        <v>8.8052960000000002</v>
      </c>
      <c r="AB160">
        <v>8.6417129999999993</v>
      </c>
      <c r="AC160">
        <v>8.3057859999999994</v>
      </c>
      <c r="AD160">
        <v>9.0144409999999997</v>
      </c>
      <c r="AE160">
        <v>11.509105</v>
      </c>
      <c r="AF160">
        <v>8.6091630000000006</v>
      </c>
      <c r="AG160">
        <v>8.8006510000000002</v>
      </c>
    </row>
    <row r="161" spans="1:33" x14ac:dyDescent="0.25">
      <c r="A161" s="1">
        <v>44212</v>
      </c>
      <c r="B161">
        <v>9.8467509999999994</v>
      </c>
      <c r="C161">
        <v>9.6771779999999996</v>
      </c>
      <c r="D161">
        <v>9.6990730000000003</v>
      </c>
      <c r="E161">
        <v>9.7569890000000008</v>
      </c>
      <c r="F161">
        <v>9.9193809999999996</v>
      </c>
      <c r="G161">
        <v>9.8087219999999995</v>
      </c>
      <c r="H161">
        <v>10.358715999999999</v>
      </c>
      <c r="I161">
        <v>10.006337</v>
      </c>
      <c r="J161">
        <v>9.2236360000000008</v>
      </c>
      <c r="K161">
        <v>9.3530719999999992</v>
      </c>
      <c r="L161">
        <v>9.2001069999999991</v>
      </c>
      <c r="M161">
        <v>9.7864240000000002</v>
      </c>
      <c r="N161">
        <v>9.5482949999999995</v>
      </c>
      <c r="O161">
        <v>9.2664249999999999</v>
      </c>
      <c r="P161">
        <v>9.3766560000000005</v>
      </c>
      <c r="Q161">
        <v>9.6776520000000001</v>
      </c>
      <c r="R161">
        <v>9.1996859999999998</v>
      </c>
      <c r="S161">
        <v>8.36</v>
      </c>
      <c r="T161">
        <v>9.4821369999999998</v>
      </c>
      <c r="U161">
        <v>9.1294260000000005</v>
      </c>
      <c r="V161">
        <v>9.5675460000000001</v>
      </c>
      <c r="W161">
        <v>10.255501000000001</v>
      </c>
      <c r="X161">
        <v>9.6251230000000003</v>
      </c>
      <c r="Y161">
        <v>8.6961099999999991</v>
      </c>
      <c r="Z161">
        <v>9.4003209999999999</v>
      </c>
      <c r="AA161">
        <v>8.9700839999999999</v>
      </c>
      <c r="AB161">
        <v>8.8252849999999992</v>
      </c>
      <c r="AC161">
        <v>8.6363430000000001</v>
      </c>
      <c r="AD161">
        <v>9.1520960000000002</v>
      </c>
      <c r="AE161">
        <v>12.013714999999999</v>
      </c>
      <c r="AF161">
        <v>8.7206139999999994</v>
      </c>
      <c r="AG161">
        <v>8.9626859999999997</v>
      </c>
    </row>
    <row r="162" spans="1:33" x14ac:dyDescent="0.25">
      <c r="A162" s="1">
        <v>44213</v>
      </c>
      <c r="B162">
        <v>10.065848000000001</v>
      </c>
      <c r="C162">
        <v>9.8673819999999992</v>
      </c>
      <c r="D162">
        <v>9.8169299999999993</v>
      </c>
      <c r="E162">
        <v>9.9166150000000002</v>
      </c>
      <c r="F162">
        <v>10.107936</v>
      </c>
      <c r="G162">
        <v>9.9642850000000003</v>
      </c>
      <c r="H162">
        <v>10.517486</v>
      </c>
      <c r="I162">
        <v>10.323824</v>
      </c>
      <c r="J162">
        <v>9.5345119999999994</v>
      </c>
      <c r="K162">
        <v>9.5400120000000008</v>
      </c>
      <c r="L162">
        <v>9.3804529999999993</v>
      </c>
      <c r="M162">
        <v>9.9453949999999995</v>
      </c>
      <c r="N162">
        <v>9.7198740000000008</v>
      </c>
      <c r="O162">
        <v>9.4301370000000002</v>
      </c>
      <c r="P162">
        <v>9.5563120000000001</v>
      </c>
      <c r="Q162">
        <v>9.8371189999999995</v>
      </c>
      <c r="R162">
        <v>9.3556190000000008</v>
      </c>
      <c r="S162">
        <v>8.6405709999999996</v>
      </c>
      <c r="T162">
        <v>9.7021409999999992</v>
      </c>
      <c r="U162">
        <v>9.38917</v>
      </c>
      <c r="V162">
        <v>9.8700709999999994</v>
      </c>
      <c r="W162">
        <v>10.404559000000001</v>
      </c>
      <c r="X162">
        <v>9.9812960000000004</v>
      </c>
      <c r="Y162">
        <v>9.0531959999999998</v>
      </c>
      <c r="Z162">
        <v>9.6402400000000004</v>
      </c>
      <c r="AA162">
        <v>9.1723780000000001</v>
      </c>
      <c r="AB162">
        <v>9.1179629999999996</v>
      </c>
      <c r="AC162">
        <v>9.0314720000000008</v>
      </c>
      <c r="AD162">
        <v>9.3181729999999998</v>
      </c>
      <c r="AE162">
        <v>12.413902999999999</v>
      </c>
      <c r="AF162">
        <v>8.8623539999999998</v>
      </c>
      <c r="AG162">
        <v>9.2002009999999999</v>
      </c>
    </row>
    <row r="163" spans="1:33" x14ac:dyDescent="0.25">
      <c r="A163" s="1">
        <v>44214</v>
      </c>
      <c r="B163">
        <v>10.186612999999999</v>
      </c>
      <c r="C163">
        <v>9.9917809999999996</v>
      </c>
      <c r="D163">
        <v>9.8695500000000003</v>
      </c>
      <c r="E163">
        <v>10.000503</v>
      </c>
      <c r="F163">
        <v>10.227302</v>
      </c>
      <c r="G163">
        <v>10.103418</v>
      </c>
      <c r="H163">
        <v>10.635355000000001</v>
      </c>
      <c r="I163">
        <v>10.479911</v>
      </c>
      <c r="J163">
        <v>9.7550190000000008</v>
      </c>
      <c r="K163">
        <v>9.7026140000000005</v>
      </c>
      <c r="L163">
        <v>9.5423120000000008</v>
      </c>
      <c r="M163">
        <v>10.051099000000001</v>
      </c>
      <c r="N163">
        <v>9.8343399999999992</v>
      </c>
      <c r="O163">
        <v>9.5282040000000006</v>
      </c>
      <c r="P163">
        <v>9.7040880000000005</v>
      </c>
      <c r="Q163">
        <v>9.9616570000000007</v>
      </c>
      <c r="R163">
        <v>9.4779680000000006</v>
      </c>
      <c r="S163">
        <v>8.9826099999999993</v>
      </c>
      <c r="T163">
        <v>9.946237</v>
      </c>
      <c r="U163">
        <v>9.5273695000000007</v>
      </c>
      <c r="V163">
        <v>10.283227999999999</v>
      </c>
      <c r="W163">
        <v>10.691649999999999</v>
      </c>
      <c r="X163">
        <v>10.389716</v>
      </c>
      <c r="Y163">
        <v>9.363448</v>
      </c>
      <c r="Z163">
        <v>9.8435459999999999</v>
      </c>
      <c r="AA163">
        <v>9.3671849999999992</v>
      </c>
      <c r="AB163">
        <v>9.3796379999999999</v>
      </c>
      <c r="AC163">
        <v>9.2952390000000005</v>
      </c>
      <c r="AD163">
        <v>9.4760390000000001</v>
      </c>
      <c r="AE163">
        <v>12.406757000000001</v>
      </c>
      <c r="AF163">
        <v>9.0228029999999997</v>
      </c>
      <c r="AG163">
        <v>9.4080320000000004</v>
      </c>
    </row>
    <row r="164" spans="1:33" x14ac:dyDescent="0.25">
      <c r="A164" s="1">
        <v>44215</v>
      </c>
      <c r="B164">
        <v>9.5057480000000005</v>
      </c>
      <c r="C164">
        <v>9.6501809999999999</v>
      </c>
      <c r="D164">
        <v>9.585426</v>
      </c>
      <c r="E164">
        <v>9.6290329999999997</v>
      </c>
      <c r="F164">
        <v>9.8117075000000007</v>
      </c>
      <c r="G164">
        <v>9.9009630000000008</v>
      </c>
      <c r="H164">
        <v>10.248633999999999</v>
      </c>
      <c r="I164">
        <v>9.6082870000000007</v>
      </c>
      <c r="J164">
        <v>9.0977200000000007</v>
      </c>
      <c r="K164">
        <v>9.4891860000000001</v>
      </c>
      <c r="L164">
        <v>9.3644560000000006</v>
      </c>
      <c r="M164">
        <v>9.7760560000000005</v>
      </c>
      <c r="N164">
        <v>9.6309330000000006</v>
      </c>
      <c r="O164">
        <v>9.4238079999999993</v>
      </c>
      <c r="P164">
        <v>9.4987849999999998</v>
      </c>
      <c r="Q164">
        <v>9.7966859999999993</v>
      </c>
      <c r="R164">
        <v>9.3465740000000004</v>
      </c>
      <c r="S164">
        <v>8.4194139999999997</v>
      </c>
      <c r="T164">
        <v>9.7133780000000005</v>
      </c>
      <c r="U164">
        <v>9.3247175000000002</v>
      </c>
      <c r="V164">
        <v>9.9760489999999997</v>
      </c>
      <c r="W164">
        <v>10.699927000000001</v>
      </c>
      <c r="X164">
        <v>10.050630999999999</v>
      </c>
      <c r="Y164">
        <v>9.1674109999999995</v>
      </c>
      <c r="Z164">
        <v>9.5678649999999994</v>
      </c>
      <c r="AA164">
        <v>9.2158575000000003</v>
      </c>
      <c r="AB164">
        <v>9.1874179999999992</v>
      </c>
      <c r="AC164">
        <v>8.8801889999999997</v>
      </c>
      <c r="AD164">
        <v>9.340795</v>
      </c>
      <c r="AE164">
        <v>11.121995</v>
      </c>
      <c r="AF164">
        <v>8.9889299999999999</v>
      </c>
      <c r="AG164">
        <v>8.9790620000000008</v>
      </c>
    </row>
    <row r="165" spans="1:33" x14ac:dyDescent="0.25">
      <c r="A165" s="1">
        <v>44216</v>
      </c>
      <c r="B165">
        <v>9.3792489999999997</v>
      </c>
      <c r="C165">
        <v>9.5830749999999991</v>
      </c>
      <c r="D165">
        <v>9.3749640000000003</v>
      </c>
      <c r="E165">
        <v>9.4962990000000005</v>
      </c>
      <c r="F165">
        <v>9.8118999999999996</v>
      </c>
      <c r="G165">
        <v>9.8514239999999997</v>
      </c>
      <c r="H165">
        <v>10.360977999999999</v>
      </c>
      <c r="I165">
        <v>9.4829699999999999</v>
      </c>
      <c r="J165">
        <v>8.6936389999999992</v>
      </c>
      <c r="K165">
        <v>9.4027480000000008</v>
      </c>
      <c r="L165">
        <v>9.3061830000000008</v>
      </c>
      <c r="M165">
        <v>9.7756830000000008</v>
      </c>
      <c r="N165">
        <v>9.5813210000000009</v>
      </c>
      <c r="O165">
        <v>9.3041090000000004</v>
      </c>
      <c r="P165">
        <v>9.4064820000000005</v>
      </c>
      <c r="Q165">
        <v>9.7547270000000008</v>
      </c>
      <c r="R165">
        <v>9.3332080000000008</v>
      </c>
      <c r="S165">
        <v>7.4527739999999998</v>
      </c>
      <c r="T165">
        <v>9.6028769999999994</v>
      </c>
      <c r="U165">
        <v>9.115494</v>
      </c>
      <c r="V165">
        <v>9.8843139999999998</v>
      </c>
      <c r="W165">
        <v>10.529446</v>
      </c>
      <c r="X165">
        <v>9.9709450000000004</v>
      </c>
      <c r="Y165">
        <v>8.8094859999999997</v>
      </c>
      <c r="Z165">
        <v>9.3396559999999997</v>
      </c>
      <c r="AA165">
        <v>9.0617110000000007</v>
      </c>
      <c r="AB165">
        <v>8.9288139999999991</v>
      </c>
      <c r="AC165">
        <v>8.5367479999999993</v>
      </c>
      <c r="AD165">
        <v>9.2885519999999993</v>
      </c>
      <c r="AE165">
        <v>10.390440999999999</v>
      </c>
      <c r="AF165">
        <v>8.9162710000000001</v>
      </c>
      <c r="AG165">
        <v>8.8462899999999998</v>
      </c>
    </row>
    <row r="166" spans="1:33" x14ac:dyDescent="0.25">
      <c r="A166" s="1">
        <v>44217</v>
      </c>
      <c r="B166">
        <v>9.4673490000000005</v>
      </c>
      <c r="C166">
        <v>9.699586</v>
      </c>
      <c r="D166">
        <v>9.2444330000000008</v>
      </c>
      <c r="E166">
        <v>9.4782100000000007</v>
      </c>
      <c r="F166">
        <v>9.8774239999999995</v>
      </c>
      <c r="G166">
        <v>9.8977039999999992</v>
      </c>
      <c r="H166">
        <v>10.384496</v>
      </c>
      <c r="I166">
        <v>9.5885529999999992</v>
      </c>
      <c r="J166">
        <v>8.6057290000000002</v>
      </c>
      <c r="K166">
        <v>9.4388269999999999</v>
      </c>
      <c r="L166">
        <v>9.2799980000000009</v>
      </c>
      <c r="M166">
        <v>9.8018649999999994</v>
      </c>
      <c r="N166">
        <v>9.6193589999999993</v>
      </c>
      <c r="O166">
        <v>9.3087569999999999</v>
      </c>
      <c r="P166">
        <v>9.4313754999999997</v>
      </c>
      <c r="Q166">
        <v>9.8108839999999997</v>
      </c>
      <c r="R166">
        <v>9.3693840000000002</v>
      </c>
      <c r="S166">
        <v>7.0793442999999998</v>
      </c>
      <c r="T166">
        <v>9.6217079999999999</v>
      </c>
      <c r="U166">
        <v>9.0443289999999994</v>
      </c>
      <c r="V166">
        <v>10.018661</v>
      </c>
      <c r="W166">
        <v>10.16254</v>
      </c>
      <c r="X166">
        <v>10.123494000000001</v>
      </c>
      <c r="Y166">
        <v>8.6929960000000008</v>
      </c>
      <c r="Z166">
        <v>9.2076750000000001</v>
      </c>
      <c r="AA166">
        <v>9.0116890000000005</v>
      </c>
      <c r="AB166">
        <v>8.849494</v>
      </c>
      <c r="AC166">
        <v>8.4427120000000002</v>
      </c>
      <c r="AD166">
        <v>9.2802450000000007</v>
      </c>
      <c r="AE166">
        <v>10.218704000000001</v>
      </c>
      <c r="AF166">
        <v>8.9193110000000004</v>
      </c>
      <c r="AG166">
        <v>8.8932699999999993</v>
      </c>
    </row>
    <row r="167" spans="1:33" x14ac:dyDescent="0.25">
      <c r="A167" s="1">
        <v>44218</v>
      </c>
      <c r="B167">
        <v>9.4975450000000006</v>
      </c>
      <c r="C167">
        <v>9.8298249999999996</v>
      </c>
      <c r="D167">
        <v>9.3222430000000003</v>
      </c>
      <c r="E167">
        <v>9.5454360000000005</v>
      </c>
      <c r="F167">
        <v>9.9429470000000002</v>
      </c>
      <c r="G167">
        <v>9.9411459999999998</v>
      </c>
      <c r="H167">
        <v>10.465801000000001</v>
      </c>
      <c r="I167">
        <v>9.658182</v>
      </c>
      <c r="J167">
        <v>8.6743749999999995</v>
      </c>
      <c r="K167">
        <v>9.4631270000000001</v>
      </c>
      <c r="L167">
        <v>9.2785139999999995</v>
      </c>
      <c r="M167">
        <v>9.8517609999999998</v>
      </c>
      <c r="N167">
        <v>9.6931329999999996</v>
      </c>
      <c r="O167">
        <v>9.3339049999999997</v>
      </c>
      <c r="P167">
        <v>9.4764320000000009</v>
      </c>
      <c r="Q167">
        <v>9.8681669999999997</v>
      </c>
      <c r="R167">
        <v>9.3593949999999992</v>
      </c>
      <c r="S167">
        <v>7.247064</v>
      </c>
      <c r="T167">
        <v>9.6735640000000007</v>
      </c>
      <c r="U167">
        <v>9.0797860000000004</v>
      </c>
      <c r="V167">
        <v>10.039256999999999</v>
      </c>
      <c r="W167">
        <v>10.003121</v>
      </c>
      <c r="X167">
        <v>10.155670000000001</v>
      </c>
      <c r="Y167">
        <v>8.6957269999999998</v>
      </c>
      <c r="Z167">
        <v>9.1587270000000007</v>
      </c>
      <c r="AA167">
        <v>8.9942665000000002</v>
      </c>
      <c r="AB167">
        <v>8.8336450000000006</v>
      </c>
      <c r="AC167">
        <v>8.4062619999999999</v>
      </c>
      <c r="AD167">
        <v>9.2780710000000006</v>
      </c>
      <c r="AE167">
        <v>10.348337000000001</v>
      </c>
      <c r="AF167">
        <v>8.9395895000000003</v>
      </c>
      <c r="AG167">
        <v>8.9065150000000006</v>
      </c>
    </row>
    <row r="168" spans="1:33" x14ac:dyDescent="0.25">
      <c r="A168" s="1">
        <v>44219</v>
      </c>
      <c r="B168">
        <v>9.5037769999999995</v>
      </c>
      <c r="C168">
        <v>9.8399420000000006</v>
      </c>
      <c r="D168">
        <v>9.4358219999999999</v>
      </c>
      <c r="E168">
        <v>9.5889159999999993</v>
      </c>
      <c r="F168">
        <v>9.952223</v>
      </c>
      <c r="G168">
        <v>9.9453534999999995</v>
      </c>
      <c r="H168">
        <v>10.4314</v>
      </c>
      <c r="I168">
        <v>9.7143580000000007</v>
      </c>
      <c r="J168">
        <v>8.6933629999999997</v>
      </c>
      <c r="K168">
        <v>9.4929159999999992</v>
      </c>
      <c r="L168">
        <v>9.2583819999999992</v>
      </c>
      <c r="M168">
        <v>9.858231</v>
      </c>
      <c r="N168">
        <v>9.7032439999999998</v>
      </c>
      <c r="O168">
        <v>9.3711369999999992</v>
      </c>
      <c r="P168">
        <v>9.4944030000000001</v>
      </c>
      <c r="Q168">
        <v>9.8694889999999997</v>
      </c>
      <c r="R168">
        <v>9.3850549999999995</v>
      </c>
      <c r="S168">
        <v>7.431705</v>
      </c>
      <c r="T168">
        <v>9.6716160000000002</v>
      </c>
      <c r="U168">
        <v>9.0744140000000009</v>
      </c>
      <c r="V168">
        <v>10.000852</v>
      </c>
      <c r="W168">
        <v>9.8766979999999993</v>
      </c>
      <c r="X168">
        <v>10.073681000000001</v>
      </c>
      <c r="Y168">
        <v>8.5901099999999992</v>
      </c>
      <c r="Z168">
        <v>9.0740200000000009</v>
      </c>
      <c r="AA168">
        <v>8.9667329999999996</v>
      </c>
      <c r="AB168">
        <v>8.8181729999999998</v>
      </c>
      <c r="AC168">
        <v>8.143459</v>
      </c>
      <c r="AD168">
        <v>9.2598230000000008</v>
      </c>
      <c r="AE168">
        <v>10.630058</v>
      </c>
      <c r="AF168">
        <v>8.9454779999999996</v>
      </c>
      <c r="AG168">
        <v>8.9272050000000007</v>
      </c>
    </row>
    <row r="169" spans="1:33" x14ac:dyDescent="0.25">
      <c r="A169" s="1">
        <v>44220</v>
      </c>
      <c r="B169">
        <v>9.1915829999999996</v>
      </c>
      <c r="C169">
        <v>9.6988009999999996</v>
      </c>
      <c r="D169">
        <v>9.4085909999999995</v>
      </c>
      <c r="E169">
        <v>9.4657959999999992</v>
      </c>
      <c r="F169">
        <v>9.7250890000000005</v>
      </c>
      <c r="G169">
        <v>9.8948330000000002</v>
      </c>
      <c r="H169">
        <v>10.351224</v>
      </c>
      <c r="I169">
        <v>9.4100619999999999</v>
      </c>
      <c r="J169">
        <v>8.5736439999999998</v>
      </c>
      <c r="K169">
        <v>9.4350339999999999</v>
      </c>
      <c r="L169">
        <v>9.2121589999999998</v>
      </c>
      <c r="M169">
        <v>9.8072680000000005</v>
      </c>
      <c r="N169">
        <v>9.6706620000000001</v>
      </c>
      <c r="O169">
        <v>9.3240829999999999</v>
      </c>
      <c r="P169">
        <v>9.4525690000000004</v>
      </c>
      <c r="Q169">
        <v>9.8437339999999995</v>
      </c>
      <c r="R169">
        <v>9.3271169999999994</v>
      </c>
      <c r="S169">
        <v>7.3559669999999997</v>
      </c>
      <c r="T169">
        <v>9.5960280000000004</v>
      </c>
      <c r="U169">
        <v>8.9474590000000003</v>
      </c>
      <c r="V169">
        <v>9.6875920000000004</v>
      </c>
      <c r="W169">
        <v>9.6954999999999991</v>
      </c>
      <c r="X169">
        <v>9.7472779999999997</v>
      </c>
      <c r="Y169">
        <v>8.424823</v>
      </c>
      <c r="Z169">
        <v>9.0049200000000003</v>
      </c>
      <c r="AA169">
        <v>8.8959674999999994</v>
      </c>
      <c r="AB169">
        <v>8.6925190000000008</v>
      </c>
      <c r="AC169">
        <v>7.7699090000000002</v>
      </c>
      <c r="AD169">
        <v>9.2405889999999999</v>
      </c>
      <c r="AE169">
        <v>10.300860999999999</v>
      </c>
      <c r="AF169">
        <v>8.9022869999999994</v>
      </c>
      <c r="AG169">
        <v>8.79312</v>
      </c>
    </row>
    <row r="170" spans="1:33" x14ac:dyDescent="0.25">
      <c r="A170" s="1">
        <v>44221</v>
      </c>
      <c r="B170">
        <v>8.5133240000000008</v>
      </c>
      <c r="C170">
        <v>9.5318539999999992</v>
      </c>
      <c r="D170">
        <v>9.206061</v>
      </c>
      <c r="E170">
        <v>9.1168999999999993</v>
      </c>
      <c r="F170">
        <v>9.2522040000000008</v>
      </c>
      <c r="G170">
        <v>9.6318830000000002</v>
      </c>
      <c r="H170">
        <v>9.9832959999999993</v>
      </c>
      <c r="I170">
        <v>8.5857170000000007</v>
      </c>
      <c r="J170">
        <v>8.1966750000000008</v>
      </c>
      <c r="K170">
        <v>9.2032559999999997</v>
      </c>
      <c r="L170">
        <v>9.0219090000000008</v>
      </c>
      <c r="M170">
        <v>9.5255039999999997</v>
      </c>
      <c r="N170">
        <v>9.4227959999999999</v>
      </c>
      <c r="O170">
        <v>9.1979919999999993</v>
      </c>
      <c r="P170">
        <v>9.2216729999999991</v>
      </c>
      <c r="Q170">
        <v>9.6250870000000006</v>
      </c>
      <c r="R170">
        <v>9.205057</v>
      </c>
      <c r="S170">
        <v>7.2731146999999998</v>
      </c>
      <c r="T170">
        <v>9.3206570000000006</v>
      </c>
      <c r="U170">
        <v>8.8232350000000004</v>
      </c>
      <c r="V170">
        <v>9.3753229999999999</v>
      </c>
      <c r="W170">
        <v>9.4185180000000006</v>
      </c>
      <c r="X170">
        <v>9.414199</v>
      </c>
      <c r="Y170">
        <v>8.0365649999999995</v>
      </c>
      <c r="Z170">
        <v>8.8585209999999996</v>
      </c>
      <c r="AA170">
        <v>8.7279680000000006</v>
      </c>
      <c r="AB170">
        <v>8.3331979999999994</v>
      </c>
      <c r="AC170">
        <v>7.5072000000000001</v>
      </c>
      <c r="AD170">
        <v>9.1041519999999991</v>
      </c>
      <c r="AE170">
        <v>9.7583549999999999</v>
      </c>
      <c r="AF170">
        <v>8.8469280000000001</v>
      </c>
      <c r="AG170">
        <v>8.51525</v>
      </c>
    </row>
    <row r="171" spans="1:33" x14ac:dyDescent="0.25">
      <c r="A171" s="1">
        <v>44222</v>
      </c>
      <c r="B171">
        <v>8.0311419999999991</v>
      </c>
      <c r="C171">
        <v>9.1995000000000005</v>
      </c>
      <c r="D171">
        <v>8.8783080000000005</v>
      </c>
      <c r="E171">
        <v>8.7768449999999998</v>
      </c>
      <c r="F171">
        <v>8.9425430000000006</v>
      </c>
      <c r="G171">
        <v>9.2887070000000005</v>
      </c>
      <c r="H171">
        <v>9.5449190000000002</v>
      </c>
      <c r="I171">
        <v>7.9351152999999996</v>
      </c>
      <c r="J171">
        <v>7.4021764000000001</v>
      </c>
      <c r="K171">
        <v>8.9271960000000004</v>
      </c>
      <c r="L171">
        <v>8.7246275000000004</v>
      </c>
      <c r="M171">
        <v>9.2287239999999997</v>
      </c>
      <c r="N171">
        <v>9.167586</v>
      </c>
      <c r="O171">
        <v>8.8956769999999992</v>
      </c>
      <c r="P171">
        <v>8.9681639999999998</v>
      </c>
      <c r="Q171">
        <v>9.2929910000000007</v>
      </c>
      <c r="R171">
        <v>8.9560130000000004</v>
      </c>
      <c r="S171">
        <v>6.296608</v>
      </c>
      <c r="T171">
        <v>8.9520820000000008</v>
      </c>
      <c r="U171">
        <v>8.4669460000000001</v>
      </c>
      <c r="V171">
        <v>9.0353549999999991</v>
      </c>
      <c r="W171">
        <v>9.2265110000000004</v>
      </c>
      <c r="X171">
        <v>9.0984335000000005</v>
      </c>
      <c r="Y171">
        <v>7.412871</v>
      </c>
      <c r="Z171">
        <v>8.5726289999999992</v>
      </c>
      <c r="AA171">
        <v>8.4226340000000004</v>
      </c>
      <c r="AB171">
        <v>7.762276</v>
      </c>
      <c r="AC171">
        <v>6.8843180000000004</v>
      </c>
      <c r="AD171">
        <v>8.8483879999999999</v>
      </c>
      <c r="AE171">
        <v>9.1530240000000003</v>
      </c>
      <c r="AF171">
        <v>8.7071699999999996</v>
      </c>
      <c r="AG171">
        <v>7.9579620000000002</v>
      </c>
    </row>
    <row r="172" spans="1:33" x14ac:dyDescent="0.25">
      <c r="A172" s="1">
        <v>44223</v>
      </c>
      <c r="B172">
        <v>8.3057580000000009</v>
      </c>
      <c r="C172">
        <v>9.1550130000000003</v>
      </c>
      <c r="D172">
        <v>8.8521595000000008</v>
      </c>
      <c r="E172">
        <v>8.8495240000000006</v>
      </c>
      <c r="F172">
        <v>9.0231750000000002</v>
      </c>
      <c r="G172">
        <v>9.1969840000000005</v>
      </c>
      <c r="H172">
        <v>9.4333189999999991</v>
      </c>
      <c r="I172">
        <v>8.4124400000000001</v>
      </c>
      <c r="J172">
        <v>7.6454066999999997</v>
      </c>
      <c r="K172">
        <v>8.7674470000000007</v>
      </c>
      <c r="L172">
        <v>8.6917349999999995</v>
      </c>
      <c r="M172">
        <v>9.1919380000000004</v>
      </c>
      <c r="N172">
        <v>9.0639140000000005</v>
      </c>
      <c r="O172">
        <v>8.7729510000000008</v>
      </c>
      <c r="P172">
        <v>8.8282609999999995</v>
      </c>
      <c r="Q172">
        <v>9.1544969999999992</v>
      </c>
      <c r="R172">
        <v>8.7896450000000002</v>
      </c>
      <c r="S172">
        <v>6.8744907</v>
      </c>
      <c r="T172">
        <v>8.7969659999999994</v>
      </c>
      <c r="U172">
        <v>8.1411650000000009</v>
      </c>
      <c r="V172">
        <v>8.7941439999999993</v>
      </c>
      <c r="W172">
        <v>8.8977120000000003</v>
      </c>
      <c r="X172">
        <v>8.7695319999999999</v>
      </c>
      <c r="Y172">
        <v>7.4599859999999998</v>
      </c>
      <c r="Z172">
        <v>8.3491745000000002</v>
      </c>
      <c r="AA172">
        <v>8.2813440000000007</v>
      </c>
      <c r="AB172">
        <v>7.6473922999999999</v>
      </c>
      <c r="AC172">
        <v>6.7172190000000001</v>
      </c>
      <c r="AD172">
        <v>8.7550000000000008</v>
      </c>
      <c r="AE172">
        <v>8.4346619999999994</v>
      </c>
      <c r="AF172">
        <v>8.4987340000000007</v>
      </c>
      <c r="AG172">
        <v>7.7928294999999999</v>
      </c>
    </row>
    <row r="173" spans="1:33" x14ac:dyDescent="0.25">
      <c r="A173" s="1">
        <v>44224</v>
      </c>
      <c r="B173">
        <v>8.4813779999999994</v>
      </c>
      <c r="C173">
        <v>9.1529749999999996</v>
      </c>
      <c r="D173">
        <v>8.9925049999999995</v>
      </c>
      <c r="E173">
        <v>9.0543320000000005</v>
      </c>
      <c r="F173">
        <v>9.1574550000000006</v>
      </c>
      <c r="G173">
        <v>9.2191369999999999</v>
      </c>
      <c r="H173">
        <v>9.450215</v>
      </c>
      <c r="I173">
        <v>8.7309579999999993</v>
      </c>
      <c r="J173">
        <v>7.9715442999999997</v>
      </c>
      <c r="K173">
        <v>8.8088669999999993</v>
      </c>
      <c r="L173">
        <v>8.7771980000000003</v>
      </c>
      <c r="M173">
        <v>9.2004669999999997</v>
      </c>
      <c r="N173">
        <v>9.0472339999999996</v>
      </c>
      <c r="O173">
        <v>8.8454890000000006</v>
      </c>
      <c r="P173">
        <v>8.8501759999999994</v>
      </c>
      <c r="Q173">
        <v>9.1603399999999997</v>
      </c>
      <c r="R173">
        <v>8.8582509999999992</v>
      </c>
      <c r="S173">
        <v>7.6873670000000001</v>
      </c>
      <c r="T173">
        <v>8.8110999999999997</v>
      </c>
      <c r="U173">
        <v>8.2643419999999992</v>
      </c>
      <c r="V173">
        <v>8.959479</v>
      </c>
      <c r="W173">
        <v>8.6242280000000004</v>
      </c>
      <c r="X173">
        <v>8.9989109999999997</v>
      </c>
      <c r="Y173">
        <v>7.5697320000000001</v>
      </c>
      <c r="Z173">
        <v>8.4339340000000007</v>
      </c>
      <c r="AA173">
        <v>8.4072610000000001</v>
      </c>
      <c r="AB173">
        <v>7.8470969999999998</v>
      </c>
      <c r="AC173">
        <v>7.0806839999999998</v>
      </c>
      <c r="AD173">
        <v>8.7774400000000004</v>
      </c>
      <c r="AE173">
        <v>8.572953</v>
      </c>
      <c r="AF173">
        <v>8.5564110000000007</v>
      </c>
      <c r="AG173">
        <v>8.1297820000000005</v>
      </c>
    </row>
    <row r="174" spans="1:33" x14ac:dyDescent="0.25">
      <c r="A174" s="1">
        <v>44225</v>
      </c>
      <c r="B174">
        <v>8.5475630000000002</v>
      </c>
      <c r="C174">
        <v>9.1983870000000003</v>
      </c>
      <c r="D174">
        <v>9.1281029999999994</v>
      </c>
      <c r="E174">
        <v>9.0772370000000002</v>
      </c>
      <c r="F174">
        <v>9.2397259999999992</v>
      </c>
      <c r="G174">
        <v>9.2286260000000002</v>
      </c>
      <c r="H174">
        <v>9.4647839999999999</v>
      </c>
      <c r="I174">
        <v>8.9580289999999998</v>
      </c>
      <c r="J174">
        <v>8.382714</v>
      </c>
      <c r="K174">
        <v>8.8955140000000004</v>
      </c>
      <c r="L174">
        <v>8.840033</v>
      </c>
      <c r="M174">
        <v>9.2154980000000002</v>
      </c>
      <c r="N174">
        <v>9.0815400000000004</v>
      </c>
      <c r="O174">
        <v>8.9293870000000002</v>
      </c>
      <c r="P174">
        <v>8.9337359999999997</v>
      </c>
      <c r="Q174">
        <v>9.1770770000000006</v>
      </c>
      <c r="R174">
        <v>8.9070424999999993</v>
      </c>
      <c r="S174">
        <v>8.1926850000000009</v>
      </c>
      <c r="T174">
        <v>8.8533740000000005</v>
      </c>
      <c r="U174">
        <v>8.3851720000000007</v>
      </c>
      <c r="V174">
        <v>8.9874720000000003</v>
      </c>
      <c r="W174">
        <v>8.5461855</v>
      </c>
      <c r="X174">
        <v>8.970326</v>
      </c>
      <c r="Y174">
        <v>7.5001397000000001</v>
      </c>
      <c r="Z174">
        <v>8.6000779999999999</v>
      </c>
      <c r="AA174">
        <v>8.5311140000000005</v>
      </c>
      <c r="AB174">
        <v>7.8105893000000002</v>
      </c>
      <c r="AC174">
        <v>7.5705070000000001</v>
      </c>
      <c r="AD174">
        <v>8.8252734999999998</v>
      </c>
      <c r="AE174">
        <v>9.1248380000000004</v>
      </c>
      <c r="AF174">
        <v>8.6380769999999991</v>
      </c>
      <c r="AG174">
        <v>8.4538969999999996</v>
      </c>
    </row>
    <row r="175" spans="1:33" x14ac:dyDescent="0.25">
      <c r="A175" s="1">
        <v>44226</v>
      </c>
      <c r="B175">
        <v>8.5395439999999994</v>
      </c>
      <c r="C175">
        <v>9.1834969999999991</v>
      </c>
      <c r="D175">
        <v>9.1712500000000006</v>
      </c>
      <c r="E175">
        <v>9.0556230000000006</v>
      </c>
      <c r="F175">
        <v>9.2385680000000008</v>
      </c>
      <c r="G175">
        <v>9.2407450000000004</v>
      </c>
      <c r="H175">
        <v>9.495552</v>
      </c>
      <c r="I175">
        <v>9.0098090000000006</v>
      </c>
      <c r="J175">
        <v>8.5525059999999993</v>
      </c>
      <c r="K175">
        <v>8.9597890000000007</v>
      </c>
      <c r="L175">
        <v>8.9039680000000008</v>
      </c>
      <c r="M175">
        <v>9.2342209999999998</v>
      </c>
      <c r="N175">
        <v>9.0528910000000007</v>
      </c>
      <c r="O175">
        <v>9.0204109999999993</v>
      </c>
      <c r="P175">
        <v>8.9856540000000003</v>
      </c>
      <c r="Q175">
        <v>9.1908469999999998</v>
      </c>
      <c r="R175">
        <v>8.9790810000000008</v>
      </c>
      <c r="S175">
        <v>8.2996850000000002</v>
      </c>
      <c r="T175">
        <v>8.8296569999999992</v>
      </c>
      <c r="U175">
        <v>8.5302515000000003</v>
      </c>
      <c r="V175">
        <v>8.7215620000000005</v>
      </c>
      <c r="W175">
        <v>8.4771359999999998</v>
      </c>
      <c r="X175">
        <v>8.6766450000000006</v>
      </c>
      <c r="Y175">
        <v>7.9244327999999999</v>
      </c>
      <c r="Z175">
        <v>8.7422199999999997</v>
      </c>
      <c r="AA175">
        <v>8.7085085000000007</v>
      </c>
      <c r="AB175">
        <v>7.9141107000000002</v>
      </c>
      <c r="AC175">
        <v>12.290844</v>
      </c>
      <c r="AD175">
        <v>8.8858519999999999</v>
      </c>
      <c r="AE175">
        <v>9.8452669999999998</v>
      </c>
      <c r="AF175">
        <v>8.6616739999999997</v>
      </c>
      <c r="AG175">
        <v>8.7498360000000002</v>
      </c>
    </row>
    <row r="176" spans="1:33" x14ac:dyDescent="0.25">
      <c r="A176" s="1">
        <v>44227</v>
      </c>
      <c r="B176">
        <v>8.9683609999999998</v>
      </c>
      <c r="C176">
        <v>9.3572980000000001</v>
      </c>
      <c r="D176">
        <v>9.2757810000000003</v>
      </c>
      <c r="E176">
        <v>9.2069235000000003</v>
      </c>
      <c r="F176">
        <v>9.4490540000000003</v>
      </c>
      <c r="G176">
        <v>9.3430090000000003</v>
      </c>
      <c r="H176">
        <v>9.6080450000000006</v>
      </c>
      <c r="I176">
        <v>9.3570679999999999</v>
      </c>
      <c r="J176">
        <v>8.9255169999999993</v>
      </c>
      <c r="K176">
        <v>9.1151809999999998</v>
      </c>
      <c r="L176">
        <v>9.0651159999999997</v>
      </c>
      <c r="M176">
        <v>9.3440689999999993</v>
      </c>
      <c r="N176">
        <v>9.1356380000000001</v>
      </c>
      <c r="O176">
        <v>9.1261189999999992</v>
      </c>
      <c r="P176">
        <v>9.1304040000000004</v>
      </c>
      <c r="Q176">
        <v>9.2668549999999996</v>
      </c>
      <c r="R176">
        <v>9.0997859999999999</v>
      </c>
      <c r="S176">
        <v>8.5242319999999996</v>
      </c>
      <c r="T176">
        <v>8.9118449999999996</v>
      </c>
      <c r="U176">
        <v>9.0288079999999997</v>
      </c>
      <c r="V176">
        <v>8.8026169999999997</v>
      </c>
      <c r="W176">
        <v>8.7325999999999997</v>
      </c>
      <c r="X176">
        <v>8.7660675000000001</v>
      </c>
      <c r="Y176">
        <v>11.170807999999999</v>
      </c>
      <c r="Z176">
        <v>9.1088799999999992</v>
      </c>
      <c r="AA176">
        <v>8.9393809999999991</v>
      </c>
      <c r="AB176">
        <v>10.248165999999999</v>
      </c>
      <c r="AC176">
        <v>11.819411000000001</v>
      </c>
      <c r="AD176">
        <v>9.0311389999999996</v>
      </c>
      <c r="AE176">
        <v>10.560105999999999</v>
      </c>
      <c r="AF176">
        <v>8.6045309999999997</v>
      </c>
      <c r="AG176">
        <v>9.0584290000000003</v>
      </c>
    </row>
    <row r="177" spans="1:33" x14ac:dyDescent="0.25">
      <c r="A177" s="1">
        <v>44228</v>
      </c>
      <c r="B177">
        <v>9.4125130000000006</v>
      </c>
      <c r="C177">
        <v>9.5084490000000006</v>
      </c>
      <c r="D177">
        <v>9.4466160000000006</v>
      </c>
      <c r="E177">
        <v>9.4108400000000003</v>
      </c>
      <c r="F177">
        <v>9.6275030000000008</v>
      </c>
      <c r="G177">
        <v>9.5021620000000002</v>
      </c>
      <c r="H177">
        <v>9.7754980000000007</v>
      </c>
      <c r="I177">
        <v>9.7793519999999994</v>
      </c>
      <c r="J177">
        <v>9.3556069999999991</v>
      </c>
      <c r="K177">
        <v>9.3268459999999997</v>
      </c>
      <c r="L177">
        <v>9.2759579999999993</v>
      </c>
      <c r="M177">
        <v>9.5017329999999998</v>
      </c>
      <c r="N177">
        <v>9.2772679999999994</v>
      </c>
      <c r="O177">
        <v>9.3020759999999996</v>
      </c>
      <c r="P177">
        <v>9.3301920000000003</v>
      </c>
      <c r="Q177">
        <v>9.4253040000000006</v>
      </c>
      <c r="R177">
        <v>9.2775590000000001</v>
      </c>
      <c r="S177">
        <v>8.9270549999999993</v>
      </c>
      <c r="T177">
        <v>9.120635</v>
      </c>
      <c r="U177">
        <v>9.2273890000000005</v>
      </c>
      <c r="V177">
        <v>8.9474230000000006</v>
      </c>
      <c r="W177">
        <v>9.0224139999999995</v>
      </c>
      <c r="X177">
        <v>8.9378539999999997</v>
      </c>
      <c r="Y177">
        <v>11.854965</v>
      </c>
      <c r="Z177">
        <v>9.5019770000000001</v>
      </c>
      <c r="AA177">
        <v>9.2203020000000002</v>
      </c>
      <c r="AB177">
        <v>11.390468</v>
      </c>
      <c r="AC177">
        <v>9.9378670000000007</v>
      </c>
      <c r="AD177">
        <v>9.2244259999999993</v>
      </c>
      <c r="AE177">
        <v>11.339632999999999</v>
      </c>
      <c r="AF177">
        <v>8.8241849999999999</v>
      </c>
      <c r="AG177">
        <v>9.3481129999999997</v>
      </c>
    </row>
    <row r="178" spans="1:33" x14ac:dyDescent="0.25">
      <c r="A178" s="1">
        <v>44229</v>
      </c>
      <c r="B178">
        <v>10.020921</v>
      </c>
      <c r="C178">
        <v>9.7364339999999991</v>
      </c>
      <c r="D178">
        <v>9.7371219999999994</v>
      </c>
      <c r="E178">
        <v>9.6853560000000005</v>
      </c>
      <c r="F178">
        <v>9.9112749999999998</v>
      </c>
      <c r="G178">
        <v>9.7042169999999999</v>
      </c>
      <c r="H178">
        <v>10.021229</v>
      </c>
      <c r="I178">
        <v>10.363123999999999</v>
      </c>
      <c r="J178">
        <v>9.7878969999999992</v>
      </c>
      <c r="K178">
        <v>9.5428470000000001</v>
      </c>
      <c r="L178">
        <v>9.5112830000000006</v>
      </c>
      <c r="M178">
        <v>9.6937010000000008</v>
      </c>
      <c r="N178">
        <v>9.4173109999999998</v>
      </c>
      <c r="O178">
        <v>9.493093</v>
      </c>
      <c r="P178">
        <v>9.5221339999999994</v>
      </c>
      <c r="Q178">
        <v>9.6056089999999994</v>
      </c>
      <c r="R178">
        <v>9.4766739999999992</v>
      </c>
      <c r="S178">
        <v>9.5528960000000005</v>
      </c>
      <c r="T178">
        <v>9.4428420000000006</v>
      </c>
      <c r="U178">
        <v>9.5414270000000005</v>
      </c>
      <c r="V178">
        <v>9.3105580000000003</v>
      </c>
      <c r="W178">
        <v>9.4077579999999994</v>
      </c>
      <c r="X178">
        <v>9.2966200000000008</v>
      </c>
      <c r="Y178">
        <v>10.546640999999999</v>
      </c>
      <c r="Z178">
        <v>9.8146590000000007</v>
      </c>
      <c r="AA178">
        <v>9.5286589999999993</v>
      </c>
      <c r="AB178">
        <v>10.469060000000001</v>
      </c>
      <c r="AC178">
        <v>10.143565000000001</v>
      </c>
      <c r="AD178">
        <v>9.4343679999999992</v>
      </c>
      <c r="AE178">
        <v>11.7035</v>
      </c>
      <c r="AF178">
        <v>10.338962</v>
      </c>
      <c r="AG178">
        <v>9.6247699999999998</v>
      </c>
    </row>
    <row r="179" spans="1:33" x14ac:dyDescent="0.25">
      <c r="A179" s="1">
        <v>44230</v>
      </c>
      <c r="B179">
        <v>9.8140490000000007</v>
      </c>
      <c r="C179">
        <v>9.5969715000000004</v>
      </c>
      <c r="D179">
        <v>9.7420910000000003</v>
      </c>
      <c r="E179">
        <v>9.6262810000000005</v>
      </c>
      <c r="F179">
        <v>9.8066019999999998</v>
      </c>
      <c r="G179">
        <v>9.7269500000000004</v>
      </c>
      <c r="H179">
        <v>10.061931</v>
      </c>
      <c r="I179">
        <v>10.256076</v>
      </c>
      <c r="J179">
        <v>9.5800219999999996</v>
      </c>
      <c r="K179">
        <v>9.5531699999999997</v>
      </c>
      <c r="L179">
        <v>9.4986300000000004</v>
      </c>
      <c r="M179">
        <v>9.6781020000000009</v>
      </c>
      <c r="N179">
        <v>9.4242749999999997</v>
      </c>
      <c r="O179">
        <v>9.4386320000000001</v>
      </c>
      <c r="P179">
        <v>9.525468</v>
      </c>
      <c r="Q179">
        <v>9.604203</v>
      </c>
      <c r="R179">
        <v>9.4639439999999997</v>
      </c>
      <c r="S179">
        <v>9.2843830000000001</v>
      </c>
      <c r="T179">
        <v>9.5104685</v>
      </c>
      <c r="U179">
        <v>9.5383469999999999</v>
      </c>
      <c r="V179">
        <v>9.2762270000000004</v>
      </c>
      <c r="W179">
        <v>9.7841559999999994</v>
      </c>
      <c r="X179">
        <v>9.2761650000000007</v>
      </c>
      <c r="Y179">
        <v>9.966056</v>
      </c>
      <c r="Z179">
        <v>9.7593510000000006</v>
      </c>
      <c r="AA179">
        <v>9.5184320000000007</v>
      </c>
      <c r="AB179">
        <v>9.8585259999999995</v>
      </c>
      <c r="AC179">
        <v>9.9286119999999993</v>
      </c>
      <c r="AD179">
        <v>9.4404900000000005</v>
      </c>
      <c r="AE179">
        <v>11.643886</v>
      </c>
      <c r="AF179">
        <v>11.403532999999999</v>
      </c>
      <c r="AG179">
        <v>9.4694610000000008</v>
      </c>
    </row>
    <row r="180" spans="1:33" x14ac:dyDescent="0.25">
      <c r="A180" s="1">
        <v>44231</v>
      </c>
      <c r="B180">
        <v>9.7301529999999996</v>
      </c>
      <c r="C180">
        <v>9.6025759999999991</v>
      </c>
      <c r="D180">
        <v>9.6470369999999992</v>
      </c>
      <c r="E180">
        <v>9.6086690000000008</v>
      </c>
      <c r="F180">
        <v>9.8302029999999991</v>
      </c>
      <c r="G180">
        <v>9.7267089999999996</v>
      </c>
      <c r="H180">
        <v>10.093045</v>
      </c>
      <c r="I180">
        <v>10.191238999999999</v>
      </c>
      <c r="J180">
        <v>9.4624170000000003</v>
      </c>
      <c r="K180">
        <v>9.5958989999999993</v>
      </c>
      <c r="L180">
        <v>9.4781289999999991</v>
      </c>
      <c r="M180">
        <v>9.6656300000000002</v>
      </c>
      <c r="N180">
        <v>9.4727239999999995</v>
      </c>
      <c r="O180">
        <v>9.4208300000000005</v>
      </c>
      <c r="P180">
        <v>9.5550010000000007</v>
      </c>
      <c r="Q180">
        <v>9.6072780000000009</v>
      </c>
      <c r="R180">
        <v>9.4874524999999998</v>
      </c>
      <c r="S180">
        <v>8.8377029999999994</v>
      </c>
      <c r="T180">
        <v>9.5354430000000008</v>
      </c>
      <c r="U180">
        <v>9.4665219999999994</v>
      </c>
      <c r="V180">
        <v>9.5577059999999996</v>
      </c>
      <c r="W180">
        <v>9.7405790000000003</v>
      </c>
      <c r="X180">
        <v>9.6105070000000001</v>
      </c>
      <c r="Y180">
        <v>9.8048140000000004</v>
      </c>
      <c r="Z180">
        <v>9.5835740000000005</v>
      </c>
      <c r="AA180">
        <v>9.4835390000000004</v>
      </c>
      <c r="AB180">
        <v>9.7178199999999997</v>
      </c>
      <c r="AC180">
        <v>9.6265230000000006</v>
      </c>
      <c r="AD180">
        <v>9.4283049999999999</v>
      </c>
      <c r="AE180">
        <v>11.572528999999999</v>
      </c>
      <c r="AF180">
        <v>11.124253</v>
      </c>
      <c r="AG180">
        <v>9.3106310000000008</v>
      </c>
    </row>
    <row r="181" spans="1:33" x14ac:dyDescent="0.25">
      <c r="A181" s="1">
        <v>44232</v>
      </c>
      <c r="B181">
        <v>9.7383260000000007</v>
      </c>
      <c r="C181">
        <v>9.7090390000000006</v>
      </c>
      <c r="D181">
        <v>9.6386430000000001</v>
      </c>
      <c r="E181">
        <v>9.7058680000000006</v>
      </c>
      <c r="F181">
        <v>9.9110289999999992</v>
      </c>
      <c r="G181">
        <v>9.8099880000000006</v>
      </c>
      <c r="H181">
        <v>10.174647</v>
      </c>
      <c r="I181">
        <v>10.318121</v>
      </c>
      <c r="J181">
        <v>9.3352374999999999</v>
      </c>
      <c r="K181">
        <v>9.6307500000000008</v>
      </c>
      <c r="L181">
        <v>9.4937260000000006</v>
      </c>
      <c r="M181">
        <v>9.7408819999999992</v>
      </c>
      <c r="N181">
        <v>9.5433520000000005</v>
      </c>
      <c r="O181">
        <v>9.4694339999999997</v>
      </c>
      <c r="P181">
        <v>9.5976929999999996</v>
      </c>
      <c r="Q181">
        <v>9.7128200000000007</v>
      </c>
      <c r="R181">
        <v>9.5380140000000004</v>
      </c>
      <c r="S181">
        <v>8.6034170000000003</v>
      </c>
      <c r="T181">
        <v>9.6262460000000001</v>
      </c>
      <c r="U181">
        <v>9.5094130000000003</v>
      </c>
      <c r="V181">
        <v>9.687265</v>
      </c>
      <c r="W181">
        <v>9.9769600000000001</v>
      </c>
      <c r="X181">
        <v>9.7157940000000007</v>
      </c>
      <c r="Y181">
        <v>9.5671230000000005</v>
      </c>
      <c r="Z181">
        <v>9.5111930000000005</v>
      </c>
      <c r="AA181">
        <v>9.5004225000000009</v>
      </c>
      <c r="AB181">
        <v>9.5086355000000005</v>
      </c>
      <c r="AC181">
        <v>9.5525549999999999</v>
      </c>
      <c r="AD181">
        <v>9.4669530000000002</v>
      </c>
      <c r="AE181">
        <v>11.449494</v>
      </c>
      <c r="AF181">
        <v>10.717128000000001</v>
      </c>
      <c r="AG181">
        <v>9.3268900000000006</v>
      </c>
    </row>
    <row r="182" spans="1:33" x14ac:dyDescent="0.25">
      <c r="A182" s="1">
        <v>44233</v>
      </c>
      <c r="B182">
        <v>9.9082240000000006</v>
      </c>
      <c r="C182">
        <v>9.8544499999999999</v>
      </c>
      <c r="D182">
        <v>9.769584</v>
      </c>
      <c r="E182">
        <v>9.9289050000000003</v>
      </c>
      <c r="F182">
        <v>10.061507000000001</v>
      </c>
      <c r="G182">
        <v>9.9324809999999992</v>
      </c>
      <c r="H182">
        <v>10.341697</v>
      </c>
      <c r="I182">
        <v>10.493586000000001</v>
      </c>
      <c r="J182">
        <v>9.4239069999999998</v>
      </c>
      <c r="K182">
        <v>9.7681070000000005</v>
      </c>
      <c r="L182">
        <v>9.6048460000000002</v>
      </c>
      <c r="M182">
        <v>9.8838109999999997</v>
      </c>
      <c r="N182">
        <v>9.7237279999999995</v>
      </c>
      <c r="O182">
        <v>9.6281230000000004</v>
      </c>
      <c r="P182">
        <v>9.7375109999999996</v>
      </c>
      <c r="Q182">
        <v>9.861307</v>
      </c>
      <c r="R182">
        <v>9.6701779999999999</v>
      </c>
      <c r="S182">
        <v>8.7062570000000008</v>
      </c>
      <c r="T182">
        <v>9.8176279999999991</v>
      </c>
      <c r="U182">
        <v>9.579307</v>
      </c>
      <c r="V182">
        <v>9.8728529999999992</v>
      </c>
      <c r="W182">
        <v>10.376613000000001</v>
      </c>
      <c r="X182">
        <v>9.9097594999999998</v>
      </c>
      <c r="Y182">
        <v>9.6318245000000005</v>
      </c>
      <c r="Z182">
        <v>9.5587800000000005</v>
      </c>
      <c r="AA182">
        <v>9.5833960000000005</v>
      </c>
      <c r="AB182">
        <v>9.5448989999999991</v>
      </c>
      <c r="AC182">
        <v>9.6477170000000001</v>
      </c>
      <c r="AD182">
        <v>9.5788100000000007</v>
      </c>
      <c r="AE182">
        <v>11.632460999999999</v>
      </c>
      <c r="AF182">
        <v>10.552574999999999</v>
      </c>
      <c r="AG182">
        <v>9.5331639999999993</v>
      </c>
    </row>
    <row r="183" spans="1:33" x14ac:dyDescent="0.25">
      <c r="A183" s="1">
        <v>44234</v>
      </c>
      <c r="B183">
        <v>10.034068</v>
      </c>
      <c r="C183">
        <v>9.9803095000000006</v>
      </c>
      <c r="D183">
        <v>9.9568919999999999</v>
      </c>
      <c r="E183">
        <v>10.134746</v>
      </c>
      <c r="F183">
        <v>10.177937500000001</v>
      </c>
      <c r="G183">
        <v>10.062324</v>
      </c>
      <c r="H183">
        <v>10.5086355</v>
      </c>
      <c r="I183">
        <v>10.570632</v>
      </c>
      <c r="J183">
        <v>9.5528739999999992</v>
      </c>
      <c r="K183">
        <v>9.9049119999999995</v>
      </c>
      <c r="L183">
        <v>9.7388779999999997</v>
      </c>
      <c r="M183">
        <v>10.023944</v>
      </c>
      <c r="N183">
        <v>9.9102999999999994</v>
      </c>
      <c r="O183">
        <v>9.8049949999999999</v>
      </c>
      <c r="P183">
        <v>9.8791679999999999</v>
      </c>
      <c r="Q183">
        <v>10.013197</v>
      </c>
      <c r="R183">
        <v>9.8102099999999997</v>
      </c>
      <c r="S183">
        <v>9.0321259999999999</v>
      </c>
      <c r="T183">
        <v>10.072001</v>
      </c>
      <c r="U183">
        <v>9.7621110000000009</v>
      </c>
      <c r="V183">
        <v>10.335118</v>
      </c>
      <c r="W183">
        <v>10.363623</v>
      </c>
      <c r="X183">
        <v>10.425711</v>
      </c>
      <c r="Y183">
        <v>9.8191430000000004</v>
      </c>
      <c r="Z183">
        <v>9.6976130000000005</v>
      </c>
      <c r="AA183">
        <v>9.6932589999999994</v>
      </c>
      <c r="AB183">
        <v>9.7221930000000008</v>
      </c>
      <c r="AC183">
        <v>9.8505789999999998</v>
      </c>
      <c r="AD183">
        <v>9.7195509999999992</v>
      </c>
      <c r="AE183">
        <v>11.799362</v>
      </c>
      <c r="AF183">
        <v>10.524022</v>
      </c>
      <c r="AG183">
        <v>9.7405109999999997</v>
      </c>
    </row>
    <row r="184" spans="1:33" x14ac:dyDescent="0.25">
      <c r="A184" s="1">
        <v>44235</v>
      </c>
      <c r="B184">
        <v>10.193704</v>
      </c>
      <c r="C184">
        <v>10.109754000000001</v>
      </c>
      <c r="D184">
        <v>10.141591</v>
      </c>
      <c r="E184">
        <v>10.269389</v>
      </c>
      <c r="F184">
        <v>10.266791</v>
      </c>
      <c r="G184">
        <v>10.186807</v>
      </c>
      <c r="H184">
        <v>10.659679000000001</v>
      </c>
      <c r="I184">
        <v>10.53904</v>
      </c>
      <c r="J184">
        <v>9.6863379999999992</v>
      </c>
      <c r="K184">
        <v>10.022353000000001</v>
      </c>
      <c r="L184">
        <v>9.8612795000000002</v>
      </c>
      <c r="M184">
        <v>10.15516</v>
      </c>
      <c r="N184">
        <v>10.095567000000001</v>
      </c>
      <c r="O184">
        <v>9.9428420000000006</v>
      </c>
      <c r="P184">
        <v>10.011493</v>
      </c>
      <c r="Q184">
        <v>10.151268</v>
      </c>
      <c r="R184">
        <v>9.9236749999999994</v>
      </c>
      <c r="S184">
        <v>9.2084150000000005</v>
      </c>
      <c r="T184">
        <v>10.302077000000001</v>
      </c>
      <c r="U184">
        <v>9.9151330000000009</v>
      </c>
      <c r="V184">
        <v>10.497083</v>
      </c>
      <c r="W184">
        <v>10.216507999999999</v>
      </c>
      <c r="X184">
        <v>10.565723999999999</v>
      </c>
      <c r="Y184">
        <v>9.9913489999999996</v>
      </c>
      <c r="Z184">
        <v>9.8554980000000008</v>
      </c>
      <c r="AA184">
        <v>9.7768569999999997</v>
      </c>
      <c r="AB184">
        <v>9.8828379999999996</v>
      </c>
      <c r="AC184">
        <v>9.9536960000000008</v>
      </c>
      <c r="AD184">
        <v>9.8485829999999996</v>
      </c>
      <c r="AE184">
        <v>11.933517</v>
      </c>
      <c r="AF184">
        <v>10.537385</v>
      </c>
      <c r="AG184">
        <v>9.8496550000000003</v>
      </c>
    </row>
    <row r="185" spans="1:33" x14ac:dyDescent="0.25">
      <c r="A185" s="1">
        <v>44236</v>
      </c>
      <c r="B185">
        <v>10.483005</v>
      </c>
      <c r="C185">
        <v>10.295555999999999</v>
      </c>
      <c r="D185">
        <v>10.392405999999999</v>
      </c>
      <c r="E185">
        <v>10.471062</v>
      </c>
      <c r="F185">
        <v>10.426042000000001</v>
      </c>
      <c r="G185">
        <v>10.332125</v>
      </c>
      <c r="H185">
        <v>10.771834999999999</v>
      </c>
      <c r="I185">
        <v>10.612814999999999</v>
      </c>
      <c r="J185">
        <v>9.9634389999999993</v>
      </c>
      <c r="K185">
        <v>10.166556</v>
      </c>
      <c r="L185">
        <v>10.031117999999999</v>
      </c>
      <c r="M185">
        <v>10.317421</v>
      </c>
      <c r="N185">
        <v>10.272912</v>
      </c>
      <c r="O185">
        <v>10.091998999999999</v>
      </c>
      <c r="P185">
        <v>10.160083</v>
      </c>
      <c r="Q185">
        <v>10.29222</v>
      </c>
      <c r="R185">
        <v>10.043256</v>
      </c>
      <c r="S185">
        <v>9.5560200000000002</v>
      </c>
      <c r="T185">
        <v>10.463310999999999</v>
      </c>
      <c r="U185">
        <v>10.083011000000001</v>
      </c>
      <c r="V185">
        <v>10.44411</v>
      </c>
      <c r="W185">
        <v>10.293858999999999</v>
      </c>
      <c r="X185">
        <v>10.434418000000001</v>
      </c>
      <c r="Y185">
        <v>10.226682</v>
      </c>
      <c r="Z185">
        <v>10.082661</v>
      </c>
      <c r="AA185">
        <v>9.9448620000000005</v>
      </c>
      <c r="AB185">
        <v>10.112353000000001</v>
      </c>
      <c r="AC185">
        <v>10.139119000000001</v>
      </c>
      <c r="AD185">
        <v>10.014252000000001</v>
      </c>
      <c r="AE185">
        <v>12.451345999999999</v>
      </c>
      <c r="AF185">
        <v>10.628346000000001</v>
      </c>
      <c r="AG185">
        <v>10.068163999999999</v>
      </c>
    </row>
    <row r="186" spans="1:33" x14ac:dyDescent="0.25">
      <c r="A186" s="1">
        <v>44237</v>
      </c>
      <c r="B186">
        <v>10.612102</v>
      </c>
      <c r="C186">
        <v>10.417581999999999</v>
      </c>
      <c r="D186">
        <v>10.608712000000001</v>
      </c>
      <c r="E186">
        <v>10.644629500000001</v>
      </c>
      <c r="F186">
        <v>10.507584</v>
      </c>
      <c r="G186">
        <v>10.449826</v>
      </c>
      <c r="H186">
        <v>10.87022</v>
      </c>
      <c r="I186">
        <v>10.604533999999999</v>
      </c>
      <c r="J186">
        <v>10.19004</v>
      </c>
      <c r="K186">
        <v>10.289550999999999</v>
      </c>
      <c r="L186">
        <v>10.179107</v>
      </c>
      <c r="M186">
        <v>10.450132</v>
      </c>
      <c r="N186">
        <v>10.410073000000001</v>
      </c>
      <c r="O186">
        <v>10.219141</v>
      </c>
      <c r="P186">
        <v>10.292088</v>
      </c>
      <c r="Q186">
        <v>10.422383</v>
      </c>
      <c r="R186">
        <v>10.178326999999999</v>
      </c>
      <c r="S186">
        <v>9.7759695000000004</v>
      </c>
      <c r="T186">
        <v>10.534554999999999</v>
      </c>
      <c r="U186">
        <v>10.246873000000001</v>
      </c>
      <c r="V186">
        <v>10.416482</v>
      </c>
      <c r="W186">
        <v>10.483053999999999</v>
      </c>
      <c r="X186">
        <v>10.349568</v>
      </c>
      <c r="Y186">
        <v>10.403803999999999</v>
      </c>
      <c r="Z186">
        <v>10.291175000000001</v>
      </c>
      <c r="AA186">
        <v>10.117998999999999</v>
      </c>
      <c r="AB186">
        <v>10.308116</v>
      </c>
      <c r="AC186">
        <v>10.303184</v>
      </c>
      <c r="AD186">
        <v>10.157299</v>
      </c>
      <c r="AE186">
        <v>13.081528</v>
      </c>
      <c r="AF186">
        <v>10.715147999999999</v>
      </c>
      <c r="AG186">
        <v>10.233639999999999</v>
      </c>
    </row>
    <row r="187" spans="1:33" x14ac:dyDescent="0.25">
      <c r="A187" s="1">
        <v>44238</v>
      </c>
      <c r="B187">
        <v>10.804788</v>
      </c>
      <c r="C187">
        <v>10.539802</v>
      </c>
      <c r="D187">
        <v>10.781749</v>
      </c>
      <c r="E187">
        <v>10.811775000000001</v>
      </c>
      <c r="F187">
        <v>10.598741</v>
      </c>
      <c r="G187">
        <v>10.573427000000001</v>
      </c>
      <c r="H187">
        <v>10.941093</v>
      </c>
      <c r="I187">
        <v>10.630208</v>
      </c>
      <c r="J187">
        <v>10.429577999999999</v>
      </c>
      <c r="K187">
        <v>10.448324</v>
      </c>
      <c r="L187">
        <v>10.323665999999999</v>
      </c>
      <c r="M187">
        <v>10.58137</v>
      </c>
      <c r="N187">
        <v>10.590795</v>
      </c>
      <c r="O187">
        <v>10.367578</v>
      </c>
      <c r="P187">
        <v>10.458142</v>
      </c>
      <c r="Q187">
        <v>10.556182</v>
      </c>
      <c r="R187">
        <v>10.320634</v>
      </c>
      <c r="S187">
        <v>10.026137</v>
      </c>
      <c r="T187">
        <v>10.660624500000001</v>
      </c>
      <c r="U187">
        <v>10.428872</v>
      </c>
      <c r="V187">
        <v>10.564747000000001</v>
      </c>
      <c r="W187">
        <v>10.839645000000001</v>
      </c>
      <c r="X187">
        <v>10.524724000000001</v>
      </c>
      <c r="Y187">
        <v>10.706239</v>
      </c>
      <c r="Z187">
        <v>10.526737000000001</v>
      </c>
      <c r="AA187">
        <v>10.316163</v>
      </c>
      <c r="AB187">
        <v>10.580012</v>
      </c>
      <c r="AC187">
        <v>10.562328000000001</v>
      </c>
      <c r="AD187">
        <v>10.300483</v>
      </c>
      <c r="AE187">
        <v>13.2831955</v>
      </c>
      <c r="AF187">
        <v>10.7896185</v>
      </c>
      <c r="AG187">
        <v>10.399632</v>
      </c>
    </row>
    <row r="188" spans="1:33" x14ac:dyDescent="0.25">
      <c r="A188" s="1">
        <v>44239</v>
      </c>
      <c r="B188">
        <v>10.900378</v>
      </c>
      <c r="C188">
        <v>10.699605</v>
      </c>
      <c r="D188">
        <v>10.856422999999999</v>
      </c>
      <c r="E188">
        <v>10.913962</v>
      </c>
      <c r="F188">
        <v>10.731532</v>
      </c>
      <c r="G188">
        <v>10.682090000000001</v>
      </c>
      <c r="H188">
        <v>11.007187</v>
      </c>
      <c r="I188">
        <v>10.745122</v>
      </c>
      <c r="J188">
        <v>10.641360000000001</v>
      </c>
      <c r="K188">
        <v>10.567341000000001</v>
      </c>
      <c r="L188">
        <v>10.480297999999999</v>
      </c>
      <c r="M188">
        <v>10.690517</v>
      </c>
      <c r="N188">
        <v>10.699464000000001</v>
      </c>
      <c r="O188">
        <v>10.508063999999999</v>
      </c>
      <c r="P188">
        <v>10.580498</v>
      </c>
      <c r="Q188">
        <v>10.662202000000001</v>
      </c>
      <c r="R188">
        <v>10.452738</v>
      </c>
      <c r="S188">
        <v>10.266493000000001</v>
      </c>
      <c r="T188">
        <v>10.779031</v>
      </c>
      <c r="U188">
        <v>10.646592</v>
      </c>
      <c r="V188">
        <v>10.814453</v>
      </c>
      <c r="W188">
        <v>11.25325</v>
      </c>
      <c r="X188">
        <v>10.84854</v>
      </c>
      <c r="Y188">
        <v>10.881961</v>
      </c>
      <c r="Z188">
        <v>10.778385</v>
      </c>
      <c r="AA188">
        <v>10.506541</v>
      </c>
      <c r="AB188">
        <v>10.73911</v>
      </c>
      <c r="AC188">
        <v>10.819492</v>
      </c>
      <c r="AD188">
        <v>10.453315999999999</v>
      </c>
      <c r="AE188">
        <v>13.192954</v>
      </c>
      <c r="AF188">
        <v>10.901908000000001</v>
      </c>
      <c r="AG188">
        <v>10.560922</v>
      </c>
    </row>
    <row r="189" spans="1:33" x14ac:dyDescent="0.25">
      <c r="A189" s="1">
        <v>44240</v>
      </c>
      <c r="B189">
        <v>11.143473999999999</v>
      </c>
      <c r="C189">
        <v>10.891605</v>
      </c>
      <c r="D189">
        <v>10.988179000000001</v>
      </c>
      <c r="E189">
        <v>11.081600999999999</v>
      </c>
      <c r="F189">
        <v>10.932373</v>
      </c>
      <c r="G189">
        <v>10.837742</v>
      </c>
      <c r="H189">
        <v>11.130223000000001</v>
      </c>
      <c r="I189">
        <v>11.061793</v>
      </c>
      <c r="J189">
        <v>10.958772</v>
      </c>
      <c r="K189">
        <v>10.791172</v>
      </c>
      <c r="L189">
        <v>10.717425</v>
      </c>
      <c r="M189">
        <v>10.870174</v>
      </c>
      <c r="N189">
        <v>10.918875999999999</v>
      </c>
      <c r="O189">
        <v>10.708176</v>
      </c>
      <c r="P189">
        <v>10.806552</v>
      </c>
      <c r="Q189">
        <v>10.821728</v>
      </c>
      <c r="R189">
        <v>10.631009000000001</v>
      </c>
      <c r="S189">
        <v>10.661792</v>
      </c>
      <c r="T189">
        <v>11.036473000000001</v>
      </c>
      <c r="U189">
        <v>10.953364000000001</v>
      </c>
      <c r="V189">
        <v>11.217207999999999</v>
      </c>
      <c r="W189">
        <v>11.681559999999999</v>
      </c>
      <c r="X189">
        <v>11.294801</v>
      </c>
      <c r="Y189">
        <v>11.169370000000001</v>
      </c>
      <c r="Z189">
        <v>11.089544999999999</v>
      </c>
      <c r="AA189">
        <v>10.794397999999999</v>
      </c>
      <c r="AB189">
        <v>11.001979</v>
      </c>
      <c r="AC189">
        <v>11.1372385</v>
      </c>
      <c r="AD189">
        <v>10.68699</v>
      </c>
      <c r="AE189">
        <v>13.689563</v>
      </c>
      <c r="AF189">
        <v>11.076275000000001</v>
      </c>
      <c r="AG189">
        <v>10.820119</v>
      </c>
    </row>
    <row r="190" spans="1:33" x14ac:dyDescent="0.25">
      <c r="A190" s="1">
        <v>44241</v>
      </c>
      <c r="B190">
        <v>10.935041999999999</v>
      </c>
      <c r="C190">
        <v>10.859805</v>
      </c>
      <c r="D190">
        <v>10.949761000000001</v>
      </c>
      <c r="E190">
        <v>10.984776500000001</v>
      </c>
      <c r="F190">
        <v>10.854924</v>
      </c>
      <c r="G190">
        <v>10.8822565</v>
      </c>
      <c r="H190">
        <v>11.1036415</v>
      </c>
      <c r="I190">
        <v>10.963463000000001</v>
      </c>
      <c r="J190">
        <v>10.713497</v>
      </c>
      <c r="K190">
        <v>10.805394</v>
      </c>
      <c r="L190">
        <v>10.804592</v>
      </c>
      <c r="M190">
        <v>10.884675</v>
      </c>
      <c r="N190">
        <v>10.964722999999999</v>
      </c>
      <c r="O190">
        <v>10.806100000000001</v>
      </c>
      <c r="P190">
        <v>10.817800999999999</v>
      </c>
      <c r="Q190">
        <v>10.869616499999999</v>
      </c>
      <c r="R190">
        <v>10.719113</v>
      </c>
      <c r="S190">
        <v>10.607706</v>
      </c>
      <c r="T190">
        <v>11.172935499999999</v>
      </c>
      <c r="U190">
        <v>11.108981</v>
      </c>
      <c r="V190">
        <v>11.45248</v>
      </c>
      <c r="W190">
        <v>11.80209</v>
      </c>
      <c r="X190">
        <v>11.544635</v>
      </c>
      <c r="Y190">
        <v>11.096207</v>
      </c>
      <c r="Z190">
        <v>11.159335</v>
      </c>
      <c r="AA190">
        <v>10.864850000000001</v>
      </c>
      <c r="AB190">
        <v>11.01843</v>
      </c>
      <c r="AC190">
        <v>11.087178</v>
      </c>
      <c r="AD190">
        <v>10.781606</v>
      </c>
      <c r="AE190">
        <v>13.170779</v>
      </c>
      <c r="AF190">
        <v>11.08755</v>
      </c>
      <c r="AG190">
        <v>10.785640000000001</v>
      </c>
    </row>
    <row r="191" spans="1:33" x14ac:dyDescent="0.25">
      <c r="A191" s="1">
        <v>44242</v>
      </c>
      <c r="B191">
        <v>11.174909</v>
      </c>
      <c r="C191">
        <v>11.072317999999999</v>
      </c>
      <c r="D191">
        <v>11.016446</v>
      </c>
      <c r="E191">
        <v>11.084861999999999</v>
      </c>
      <c r="F191">
        <v>11.066898</v>
      </c>
      <c r="G191">
        <v>10.995851</v>
      </c>
      <c r="H191">
        <v>11.119486999999999</v>
      </c>
      <c r="I191">
        <v>11.193382</v>
      </c>
      <c r="J191">
        <v>10.980275000000001</v>
      </c>
      <c r="K191">
        <v>10.933005</v>
      </c>
      <c r="L191">
        <v>10.93702</v>
      </c>
      <c r="M191">
        <v>11.011079000000001</v>
      </c>
      <c r="N191">
        <v>11.119769</v>
      </c>
      <c r="O191">
        <v>10.996997</v>
      </c>
      <c r="P191">
        <v>10.93547</v>
      </c>
      <c r="Q191">
        <v>10.983745000000001</v>
      </c>
      <c r="R191">
        <v>10.879635</v>
      </c>
      <c r="S191">
        <v>11.068218999999999</v>
      </c>
      <c r="T191">
        <v>11.411</v>
      </c>
      <c r="U191">
        <v>11.32708</v>
      </c>
      <c r="V191">
        <v>11.820615</v>
      </c>
      <c r="W191">
        <v>11.998070999999999</v>
      </c>
      <c r="X191">
        <v>11.913703</v>
      </c>
      <c r="Y191">
        <v>11.205880000000001</v>
      </c>
      <c r="Z191">
        <v>11.278320000000001</v>
      </c>
      <c r="AA191">
        <v>11.026816</v>
      </c>
      <c r="AB191">
        <v>11.092808</v>
      </c>
      <c r="AC191">
        <v>11.317329000000001</v>
      </c>
      <c r="AD191">
        <v>10.913886</v>
      </c>
      <c r="AE191">
        <v>13.060941</v>
      </c>
      <c r="AF191">
        <v>11.162292000000001</v>
      </c>
      <c r="AG191">
        <v>10.952695</v>
      </c>
    </row>
    <row r="192" spans="1:33" x14ac:dyDescent="0.25">
      <c r="A192" s="1">
        <v>44243</v>
      </c>
      <c r="B192">
        <v>10.780055000000001</v>
      </c>
      <c r="C192">
        <v>10.902286999999999</v>
      </c>
      <c r="D192">
        <v>10.880682999999999</v>
      </c>
      <c r="E192">
        <v>10.885262000000001</v>
      </c>
      <c r="F192">
        <v>10.902035</v>
      </c>
      <c r="G192">
        <v>10.957184</v>
      </c>
      <c r="H192">
        <v>11.033199</v>
      </c>
      <c r="I192">
        <v>10.879944</v>
      </c>
      <c r="J192">
        <v>10.595148999999999</v>
      </c>
      <c r="K192">
        <v>10.856761000000001</v>
      </c>
      <c r="L192">
        <v>10.871774</v>
      </c>
      <c r="M192">
        <v>10.933123999999999</v>
      </c>
      <c r="N192">
        <v>11.139049999999999</v>
      </c>
      <c r="O192">
        <v>10.95194</v>
      </c>
      <c r="P192">
        <v>10.868584</v>
      </c>
      <c r="Q192">
        <v>10.957421</v>
      </c>
      <c r="R192">
        <v>10.85101</v>
      </c>
      <c r="S192">
        <v>10.640283</v>
      </c>
      <c r="T192">
        <v>11.416327000000001</v>
      </c>
      <c r="U192">
        <v>11.246505000000001</v>
      </c>
      <c r="V192">
        <v>11.796497</v>
      </c>
      <c r="W192">
        <v>11.881247500000001</v>
      </c>
      <c r="X192">
        <v>11.822989</v>
      </c>
      <c r="Y192">
        <v>11.033939999999999</v>
      </c>
      <c r="Z192">
        <v>11.144920000000001</v>
      </c>
      <c r="AA192">
        <v>10.885503</v>
      </c>
      <c r="AB192">
        <v>10.937913</v>
      </c>
      <c r="AC192">
        <v>11.010282</v>
      </c>
      <c r="AD192">
        <v>10.872809999999999</v>
      </c>
      <c r="AE192">
        <v>12.858444</v>
      </c>
      <c r="AF192">
        <v>11.092973000000001</v>
      </c>
      <c r="AG192">
        <v>10.773244</v>
      </c>
    </row>
    <row r="193" spans="1:33" x14ac:dyDescent="0.25">
      <c r="A193" s="1">
        <v>44244</v>
      </c>
      <c r="B193">
        <v>10.691096</v>
      </c>
      <c r="C193">
        <v>10.909354</v>
      </c>
      <c r="D193">
        <v>10.681599</v>
      </c>
      <c r="E193">
        <v>10.753201000000001</v>
      </c>
      <c r="F193">
        <v>10.921982</v>
      </c>
      <c r="G193">
        <v>10.929304999999999</v>
      </c>
      <c r="H193">
        <v>11.015000000000001</v>
      </c>
      <c r="I193">
        <v>10.890281</v>
      </c>
      <c r="J193">
        <v>10.310904000000001</v>
      </c>
      <c r="K193">
        <v>10.813599999999999</v>
      </c>
      <c r="L193">
        <v>10.855644</v>
      </c>
      <c r="M193">
        <v>10.907959</v>
      </c>
      <c r="N193">
        <v>11.187507999999999</v>
      </c>
      <c r="O193">
        <v>10.952785</v>
      </c>
      <c r="P193">
        <v>10.820532999999999</v>
      </c>
      <c r="Q193">
        <v>10.953709999999999</v>
      </c>
      <c r="R193">
        <v>10.841004</v>
      </c>
      <c r="S193">
        <v>9.9883659999999992</v>
      </c>
      <c r="T193">
        <v>11.330123</v>
      </c>
      <c r="U193">
        <v>11.032336000000001</v>
      </c>
      <c r="V193">
        <v>11.595255999999999</v>
      </c>
      <c r="W193">
        <v>11.482015000000001</v>
      </c>
      <c r="X193">
        <v>11.624245999999999</v>
      </c>
      <c r="Y193">
        <v>10.751255</v>
      </c>
      <c r="Z193">
        <v>10.984597000000001</v>
      </c>
      <c r="AA193">
        <v>10.7927065</v>
      </c>
      <c r="AB193">
        <v>10.744948000000001</v>
      </c>
      <c r="AC193">
        <v>10.580831999999999</v>
      </c>
      <c r="AD193">
        <v>10.864165</v>
      </c>
      <c r="AE193">
        <v>12.255452</v>
      </c>
      <c r="AF193">
        <v>11.043542</v>
      </c>
      <c r="AG193">
        <v>10.643041999999999</v>
      </c>
    </row>
    <row r="194" spans="1:33" x14ac:dyDescent="0.25">
      <c r="A194" s="1">
        <v>44245</v>
      </c>
      <c r="B194">
        <v>10.693835</v>
      </c>
      <c r="C194">
        <v>10.938957</v>
      </c>
      <c r="D194">
        <v>10.540898</v>
      </c>
      <c r="E194">
        <v>10.689389</v>
      </c>
      <c r="F194">
        <v>10.938408000000001</v>
      </c>
      <c r="G194">
        <v>10.950225</v>
      </c>
      <c r="H194">
        <v>11.043305</v>
      </c>
      <c r="I194">
        <v>11.018191</v>
      </c>
      <c r="J194">
        <v>10.007372</v>
      </c>
      <c r="K194">
        <v>10.783143000000001</v>
      </c>
      <c r="L194">
        <v>10.825294</v>
      </c>
      <c r="M194">
        <v>10.892787999999999</v>
      </c>
      <c r="N194">
        <v>11.175392</v>
      </c>
      <c r="O194">
        <v>10.862062999999999</v>
      </c>
      <c r="P194">
        <v>10.786498999999999</v>
      </c>
      <c r="Q194">
        <v>10.977138</v>
      </c>
      <c r="R194">
        <v>10.824916</v>
      </c>
      <c r="S194">
        <v>9.0971399999999996</v>
      </c>
      <c r="T194">
        <v>11.212657999999999</v>
      </c>
      <c r="U194">
        <v>10.878330999999999</v>
      </c>
      <c r="V194">
        <v>11.375030000000001</v>
      </c>
      <c r="W194">
        <v>11.125754000000001</v>
      </c>
      <c r="X194">
        <v>11.3899765</v>
      </c>
      <c r="Y194">
        <v>10.357832999999999</v>
      </c>
      <c r="Z194">
        <v>10.854664</v>
      </c>
      <c r="AA194">
        <v>10.710129</v>
      </c>
      <c r="AB194">
        <v>10.516368999999999</v>
      </c>
      <c r="AC194">
        <v>10.003371</v>
      </c>
      <c r="AD194">
        <v>10.825634000000001</v>
      </c>
      <c r="AE194">
        <v>11.83001</v>
      </c>
      <c r="AF194">
        <v>11.007961</v>
      </c>
      <c r="AG194">
        <v>10.555526</v>
      </c>
    </row>
    <row r="195" spans="1:33" x14ac:dyDescent="0.25">
      <c r="A195" s="1">
        <v>44246</v>
      </c>
      <c r="B195">
        <v>10.956125999999999</v>
      </c>
      <c r="C195">
        <v>11.054252999999999</v>
      </c>
      <c r="D195">
        <v>10.5788355</v>
      </c>
      <c r="E195">
        <v>10.801261999999999</v>
      </c>
      <c r="F195">
        <v>11.068585000000001</v>
      </c>
      <c r="G195">
        <v>11.036953</v>
      </c>
      <c r="H195">
        <v>11.161887</v>
      </c>
      <c r="I195">
        <v>11.335233000000001</v>
      </c>
      <c r="J195">
        <v>10.091472</v>
      </c>
      <c r="K195">
        <v>10.870396</v>
      </c>
      <c r="L195">
        <v>10.892058</v>
      </c>
      <c r="M195">
        <v>10.977226999999999</v>
      </c>
      <c r="N195">
        <v>11.262553</v>
      </c>
      <c r="O195">
        <v>10.959044</v>
      </c>
      <c r="P195">
        <v>10.867687999999999</v>
      </c>
      <c r="Q195">
        <v>11.07023</v>
      </c>
      <c r="R195">
        <v>10.887774</v>
      </c>
      <c r="S195">
        <v>9.0101549999999992</v>
      </c>
      <c r="T195">
        <v>11.211956000000001</v>
      </c>
      <c r="U195">
        <v>10.911156999999999</v>
      </c>
      <c r="V195">
        <v>11.196712</v>
      </c>
      <c r="W195">
        <v>11.019379000000001</v>
      </c>
      <c r="X195">
        <v>11.183147</v>
      </c>
      <c r="Y195">
        <v>10.214264999999999</v>
      </c>
      <c r="Z195">
        <v>10.908485000000001</v>
      </c>
      <c r="AA195">
        <v>10.736245</v>
      </c>
      <c r="AB195">
        <v>10.580976</v>
      </c>
      <c r="AC195">
        <v>9.5378480000000003</v>
      </c>
      <c r="AD195">
        <v>10.901184000000001</v>
      </c>
      <c r="AE195">
        <v>12.319717000000001</v>
      </c>
      <c r="AF195">
        <v>11.029139499999999</v>
      </c>
      <c r="AG195">
        <v>10.697736000000001</v>
      </c>
    </row>
    <row r="196" spans="1:33" x14ac:dyDescent="0.25">
      <c r="A196" s="1">
        <v>44247</v>
      </c>
      <c r="B196">
        <v>10.789227</v>
      </c>
      <c r="C196">
        <v>11.040581</v>
      </c>
      <c r="D196">
        <v>10.655173</v>
      </c>
      <c r="E196">
        <v>10.79918</v>
      </c>
      <c r="F196">
        <v>10.999126</v>
      </c>
      <c r="G196">
        <v>11.069614</v>
      </c>
      <c r="H196">
        <v>11.24147</v>
      </c>
      <c r="I196">
        <v>11.214862999999999</v>
      </c>
      <c r="J196">
        <v>10.063537999999999</v>
      </c>
      <c r="K196">
        <v>10.925399000000001</v>
      </c>
      <c r="L196">
        <v>10.823785000000001</v>
      </c>
      <c r="M196">
        <v>10.973773</v>
      </c>
      <c r="N196">
        <v>11.247059999999999</v>
      </c>
      <c r="O196">
        <v>10.936836</v>
      </c>
      <c r="P196">
        <v>10.907787000000001</v>
      </c>
      <c r="Q196">
        <v>11.122788</v>
      </c>
      <c r="R196">
        <v>10.923347</v>
      </c>
      <c r="S196">
        <v>9.058961</v>
      </c>
      <c r="T196">
        <v>11.174785999999999</v>
      </c>
      <c r="U196">
        <v>10.850989</v>
      </c>
      <c r="V196">
        <v>10.943348</v>
      </c>
      <c r="W196">
        <v>11.010840999999999</v>
      </c>
      <c r="X196">
        <v>10.974873000000001</v>
      </c>
      <c r="Y196">
        <v>10.109462000000001</v>
      </c>
      <c r="Z196">
        <v>10.912347</v>
      </c>
      <c r="AA196">
        <v>10.692142</v>
      </c>
      <c r="AB196">
        <v>10.412678</v>
      </c>
      <c r="AC196">
        <v>9.1338069999999991</v>
      </c>
      <c r="AD196">
        <v>10.921775</v>
      </c>
      <c r="AE196">
        <v>12.430001000000001</v>
      </c>
      <c r="AF196">
        <v>11.024224</v>
      </c>
      <c r="AG196">
        <v>10.598481</v>
      </c>
    </row>
    <row r="197" spans="1:33" x14ac:dyDescent="0.25">
      <c r="A197" s="1">
        <v>44248</v>
      </c>
      <c r="B197">
        <v>10.724833500000001</v>
      </c>
      <c r="C197">
        <v>11.095464</v>
      </c>
      <c r="D197">
        <v>10.765314999999999</v>
      </c>
      <c r="E197">
        <v>10.859805</v>
      </c>
      <c r="F197">
        <v>11.113391</v>
      </c>
      <c r="G197">
        <v>11.116929000000001</v>
      </c>
      <c r="H197">
        <v>11.353828999999999</v>
      </c>
      <c r="I197">
        <v>11.209182999999999</v>
      </c>
      <c r="J197">
        <v>9.9204279999999994</v>
      </c>
      <c r="K197">
        <v>11.001065000000001</v>
      </c>
      <c r="L197">
        <v>10.885666000000001</v>
      </c>
      <c r="M197">
        <v>11.060521</v>
      </c>
      <c r="N197">
        <v>11.254023999999999</v>
      </c>
      <c r="O197">
        <v>10.995203999999999</v>
      </c>
      <c r="P197">
        <v>10.951328999999999</v>
      </c>
      <c r="Q197">
        <v>11.171295000000001</v>
      </c>
      <c r="R197">
        <v>11.00023</v>
      </c>
      <c r="S197">
        <v>9.2382209999999993</v>
      </c>
      <c r="T197">
        <v>11.084096000000001</v>
      </c>
      <c r="U197">
        <v>10.765079999999999</v>
      </c>
      <c r="V197">
        <v>10.828187</v>
      </c>
      <c r="W197">
        <v>10.874988999999999</v>
      </c>
      <c r="X197">
        <v>10.831796000000001</v>
      </c>
      <c r="Y197">
        <v>9.7894419999999993</v>
      </c>
      <c r="Z197">
        <v>10.887062</v>
      </c>
      <c r="AA197">
        <v>10.713383</v>
      </c>
      <c r="AB197">
        <v>10.293891</v>
      </c>
      <c r="AC197">
        <v>8.7227200000000007</v>
      </c>
      <c r="AD197">
        <v>10.950068</v>
      </c>
      <c r="AE197">
        <v>12.364566999999999</v>
      </c>
      <c r="AF197">
        <v>11.048462000000001</v>
      </c>
      <c r="AG197">
        <v>10.655006</v>
      </c>
    </row>
    <row r="198" spans="1:33" x14ac:dyDescent="0.25">
      <c r="A198" s="1">
        <v>44249</v>
      </c>
      <c r="B198">
        <v>11.065502</v>
      </c>
      <c r="C198">
        <v>11.354732500000001</v>
      </c>
      <c r="D198">
        <v>11.010598</v>
      </c>
      <c r="E198">
        <v>11.114910999999999</v>
      </c>
      <c r="F198">
        <v>11.364955</v>
      </c>
      <c r="G198">
        <v>11.251956</v>
      </c>
      <c r="H198">
        <v>11.528457</v>
      </c>
      <c r="I198">
        <v>11.512748999999999</v>
      </c>
      <c r="J198">
        <v>10.199489</v>
      </c>
      <c r="K198">
        <v>11.18319</v>
      </c>
      <c r="L198">
        <v>11.087775000000001</v>
      </c>
      <c r="M198">
        <v>11.234745999999999</v>
      </c>
      <c r="N198">
        <v>11.375279000000001</v>
      </c>
      <c r="O198">
        <v>11.146094</v>
      </c>
      <c r="P198">
        <v>11.134838</v>
      </c>
      <c r="Q198">
        <v>11.311824</v>
      </c>
      <c r="R198">
        <v>11.158562999999999</v>
      </c>
      <c r="S198">
        <v>9.3689160000000005</v>
      </c>
      <c r="T198">
        <v>11.215078999999999</v>
      </c>
      <c r="U198">
        <v>10.862368999999999</v>
      </c>
      <c r="V198">
        <v>11.062756</v>
      </c>
      <c r="W198">
        <v>10.997216</v>
      </c>
      <c r="X198">
        <v>11.01746</v>
      </c>
      <c r="Y198">
        <v>10.112632</v>
      </c>
      <c r="Z198">
        <v>11.010738</v>
      </c>
      <c r="AA198">
        <v>10.879818999999999</v>
      </c>
      <c r="AB198">
        <v>10.512307</v>
      </c>
      <c r="AC198">
        <v>9.0666895000000007</v>
      </c>
      <c r="AD198">
        <v>11.096332</v>
      </c>
      <c r="AE198">
        <v>12.668877999999999</v>
      </c>
      <c r="AF198">
        <v>11.165592</v>
      </c>
      <c r="AG198">
        <v>10.933674</v>
      </c>
    </row>
    <row r="199" spans="1:33" x14ac:dyDescent="0.25">
      <c r="A199" s="1">
        <v>44250</v>
      </c>
      <c r="B199">
        <v>11.412070999999999</v>
      </c>
      <c r="C199">
        <v>11.494769</v>
      </c>
      <c r="D199">
        <v>11.304392999999999</v>
      </c>
      <c r="E199">
        <v>11.404968</v>
      </c>
      <c r="F199">
        <v>11.572539000000001</v>
      </c>
      <c r="G199">
        <v>11.444186</v>
      </c>
      <c r="H199">
        <v>11.719635</v>
      </c>
      <c r="I199">
        <v>11.738395000000001</v>
      </c>
      <c r="J199">
        <v>10.658574</v>
      </c>
      <c r="K199">
        <v>11.398425</v>
      </c>
      <c r="L199">
        <v>11.289168999999999</v>
      </c>
      <c r="M199">
        <v>11.4581</v>
      </c>
      <c r="N199">
        <v>11.538437</v>
      </c>
      <c r="O199">
        <v>11.293404000000001</v>
      </c>
      <c r="P199">
        <v>11.376346</v>
      </c>
      <c r="Q199">
        <v>11.492482000000001</v>
      </c>
      <c r="R199">
        <v>11.301291000000001</v>
      </c>
      <c r="S199">
        <v>9.8769550000000006</v>
      </c>
      <c r="T199">
        <v>11.41357</v>
      </c>
      <c r="U199">
        <v>11.119224000000001</v>
      </c>
      <c r="V199">
        <v>11.228707</v>
      </c>
      <c r="W199">
        <v>11.060646999999999</v>
      </c>
      <c r="X199">
        <v>11.177739000000001</v>
      </c>
      <c r="Y199">
        <v>10.519413999999999</v>
      </c>
      <c r="Z199">
        <v>11.234672</v>
      </c>
      <c r="AA199">
        <v>11.1241865</v>
      </c>
      <c r="AB199">
        <v>10.820334000000001</v>
      </c>
      <c r="AC199">
        <v>9.3407199999999992</v>
      </c>
      <c r="AD199">
        <v>11.277302000000001</v>
      </c>
      <c r="AE199">
        <v>13.307434000000001</v>
      </c>
      <c r="AF199">
        <v>11.335785</v>
      </c>
      <c r="AG199">
        <v>11.177543999999999</v>
      </c>
    </row>
    <row r="200" spans="1:33" x14ac:dyDescent="0.25">
      <c r="A200" s="1">
        <v>44251</v>
      </c>
      <c r="B200">
        <v>11.29457</v>
      </c>
      <c r="C200">
        <v>11.444326999999999</v>
      </c>
      <c r="D200">
        <v>11.421994</v>
      </c>
      <c r="E200">
        <v>11.481373</v>
      </c>
      <c r="F200">
        <v>11.479034</v>
      </c>
      <c r="G200">
        <v>11.550591000000001</v>
      </c>
      <c r="H200">
        <v>11.833202999999999</v>
      </c>
      <c r="I200">
        <v>11.500375</v>
      </c>
      <c r="J200">
        <v>10.632925999999999</v>
      </c>
      <c r="K200">
        <v>11.390347</v>
      </c>
      <c r="L200">
        <v>11.219253999999999</v>
      </c>
      <c r="M200">
        <v>11.547153</v>
      </c>
      <c r="N200">
        <v>11.449042</v>
      </c>
      <c r="O200">
        <v>11.227847000000001</v>
      </c>
      <c r="P200">
        <v>11.416465000000001</v>
      </c>
      <c r="Q200">
        <v>11.568935</v>
      </c>
      <c r="R200">
        <v>11.225743</v>
      </c>
      <c r="S200">
        <v>10.061621000000001</v>
      </c>
      <c r="T200">
        <v>11.224595000000001</v>
      </c>
      <c r="U200">
        <v>10.953244</v>
      </c>
      <c r="V200">
        <v>11.029171</v>
      </c>
      <c r="W200">
        <v>11.103490000000001</v>
      </c>
      <c r="X200">
        <v>10.960686000000001</v>
      </c>
      <c r="Y200">
        <v>10.490368999999999</v>
      </c>
      <c r="Z200">
        <v>11.159853999999999</v>
      </c>
      <c r="AA200">
        <v>11.189571000000001</v>
      </c>
      <c r="AB200">
        <v>10.808949</v>
      </c>
      <c r="AC200">
        <v>9.6158520000000003</v>
      </c>
      <c r="AD200">
        <v>11.260535000000001</v>
      </c>
      <c r="AE200">
        <v>13.109635000000001</v>
      </c>
      <c r="AF200">
        <v>11.356820000000001</v>
      </c>
      <c r="AG200">
        <v>11.043639000000001</v>
      </c>
    </row>
    <row r="201" spans="1:33" x14ac:dyDescent="0.25">
      <c r="A201" s="1">
        <v>44252</v>
      </c>
      <c r="B201">
        <v>11.124836</v>
      </c>
      <c r="C201">
        <v>11.380687</v>
      </c>
      <c r="D201">
        <v>11.341609999999999</v>
      </c>
      <c r="E201">
        <v>11.398011</v>
      </c>
      <c r="F201">
        <v>11.368995999999999</v>
      </c>
      <c r="G201">
        <v>11.516023000000001</v>
      </c>
      <c r="H201">
        <v>11.857284</v>
      </c>
      <c r="I201">
        <v>11.028085000000001</v>
      </c>
      <c r="J201">
        <v>10.141306999999999</v>
      </c>
      <c r="K201">
        <v>11.236855500000001</v>
      </c>
      <c r="L201">
        <v>11.053277</v>
      </c>
      <c r="M201">
        <v>11.511901</v>
      </c>
      <c r="N201">
        <v>11.331310999999999</v>
      </c>
      <c r="O201">
        <v>11.090854</v>
      </c>
      <c r="P201">
        <v>11.273002999999999</v>
      </c>
      <c r="Q201">
        <v>11.506627</v>
      </c>
      <c r="R201">
        <v>11.171613000000001</v>
      </c>
      <c r="S201">
        <v>9.1937049999999996</v>
      </c>
      <c r="T201">
        <v>10.90157</v>
      </c>
      <c r="U201">
        <v>10.613557</v>
      </c>
      <c r="V201">
        <v>10.774616</v>
      </c>
      <c r="W201">
        <v>11.034986</v>
      </c>
      <c r="X201">
        <v>10.716609999999999</v>
      </c>
      <c r="Y201">
        <v>10.178907000000001</v>
      </c>
      <c r="Z201">
        <v>10.800542</v>
      </c>
      <c r="AA201">
        <v>11.065734000000001</v>
      </c>
      <c r="AB201">
        <v>10.541755</v>
      </c>
      <c r="AC201">
        <v>9.5792055000000005</v>
      </c>
      <c r="AD201">
        <v>11.085355</v>
      </c>
      <c r="AE201">
        <v>12.1021185</v>
      </c>
      <c r="AF201">
        <v>11.2145195</v>
      </c>
      <c r="AG201">
        <v>10.768803999999999</v>
      </c>
    </row>
    <row r="202" spans="1:33" x14ac:dyDescent="0.25">
      <c r="A202" s="1">
        <v>44253</v>
      </c>
      <c r="B202">
        <v>11.390438</v>
      </c>
      <c r="C202">
        <v>11.601647</v>
      </c>
      <c r="D202">
        <v>11.467449999999999</v>
      </c>
      <c r="E202">
        <v>11.551845999999999</v>
      </c>
      <c r="F202">
        <v>11.514207000000001</v>
      </c>
      <c r="G202">
        <v>11.590322</v>
      </c>
      <c r="H202">
        <v>11.922508000000001</v>
      </c>
      <c r="I202">
        <v>11.186252</v>
      </c>
      <c r="J202">
        <v>10.312455999999999</v>
      </c>
      <c r="K202">
        <v>11.275035000000001</v>
      </c>
      <c r="L202">
        <v>11.129581</v>
      </c>
      <c r="M202">
        <v>11.585559999999999</v>
      </c>
      <c r="N202">
        <v>11.360645</v>
      </c>
      <c r="O202">
        <v>11.139497</v>
      </c>
      <c r="P202">
        <v>11.310883499999999</v>
      </c>
      <c r="Q202">
        <v>11.555047</v>
      </c>
      <c r="R202">
        <v>11.199636999999999</v>
      </c>
      <c r="S202">
        <v>8.9549800000000008</v>
      </c>
      <c r="T202">
        <v>10.875548999999999</v>
      </c>
      <c r="U202">
        <v>10.707765</v>
      </c>
      <c r="V202">
        <v>10.958733000000001</v>
      </c>
      <c r="W202">
        <v>10.977454</v>
      </c>
      <c r="X202">
        <v>10.971138</v>
      </c>
      <c r="Y202">
        <v>10.211539</v>
      </c>
      <c r="Z202">
        <v>10.7725115</v>
      </c>
      <c r="AA202">
        <v>11.127041</v>
      </c>
      <c r="AB202">
        <v>10.554183999999999</v>
      </c>
      <c r="AC202">
        <v>9.6132950000000008</v>
      </c>
      <c r="AD202">
        <v>11.123227</v>
      </c>
      <c r="AE202">
        <v>12.281589500000001</v>
      </c>
      <c r="AF202">
        <v>11.213246</v>
      </c>
      <c r="AG202">
        <v>10.844652999999999</v>
      </c>
    </row>
    <row r="203" spans="1:33" x14ac:dyDescent="0.25">
      <c r="A203" s="1">
        <v>44254</v>
      </c>
      <c r="B203">
        <v>11.24503</v>
      </c>
      <c r="C203">
        <v>11.479381999999999</v>
      </c>
      <c r="D203">
        <v>11.423626000000001</v>
      </c>
      <c r="E203">
        <v>11.520618000000001</v>
      </c>
      <c r="F203">
        <v>11.411880999999999</v>
      </c>
      <c r="G203">
        <v>11.594984999999999</v>
      </c>
      <c r="H203">
        <v>11.849781999999999</v>
      </c>
      <c r="I203">
        <v>10.996002000000001</v>
      </c>
      <c r="J203">
        <v>10.210800000000001</v>
      </c>
      <c r="K203">
        <v>11.19149</v>
      </c>
      <c r="L203">
        <v>11.035423</v>
      </c>
      <c r="M203">
        <v>11.568828</v>
      </c>
      <c r="N203">
        <v>11.209918</v>
      </c>
      <c r="O203">
        <v>11.035684</v>
      </c>
      <c r="P203">
        <v>11.233394000000001</v>
      </c>
      <c r="Q203">
        <v>11.515364999999999</v>
      </c>
      <c r="R203">
        <v>11.06733</v>
      </c>
      <c r="S203">
        <v>8.9859670000000005</v>
      </c>
      <c r="T203">
        <v>10.756012999999999</v>
      </c>
      <c r="U203">
        <v>10.621629</v>
      </c>
      <c r="V203">
        <v>10.913254999999999</v>
      </c>
      <c r="W203">
        <v>11.059536</v>
      </c>
      <c r="X203">
        <v>10.927697</v>
      </c>
      <c r="Y203">
        <v>10.273774</v>
      </c>
      <c r="Z203">
        <v>10.674534</v>
      </c>
      <c r="AA203">
        <v>11.115871</v>
      </c>
      <c r="AB203">
        <v>10.599403000000001</v>
      </c>
      <c r="AC203">
        <v>9.2457860000000007</v>
      </c>
      <c r="AD203">
        <v>11.060613</v>
      </c>
      <c r="AE203">
        <v>12.571372</v>
      </c>
      <c r="AF203">
        <v>11.122811</v>
      </c>
      <c r="AG203">
        <v>10.739212</v>
      </c>
    </row>
    <row r="204" spans="1:33" x14ac:dyDescent="0.25">
      <c r="A204" s="1">
        <v>44255</v>
      </c>
      <c r="B204">
        <v>11.260902</v>
      </c>
      <c r="C204">
        <v>11.455610999999999</v>
      </c>
      <c r="D204">
        <v>11.310509</v>
      </c>
      <c r="E204">
        <v>11.419727</v>
      </c>
      <c r="F204">
        <v>11.495498</v>
      </c>
      <c r="G204">
        <v>11.565263</v>
      </c>
      <c r="H204">
        <v>11.78206</v>
      </c>
      <c r="I204">
        <v>11.025592</v>
      </c>
      <c r="J204">
        <v>10.055827000000001</v>
      </c>
      <c r="K204">
        <v>11.06062</v>
      </c>
      <c r="L204">
        <v>10.95844</v>
      </c>
      <c r="M204">
        <v>11.548232</v>
      </c>
      <c r="N204">
        <v>11.091403</v>
      </c>
      <c r="O204">
        <v>10.988257000000001</v>
      </c>
      <c r="P204">
        <v>11.123492000000001</v>
      </c>
      <c r="Q204">
        <v>11.445854000000001</v>
      </c>
      <c r="R204">
        <v>11.034302</v>
      </c>
      <c r="S204">
        <v>8.5994440000000001</v>
      </c>
      <c r="T204">
        <v>10.600066</v>
      </c>
      <c r="U204">
        <v>10.523274000000001</v>
      </c>
      <c r="V204">
        <v>10.770091000000001</v>
      </c>
      <c r="W204">
        <v>11.124060999999999</v>
      </c>
      <c r="X204">
        <v>10.796099999999999</v>
      </c>
      <c r="Y204">
        <v>10.169618</v>
      </c>
      <c r="Z204">
        <v>10.597619999999999</v>
      </c>
      <c r="AA204">
        <v>11.038425</v>
      </c>
      <c r="AB204">
        <v>10.479227</v>
      </c>
      <c r="AC204">
        <v>9.1537799999999994</v>
      </c>
      <c r="AD204">
        <v>10.9978075</v>
      </c>
      <c r="AE204">
        <v>12.511504</v>
      </c>
      <c r="AF204">
        <v>10.995623999999999</v>
      </c>
      <c r="AG204">
        <v>10.591953</v>
      </c>
    </row>
    <row r="205" spans="1:33" x14ac:dyDescent="0.25">
      <c r="A205" s="1">
        <v>44256</v>
      </c>
      <c r="B205">
        <v>11.452400000000001</v>
      </c>
      <c r="C205">
        <v>11.599266999999999</v>
      </c>
      <c r="D205">
        <v>11.345281</v>
      </c>
      <c r="E205">
        <v>11.460800000000001</v>
      </c>
      <c r="F205">
        <v>11.69886</v>
      </c>
      <c r="G205">
        <v>11.6626625</v>
      </c>
      <c r="H205">
        <v>11.824546</v>
      </c>
      <c r="I205">
        <v>11.439906000000001</v>
      </c>
      <c r="J205">
        <v>10.417571000000001</v>
      </c>
      <c r="K205">
        <v>11.180523000000001</v>
      </c>
      <c r="L205">
        <v>11.079228000000001</v>
      </c>
      <c r="M205">
        <v>11.655786000000001</v>
      </c>
      <c r="N205">
        <v>11.239179</v>
      </c>
      <c r="O205">
        <v>11.122676</v>
      </c>
      <c r="P205">
        <v>11.233134</v>
      </c>
      <c r="Q205">
        <v>11.535551999999999</v>
      </c>
      <c r="R205">
        <v>11.142503</v>
      </c>
      <c r="S205">
        <v>8.6651589999999992</v>
      </c>
      <c r="T205">
        <v>10.720981</v>
      </c>
      <c r="U205">
        <v>10.663468</v>
      </c>
      <c r="V205">
        <v>11.025391000000001</v>
      </c>
      <c r="W205">
        <v>11.148054999999999</v>
      </c>
      <c r="X205">
        <v>11.136987</v>
      </c>
      <c r="Y205">
        <v>10.338816</v>
      </c>
      <c r="Z205">
        <v>10.778682999999999</v>
      </c>
      <c r="AA205">
        <v>11.191024000000001</v>
      </c>
      <c r="AB205">
        <v>10.659577000000001</v>
      </c>
      <c r="AC205">
        <v>9.4227849999999993</v>
      </c>
      <c r="AD205">
        <v>11.097531</v>
      </c>
      <c r="AE205">
        <v>13.009173000000001</v>
      </c>
      <c r="AF205">
        <v>11.0307455</v>
      </c>
      <c r="AG205">
        <v>10.8203</v>
      </c>
    </row>
    <row r="206" spans="1:33" x14ac:dyDescent="0.25">
      <c r="A206" s="1">
        <v>44257</v>
      </c>
      <c r="B206">
        <v>11.607021</v>
      </c>
      <c r="C206">
        <v>11.708893</v>
      </c>
      <c r="D206">
        <v>11.397716000000001</v>
      </c>
      <c r="E206">
        <v>11.524518</v>
      </c>
      <c r="F206">
        <v>11.844374999999999</v>
      </c>
      <c r="G206">
        <v>11.79533</v>
      </c>
      <c r="H206">
        <v>11.868854000000001</v>
      </c>
      <c r="I206">
        <v>11.797511999999999</v>
      </c>
      <c r="J206">
        <v>10.755898</v>
      </c>
      <c r="K206">
        <v>11.31559</v>
      </c>
      <c r="L206">
        <v>11.229991999999999</v>
      </c>
      <c r="M206">
        <v>11.762366999999999</v>
      </c>
      <c r="N206">
        <v>11.341175</v>
      </c>
      <c r="O206">
        <v>11.250736</v>
      </c>
      <c r="P206">
        <v>11.351711</v>
      </c>
      <c r="Q206">
        <v>11.662238</v>
      </c>
      <c r="R206">
        <v>11.247406</v>
      </c>
      <c r="S206">
        <v>8.9756739999999997</v>
      </c>
      <c r="T206">
        <v>10.912428999999999</v>
      </c>
      <c r="U206">
        <v>10.940293</v>
      </c>
      <c r="V206">
        <v>11.219189999999999</v>
      </c>
      <c r="W206">
        <v>11.424721999999999</v>
      </c>
      <c r="X206">
        <v>11.365639</v>
      </c>
      <c r="Y206">
        <v>10.595229</v>
      </c>
      <c r="Z206">
        <v>11.002076000000001</v>
      </c>
      <c r="AA206">
        <v>11.381546</v>
      </c>
      <c r="AB206">
        <v>10.901668000000001</v>
      </c>
      <c r="AC206">
        <v>9.7163210000000007</v>
      </c>
      <c r="AD206">
        <v>11.225419</v>
      </c>
      <c r="AE206">
        <v>13.344333000000001</v>
      </c>
      <c r="AF206">
        <v>11.141709000000001</v>
      </c>
      <c r="AG206">
        <v>11.087464000000001</v>
      </c>
    </row>
    <row r="207" spans="1:33" x14ac:dyDescent="0.25">
      <c r="A207" s="1">
        <v>44258</v>
      </c>
      <c r="B207">
        <v>11.726098</v>
      </c>
      <c r="C207">
        <v>11.769149000000001</v>
      </c>
      <c r="D207">
        <v>11.38776</v>
      </c>
      <c r="E207">
        <v>11.557092000000001</v>
      </c>
      <c r="F207">
        <v>11.894223</v>
      </c>
      <c r="G207">
        <v>11.879747999999999</v>
      </c>
      <c r="H207">
        <v>11.848762000000001</v>
      </c>
      <c r="I207">
        <v>11.91643</v>
      </c>
      <c r="J207">
        <v>11.021813</v>
      </c>
      <c r="K207">
        <v>11.42662</v>
      </c>
      <c r="L207">
        <v>11.361751</v>
      </c>
      <c r="M207">
        <v>11.838245000000001</v>
      </c>
      <c r="N207">
        <v>11.431226000000001</v>
      </c>
      <c r="O207">
        <v>11.352543000000001</v>
      </c>
      <c r="P207">
        <v>11.436489</v>
      </c>
      <c r="Q207">
        <v>11.7662735</v>
      </c>
      <c r="R207">
        <v>11.348103</v>
      </c>
      <c r="S207">
        <v>9.325526</v>
      </c>
      <c r="T207">
        <v>11.090903000000001</v>
      </c>
      <c r="U207">
        <v>11.101596000000001</v>
      </c>
      <c r="V207">
        <v>11.309018</v>
      </c>
      <c r="W207">
        <v>11.748004</v>
      </c>
      <c r="X207">
        <v>11.401431000000001</v>
      </c>
      <c r="Y207">
        <v>10.792699000000001</v>
      </c>
      <c r="Z207">
        <v>11.203773</v>
      </c>
      <c r="AA207">
        <v>11.544197</v>
      </c>
      <c r="AB207">
        <v>11.06371</v>
      </c>
      <c r="AC207">
        <v>9.9484825000000008</v>
      </c>
      <c r="AD207">
        <v>11.343849000000001</v>
      </c>
      <c r="AE207">
        <v>13.618522</v>
      </c>
      <c r="AF207">
        <v>11.234076999999999</v>
      </c>
      <c r="AG207">
        <v>11.295695</v>
      </c>
    </row>
    <row r="208" spans="1:33" x14ac:dyDescent="0.25">
      <c r="A208" s="1">
        <v>44259</v>
      </c>
      <c r="B208">
        <v>11.893521</v>
      </c>
      <c r="C208">
        <v>11.846283</v>
      </c>
      <c r="D208">
        <v>11.363135</v>
      </c>
      <c r="E208">
        <v>11.530834</v>
      </c>
      <c r="F208">
        <v>11.932857500000001</v>
      </c>
      <c r="G208">
        <v>11.879788</v>
      </c>
      <c r="H208">
        <v>11.890096</v>
      </c>
      <c r="I208">
        <v>11.950932</v>
      </c>
      <c r="J208">
        <v>11.265972</v>
      </c>
      <c r="K208">
        <v>11.53576</v>
      </c>
      <c r="L208">
        <v>11.523963999999999</v>
      </c>
      <c r="M208">
        <v>11.82724</v>
      </c>
      <c r="N208">
        <v>11.442848</v>
      </c>
      <c r="O208">
        <v>11.486487</v>
      </c>
      <c r="P208">
        <v>11.5156145</v>
      </c>
      <c r="Q208">
        <v>11.753845</v>
      </c>
      <c r="R208">
        <v>11.478363</v>
      </c>
      <c r="S208">
        <v>9.7114569999999993</v>
      </c>
      <c r="T208">
        <v>11.296640999999999</v>
      </c>
      <c r="U208">
        <v>11.290770999999999</v>
      </c>
      <c r="V208">
        <v>11.539773</v>
      </c>
      <c r="W208">
        <v>11.920135</v>
      </c>
      <c r="X208">
        <v>11.644004000000001</v>
      </c>
      <c r="Y208">
        <v>10.944326999999999</v>
      </c>
      <c r="Z208">
        <v>11.411949999999999</v>
      </c>
      <c r="AA208">
        <v>11.707843</v>
      </c>
      <c r="AB208">
        <v>11.195957</v>
      </c>
      <c r="AC208">
        <v>10.213213</v>
      </c>
      <c r="AD208">
        <v>11.484470999999999</v>
      </c>
      <c r="AE208">
        <v>13.788449</v>
      </c>
      <c r="AF208">
        <v>11.302552</v>
      </c>
      <c r="AG208">
        <v>11.468652000000001</v>
      </c>
    </row>
    <row r="209" spans="1:33" x14ac:dyDescent="0.25">
      <c r="A209" s="1">
        <v>44260</v>
      </c>
      <c r="B209">
        <v>11.921101999999999</v>
      </c>
      <c r="C209">
        <v>11.970548000000001</v>
      </c>
      <c r="D209">
        <v>11.499446000000001</v>
      </c>
      <c r="E209">
        <v>11.597892</v>
      </c>
      <c r="F209">
        <v>12.091896999999999</v>
      </c>
      <c r="G209">
        <v>11.980257999999999</v>
      </c>
      <c r="H209">
        <v>12.003242500000001</v>
      </c>
      <c r="I209">
        <v>12.211650000000001</v>
      </c>
      <c r="J209">
        <v>11.586226</v>
      </c>
      <c r="K209">
        <v>11.762067</v>
      </c>
      <c r="L209">
        <v>11.757358999999999</v>
      </c>
      <c r="M209">
        <v>11.915276</v>
      </c>
      <c r="N209">
        <v>11.60318</v>
      </c>
      <c r="O209">
        <v>11.730840000000001</v>
      </c>
      <c r="P209">
        <v>11.708316999999999</v>
      </c>
      <c r="Q209">
        <v>11.865849000000001</v>
      </c>
      <c r="R209">
        <v>11.728092</v>
      </c>
      <c r="S209">
        <v>10.071325999999999</v>
      </c>
      <c r="T209">
        <v>11.633972</v>
      </c>
      <c r="U209">
        <v>11.542562999999999</v>
      </c>
      <c r="V209">
        <v>11.909566</v>
      </c>
      <c r="W209">
        <v>12.086176999999999</v>
      </c>
      <c r="X209">
        <v>12.031656999999999</v>
      </c>
      <c r="Y209">
        <v>11.162995</v>
      </c>
      <c r="Z209">
        <v>11.673997</v>
      </c>
      <c r="AA209">
        <v>11.951397999999999</v>
      </c>
      <c r="AB209">
        <v>11.399291</v>
      </c>
      <c r="AC209">
        <v>10.557765</v>
      </c>
      <c r="AD209">
        <v>11.702401</v>
      </c>
      <c r="AE209">
        <v>14.395675000000001</v>
      </c>
      <c r="AF209">
        <v>11.426710999999999</v>
      </c>
      <c r="AG209">
        <v>11.803634000000001</v>
      </c>
    </row>
    <row r="210" spans="1:33" x14ac:dyDescent="0.25">
      <c r="A210" s="1">
        <v>44261</v>
      </c>
      <c r="B210">
        <v>12.104025999999999</v>
      </c>
      <c r="C210">
        <v>12.115327000000001</v>
      </c>
      <c r="D210">
        <v>11.732282</v>
      </c>
      <c r="E210">
        <v>11.840838</v>
      </c>
      <c r="F210">
        <v>12.254068999999999</v>
      </c>
      <c r="G210">
        <v>12.126258999999999</v>
      </c>
      <c r="H210">
        <v>12.165694</v>
      </c>
      <c r="I210">
        <v>12.564434</v>
      </c>
      <c r="J210">
        <v>11.894923</v>
      </c>
      <c r="K210">
        <v>11.98254</v>
      </c>
      <c r="L210">
        <v>11.974307</v>
      </c>
      <c r="M210">
        <v>12.0633955</v>
      </c>
      <c r="N210">
        <v>11.829586000000001</v>
      </c>
      <c r="O210">
        <v>11.961873000000001</v>
      </c>
      <c r="P210">
        <v>11.92122</v>
      </c>
      <c r="Q210">
        <v>12.048420999999999</v>
      </c>
      <c r="R210">
        <v>11.952533000000001</v>
      </c>
      <c r="S210">
        <v>10.618728000000001</v>
      </c>
      <c r="T210">
        <v>11.998528</v>
      </c>
      <c r="U210">
        <v>11.894852999999999</v>
      </c>
      <c r="V210">
        <v>12.162497999999999</v>
      </c>
      <c r="W210">
        <v>12.353324000000001</v>
      </c>
      <c r="X210">
        <v>12.283975</v>
      </c>
      <c r="Y210">
        <v>11.604023</v>
      </c>
      <c r="Z210">
        <v>11.996579000000001</v>
      </c>
      <c r="AA210">
        <v>12.243537</v>
      </c>
      <c r="AB210">
        <v>11.796856999999999</v>
      </c>
      <c r="AC210">
        <v>11.135551</v>
      </c>
      <c r="AD210">
        <v>11.944177</v>
      </c>
      <c r="AE210">
        <v>14.66372</v>
      </c>
      <c r="AF210">
        <v>11.672108</v>
      </c>
      <c r="AG210">
        <v>12.200511000000001</v>
      </c>
    </row>
    <row r="211" spans="1:33" x14ac:dyDescent="0.25">
      <c r="A211" s="1">
        <v>44262</v>
      </c>
      <c r="B211">
        <v>11.749881999999999</v>
      </c>
      <c r="C211">
        <v>12.072379</v>
      </c>
      <c r="D211">
        <v>11.832348</v>
      </c>
      <c r="E211">
        <v>11.86317</v>
      </c>
      <c r="F211">
        <v>12.038472000000001</v>
      </c>
      <c r="G211">
        <v>12.096413</v>
      </c>
      <c r="H211">
        <v>12.183047999999999</v>
      </c>
      <c r="I211">
        <v>12.285809499999999</v>
      </c>
      <c r="J211">
        <v>11.635745</v>
      </c>
      <c r="K211">
        <v>12.003669</v>
      </c>
      <c r="L211">
        <v>12.005293999999999</v>
      </c>
      <c r="M211">
        <v>12.010251</v>
      </c>
      <c r="N211">
        <v>11.891597000000001</v>
      </c>
      <c r="O211">
        <v>12.007637000000001</v>
      </c>
      <c r="P211">
        <v>11.953277999999999</v>
      </c>
      <c r="Q211">
        <v>12.061664</v>
      </c>
      <c r="R211">
        <v>12.040459999999999</v>
      </c>
      <c r="S211">
        <v>10.5444975</v>
      </c>
      <c r="T211">
        <v>12.184085</v>
      </c>
      <c r="U211">
        <v>12.016693</v>
      </c>
      <c r="V211">
        <v>12.185378999999999</v>
      </c>
      <c r="W211">
        <v>12.549011999999999</v>
      </c>
      <c r="X211">
        <v>12.258224999999999</v>
      </c>
      <c r="Y211">
        <v>11.684009</v>
      </c>
      <c r="Z211">
        <v>12.090362000000001</v>
      </c>
      <c r="AA211">
        <v>12.287224999999999</v>
      </c>
      <c r="AB211">
        <v>11.868715999999999</v>
      </c>
      <c r="AC211">
        <v>11.328018</v>
      </c>
      <c r="AD211">
        <v>12.048883999999999</v>
      </c>
      <c r="AE211">
        <v>14.379447000000001</v>
      </c>
      <c r="AF211">
        <v>11.765264999999999</v>
      </c>
      <c r="AG211">
        <v>12.148201</v>
      </c>
    </row>
    <row r="212" spans="1:33" x14ac:dyDescent="0.25">
      <c r="A212" s="1">
        <v>44263</v>
      </c>
      <c r="B212">
        <v>11.376598</v>
      </c>
      <c r="C212">
        <v>11.958608</v>
      </c>
      <c r="D212">
        <v>11.798074</v>
      </c>
      <c r="E212">
        <v>11.748257000000001</v>
      </c>
      <c r="F212">
        <v>11.813027</v>
      </c>
      <c r="G212">
        <v>11.984761000000001</v>
      </c>
      <c r="H212">
        <v>12.084785</v>
      </c>
      <c r="I212">
        <v>11.745099</v>
      </c>
      <c r="J212">
        <v>11.413758</v>
      </c>
      <c r="K212">
        <v>11.98499</v>
      </c>
      <c r="L212">
        <v>12.011495</v>
      </c>
      <c r="M212">
        <v>11.915587</v>
      </c>
      <c r="N212">
        <v>11.934504499999999</v>
      </c>
      <c r="O212">
        <v>11.999234</v>
      </c>
      <c r="P212">
        <v>11.947597999999999</v>
      </c>
      <c r="Q212">
        <v>11.999779999999999</v>
      </c>
      <c r="R212">
        <v>12.025233</v>
      </c>
      <c r="S212">
        <v>10.217750000000001</v>
      </c>
      <c r="T212">
        <v>12.161702</v>
      </c>
      <c r="U212">
        <v>11.996368</v>
      </c>
      <c r="V212">
        <v>12.1515875</v>
      </c>
      <c r="W212">
        <v>12.824996000000001</v>
      </c>
      <c r="X212">
        <v>12.233287000000001</v>
      </c>
      <c r="Y212">
        <v>11.649143</v>
      </c>
      <c r="Z212">
        <v>12.079174</v>
      </c>
      <c r="AA212">
        <v>12.269882000000001</v>
      </c>
      <c r="AB212">
        <v>11.80162</v>
      </c>
      <c r="AC212">
        <v>11.260451</v>
      </c>
      <c r="AD212">
        <v>12.071636</v>
      </c>
      <c r="AE212">
        <v>14.417336000000001</v>
      </c>
      <c r="AF212">
        <v>11.819267</v>
      </c>
      <c r="AG212">
        <v>12.074979000000001</v>
      </c>
    </row>
    <row r="213" spans="1:33" x14ac:dyDescent="0.25">
      <c r="A213" s="1">
        <v>44264</v>
      </c>
      <c r="B213">
        <v>11.063715999999999</v>
      </c>
      <c r="C213">
        <v>11.791776</v>
      </c>
      <c r="D213">
        <v>11.633489000000001</v>
      </c>
      <c r="E213">
        <v>11.532273</v>
      </c>
      <c r="F213">
        <v>11.688810999999999</v>
      </c>
      <c r="G213">
        <v>11.832601</v>
      </c>
      <c r="H213">
        <v>11.9459</v>
      </c>
      <c r="I213">
        <v>11.23063</v>
      </c>
      <c r="J213">
        <v>11.00751</v>
      </c>
      <c r="K213">
        <v>11.896253</v>
      </c>
      <c r="L213">
        <v>11.897615999999999</v>
      </c>
      <c r="M213">
        <v>11.802391999999999</v>
      </c>
      <c r="N213">
        <v>11.8847475</v>
      </c>
      <c r="O213">
        <v>11.867654</v>
      </c>
      <c r="P213">
        <v>11.889360999999999</v>
      </c>
      <c r="Q213">
        <v>11.858727</v>
      </c>
      <c r="R213">
        <v>11.928108</v>
      </c>
      <c r="S213">
        <v>9.7672240000000006</v>
      </c>
      <c r="T213">
        <v>11.964923000000001</v>
      </c>
      <c r="U213">
        <v>11.78622</v>
      </c>
      <c r="V213">
        <v>12.036503</v>
      </c>
      <c r="W213">
        <v>12.663990999999999</v>
      </c>
      <c r="X213">
        <v>12.088939</v>
      </c>
      <c r="Y213">
        <v>11.407931</v>
      </c>
      <c r="Z213">
        <v>11.850657999999999</v>
      </c>
      <c r="AA213">
        <v>12.103934000000001</v>
      </c>
      <c r="AB213">
        <v>11.570755999999999</v>
      </c>
      <c r="AC213">
        <v>10.832587999999999</v>
      </c>
      <c r="AD213">
        <v>11.961276</v>
      </c>
      <c r="AE213">
        <v>14.055116</v>
      </c>
      <c r="AF213">
        <v>11.761353</v>
      </c>
      <c r="AG213">
        <v>11.8260565</v>
      </c>
    </row>
    <row r="214" spans="1:33" x14ac:dyDescent="0.25">
      <c r="A214" s="1">
        <v>44265</v>
      </c>
      <c r="B214">
        <v>10.874425</v>
      </c>
      <c r="C214">
        <v>11.733366999999999</v>
      </c>
      <c r="D214">
        <v>11.444566</v>
      </c>
      <c r="E214">
        <v>11.341801999999999</v>
      </c>
      <c r="F214">
        <v>11.629125</v>
      </c>
      <c r="G214">
        <v>11.7388525</v>
      </c>
      <c r="H214">
        <v>11.808517999999999</v>
      </c>
      <c r="I214">
        <v>10.992611</v>
      </c>
      <c r="J214">
        <v>10.806194</v>
      </c>
      <c r="K214">
        <v>11.782463999999999</v>
      </c>
      <c r="L214">
        <v>11.836937000000001</v>
      </c>
      <c r="M214">
        <v>11.736114499999999</v>
      </c>
      <c r="N214">
        <v>11.803715</v>
      </c>
      <c r="O214">
        <v>11.816451000000001</v>
      </c>
      <c r="P214">
        <v>11.783404000000001</v>
      </c>
      <c r="Q214">
        <v>11.76939</v>
      </c>
      <c r="R214">
        <v>11.857120999999999</v>
      </c>
      <c r="S214">
        <v>9.6666810000000005</v>
      </c>
      <c r="T214">
        <v>11.808745999999999</v>
      </c>
      <c r="U214">
        <v>11.710372</v>
      </c>
      <c r="V214">
        <v>12.056450999999999</v>
      </c>
      <c r="W214">
        <v>12.410492</v>
      </c>
      <c r="X214">
        <v>12.191587999999999</v>
      </c>
      <c r="Y214">
        <v>11.319725</v>
      </c>
      <c r="Z214">
        <v>11.688458000000001</v>
      </c>
      <c r="AA214">
        <v>11.971196000000001</v>
      </c>
      <c r="AB214">
        <v>11.472225999999999</v>
      </c>
      <c r="AC214">
        <v>10.590852</v>
      </c>
      <c r="AD214">
        <v>11.887226999999999</v>
      </c>
      <c r="AE214">
        <v>13.282157</v>
      </c>
      <c r="AF214">
        <v>11.712604000000001</v>
      </c>
      <c r="AG214">
        <v>11.69868</v>
      </c>
    </row>
    <row r="215" spans="1:33" x14ac:dyDescent="0.25">
      <c r="A215" s="1">
        <v>44266</v>
      </c>
      <c r="B215">
        <v>10.872552000000001</v>
      </c>
      <c r="C215">
        <v>11.763616000000001</v>
      </c>
      <c r="D215">
        <v>11.379887</v>
      </c>
      <c r="E215">
        <v>11.295697000000001</v>
      </c>
      <c r="F215">
        <v>11.682968000000001</v>
      </c>
      <c r="G215">
        <v>11.740921999999999</v>
      </c>
      <c r="H215">
        <v>11.763377999999999</v>
      </c>
      <c r="I215">
        <v>10.984724999999999</v>
      </c>
      <c r="J215">
        <v>10.782819</v>
      </c>
      <c r="K215">
        <v>11.750499</v>
      </c>
      <c r="L215">
        <v>11.813245</v>
      </c>
      <c r="M215">
        <v>11.758366000000001</v>
      </c>
      <c r="N215">
        <v>11.7866125</v>
      </c>
      <c r="O215">
        <v>11.831189</v>
      </c>
      <c r="P215">
        <v>11.748025</v>
      </c>
      <c r="Q215">
        <v>11.753399</v>
      </c>
      <c r="R215">
        <v>11.858264</v>
      </c>
      <c r="S215">
        <v>9.354495</v>
      </c>
      <c r="T215">
        <v>11.746062</v>
      </c>
      <c r="U215">
        <v>11.596493000000001</v>
      </c>
      <c r="V215">
        <v>12.124447999999999</v>
      </c>
      <c r="W215">
        <v>12.118971999999999</v>
      </c>
      <c r="X215">
        <v>12.293824000000001</v>
      </c>
      <c r="Y215">
        <v>11.283747999999999</v>
      </c>
      <c r="Z215">
        <v>11.5836115</v>
      </c>
      <c r="AA215">
        <v>11.9291725</v>
      </c>
      <c r="AB215">
        <v>11.440178</v>
      </c>
      <c r="AC215">
        <v>10.18805</v>
      </c>
      <c r="AD215">
        <v>11.857169000000001</v>
      </c>
      <c r="AE215">
        <v>12.818915000000001</v>
      </c>
      <c r="AF215">
        <v>11.742908999999999</v>
      </c>
      <c r="AG215">
        <v>11.666505000000001</v>
      </c>
    </row>
    <row r="216" spans="1:33" x14ac:dyDescent="0.25">
      <c r="A216" s="1">
        <v>44267</v>
      </c>
      <c r="B216">
        <v>11.091891</v>
      </c>
      <c r="C216">
        <v>11.783771</v>
      </c>
      <c r="D216">
        <v>11.526130999999999</v>
      </c>
      <c r="E216">
        <v>11.396857000000001</v>
      </c>
      <c r="F216">
        <v>11.729279</v>
      </c>
      <c r="G216">
        <v>11.780816</v>
      </c>
      <c r="H216">
        <v>11.856013000000001</v>
      </c>
      <c r="I216">
        <v>11.099828</v>
      </c>
      <c r="J216">
        <v>10.901024</v>
      </c>
      <c r="K216">
        <v>11.799211</v>
      </c>
      <c r="L216">
        <v>11.880689</v>
      </c>
      <c r="M216">
        <v>11.807931</v>
      </c>
      <c r="N216">
        <v>11.856061</v>
      </c>
      <c r="O216">
        <v>11.900083</v>
      </c>
      <c r="P216">
        <v>11.811444</v>
      </c>
      <c r="Q216">
        <v>11.804206000000001</v>
      </c>
      <c r="R216">
        <v>11.890212</v>
      </c>
      <c r="S216">
        <v>9.5109139999999996</v>
      </c>
      <c r="T216">
        <v>11.792401</v>
      </c>
      <c r="U216">
        <v>11.718719999999999</v>
      </c>
      <c r="V216">
        <v>12.15591</v>
      </c>
      <c r="W216">
        <v>11.8293295</v>
      </c>
      <c r="X216">
        <v>12.280785</v>
      </c>
      <c r="Y216">
        <v>11.277785</v>
      </c>
      <c r="Z216">
        <v>11.676441000000001</v>
      </c>
      <c r="AA216">
        <v>12.015174</v>
      </c>
      <c r="AB216">
        <v>11.458714499999999</v>
      </c>
      <c r="AC216">
        <v>10.247092</v>
      </c>
      <c r="AD216">
        <v>11.924695</v>
      </c>
      <c r="AE216">
        <v>13.103070000000001</v>
      </c>
      <c r="AF216">
        <v>11.844172500000001</v>
      </c>
      <c r="AG216">
        <v>11.743468</v>
      </c>
    </row>
    <row r="217" spans="1:33" x14ac:dyDescent="0.25">
      <c r="A217" s="1">
        <v>44268</v>
      </c>
      <c r="B217">
        <v>11.354983000000001</v>
      </c>
      <c r="C217">
        <v>11.876213</v>
      </c>
      <c r="D217">
        <v>11.66628</v>
      </c>
      <c r="E217">
        <v>11.539806</v>
      </c>
      <c r="F217">
        <v>11.755475000000001</v>
      </c>
      <c r="G217">
        <v>11.849615999999999</v>
      </c>
      <c r="H217">
        <v>11.882775000000001</v>
      </c>
      <c r="I217">
        <v>11.221973999999999</v>
      </c>
      <c r="J217">
        <v>11.200086000000001</v>
      </c>
      <c r="K217">
        <v>11.901982</v>
      </c>
      <c r="L217">
        <v>11.983862999999999</v>
      </c>
      <c r="M217">
        <v>11.882016</v>
      </c>
      <c r="N217">
        <v>11.930501</v>
      </c>
      <c r="O217">
        <v>12.010026</v>
      </c>
      <c r="P217">
        <v>11.918831000000001</v>
      </c>
      <c r="Q217">
        <v>11.868117</v>
      </c>
      <c r="R217">
        <v>11.954475</v>
      </c>
      <c r="S217">
        <v>9.7147100000000002</v>
      </c>
      <c r="T217">
        <v>11.866175999999999</v>
      </c>
      <c r="U217">
        <v>11.860839</v>
      </c>
      <c r="V217">
        <v>12.137197</v>
      </c>
      <c r="W217">
        <v>11.740245</v>
      </c>
      <c r="X217">
        <v>12.214999000000001</v>
      </c>
      <c r="Y217">
        <v>11.296030999999999</v>
      </c>
      <c r="Z217">
        <v>11.871116000000001</v>
      </c>
      <c r="AA217">
        <v>12.177016</v>
      </c>
      <c r="AB217">
        <v>11.444722000000001</v>
      </c>
      <c r="AC217">
        <v>10.311154</v>
      </c>
      <c r="AD217">
        <v>12.02609</v>
      </c>
      <c r="AE217">
        <v>13.850811</v>
      </c>
      <c r="AF217">
        <v>11.949698</v>
      </c>
      <c r="AG217">
        <v>11.863289999999999</v>
      </c>
    </row>
    <row r="218" spans="1:33" x14ac:dyDescent="0.25">
      <c r="A218" s="1">
        <v>44269</v>
      </c>
      <c r="B218">
        <v>11.277513000000001</v>
      </c>
      <c r="C218">
        <v>11.819618999999999</v>
      </c>
      <c r="D218">
        <v>11.610450999999999</v>
      </c>
      <c r="E218">
        <v>11.490663</v>
      </c>
      <c r="F218">
        <v>11.723019000000001</v>
      </c>
      <c r="G218">
        <v>11.817273</v>
      </c>
      <c r="H218">
        <v>11.821835500000001</v>
      </c>
      <c r="I218">
        <v>11.101649999999999</v>
      </c>
      <c r="J218">
        <v>11.168259000000001</v>
      </c>
      <c r="K218">
        <v>11.884147</v>
      </c>
      <c r="L218">
        <v>12.001132999999999</v>
      </c>
      <c r="M218">
        <v>11.841706</v>
      </c>
      <c r="N218">
        <v>11.876518000000001</v>
      </c>
      <c r="O218">
        <v>12.033759</v>
      </c>
      <c r="P218">
        <v>11.901688</v>
      </c>
      <c r="Q218">
        <v>11.823073000000001</v>
      </c>
      <c r="R218">
        <v>11.998696000000001</v>
      </c>
      <c r="S218">
        <v>9.6451919999999998</v>
      </c>
      <c r="T218">
        <v>11.79429</v>
      </c>
      <c r="U218">
        <v>12.012286</v>
      </c>
      <c r="V218">
        <v>11.859223</v>
      </c>
      <c r="W218">
        <v>11.877564</v>
      </c>
      <c r="X218">
        <v>11.828865</v>
      </c>
      <c r="Y218">
        <v>11.18979</v>
      </c>
      <c r="Z218">
        <v>11.999203</v>
      </c>
      <c r="AA218">
        <v>12.257956999999999</v>
      </c>
      <c r="AB218">
        <v>11.368781</v>
      </c>
      <c r="AC218">
        <v>10.366334</v>
      </c>
      <c r="AD218">
        <v>12.062137</v>
      </c>
      <c r="AE218">
        <v>13.865387</v>
      </c>
      <c r="AF218">
        <v>11.982977999999999</v>
      </c>
      <c r="AG218">
        <v>11.815498</v>
      </c>
    </row>
    <row r="219" spans="1:33" x14ac:dyDescent="0.25">
      <c r="A219" s="1">
        <v>44270</v>
      </c>
      <c r="B219">
        <v>10.505019000000001</v>
      </c>
      <c r="C219">
        <v>11.588198999999999</v>
      </c>
      <c r="D219">
        <v>11.298436000000001</v>
      </c>
      <c r="E219">
        <v>11.044746</v>
      </c>
      <c r="F219">
        <v>11.391175</v>
      </c>
      <c r="G219">
        <v>11.6616745</v>
      </c>
      <c r="H219">
        <v>11.505694999999999</v>
      </c>
      <c r="I219">
        <v>10.628549</v>
      </c>
      <c r="J219">
        <v>10.739433</v>
      </c>
      <c r="K219">
        <v>11.658759</v>
      </c>
      <c r="L219">
        <v>11.763057999999999</v>
      </c>
      <c r="M219">
        <v>11.621582999999999</v>
      </c>
      <c r="N219">
        <v>11.684341999999999</v>
      </c>
      <c r="O219">
        <v>11.7646265</v>
      </c>
      <c r="P219">
        <v>11.697098</v>
      </c>
      <c r="Q219">
        <v>11.663112999999999</v>
      </c>
      <c r="R219">
        <v>11.803478999999999</v>
      </c>
      <c r="S219">
        <v>9.2021949999999997</v>
      </c>
      <c r="T219">
        <v>11.490669</v>
      </c>
      <c r="U219">
        <v>11.90884</v>
      </c>
      <c r="V219">
        <v>11.579243999999999</v>
      </c>
      <c r="W219">
        <v>11.680004</v>
      </c>
      <c r="X219">
        <v>11.663985</v>
      </c>
      <c r="Y219">
        <v>10.937704999999999</v>
      </c>
      <c r="Z219">
        <v>11.872802999999999</v>
      </c>
      <c r="AA219">
        <v>12.059877999999999</v>
      </c>
      <c r="AB219">
        <v>11.167797999999999</v>
      </c>
      <c r="AC219">
        <v>10.347175999999999</v>
      </c>
      <c r="AD219">
        <v>11.887459</v>
      </c>
      <c r="AE219">
        <v>13.030559999999999</v>
      </c>
      <c r="AF219">
        <v>11.89223</v>
      </c>
      <c r="AG219">
        <v>11.508990000000001</v>
      </c>
    </row>
    <row r="220" spans="1:33" x14ac:dyDescent="0.25">
      <c r="A220" s="1">
        <v>44271</v>
      </c>
      <c r="B220">
        <v>10.572751</v>
      </c>
      <c r="C220">
        <v>11.553739</v>
      </c>
      <c r="D220">
        <v>11.053425000000001</v>
      </c>
      <c r="E220">
        <v>10.864056</v>
      </c>
      <c r="F220">
        <v>11.432876</v>
      </c>
      <c r="G220">
        <v>11.507118</v>
      </c>
      <c r="H220">
        <v>11.307842000000001</v>
      </c>
      <c r="I220">
        <v>10.619311</v>
      </c>
      <c r="J220">
        <v>10.417731</v>
      </c>
      <c r="K220">
        <v>11.541755999999999</v>
      </c>
      <c r="L220">
        <v>11.6523485</v>
      </c>
      <c r="M220">
        <v>11.496100999999999</v>
      </c>
      <c r="N220">
        <v>11.577462000000001</v>
      </c>
      <c r="O220">
        <v>11.698093</v>
      </c>
      <c r="P220">
        <v>11.568932999999999</v>
      </c>
      <c r="Q220">
        <v>11.492702</v>
      </c>
      <c r="R220">
        <v>11.729492</v>
      </c>
      <c r="S220">
        <v>8.7231470000000009</v>
      </c>
      <c r="T220">
        <v>11.260621</v>
      </c>
      <c r="U220">
        <v>11.812573</v>
      </c>
      <c r="V220">
        <v>11.560642</v>
      </c>
      <c r="W220">
        <v>11.484866999999999</v>
      </c>
      <c r="X220">
        <v>11.653934</v>
      </c>
      <c r="Y220">
        <v>10.684155000000001</v>
      </c>
      <c r="Z220">
        <v>11.711990999999999</v>
      </c>
      <c r="AA220">
        <v>11.887231</v>
      </c>
      <c r="AB220">
        <v>10.899654999999999</v>
      </c>
      <c r="AC220">
        <v>9.8827970000000001</v>
      </c>
      <c r="AD220">
        <v>11.76084</v>
      </c>
      <c r="AE220">
        <v>12.975564</v>
      </c>
      <c r="AF220">
        <v>11.711033</v>
      </c>
      <c r="AG220">
        <v>11.330985</v>
      </c>
    </row>
    <row r="221" spans="1:33" x14ac:dyDescent="0.25">
      <c r="A221" s="1">
        <v>44272</v>
      </c>
      <c r="B221">
        <v>11.085842</v>
      </c>
      <c r="C221">
        <v>11.661975</v>
      </c>
      <c r="D221">
        <v>11.073416999999999</v>
      </c>
      <c r="E221">
        <v>10.960289</v>
      </c>
      <c r="F221">
        <v>11.560746</v>
      </c>
      <c r="G221">
        <v>11.580161</v>
      </c>
      <c r="H221">
        <v>11.274755000000001</v>
      </c>
      <c r="I221">
        <v>11.071358</v>
      </c>
      <c r="J221">
        <v>10.870319</v>
      </c>
      <c r="K221">
        <v>11.703120999999999</v>
      </c>
      <c r="L221">
        <v>11.854346</v>
      </c>
      <c r="M221">
        <v>11.561382</v>
      </c>
      <c r="N221">
        <v>11.650093</v>
      </c>
      <c r="O221">
        <v>11.876880999999999</v>
      </c>
      <c r="P221">
        <v>11.704907</v>
      </c>
      <c r="Q221">
        <v>11.5590315</v>
      </c>
      <c r="R221">
        <v>11.869553</v>
      </c>
      <c r="S221">
        <v>9.030049</v>
      </c>
      <c r="T221">
        <v>11.440956</v>
      </c>
      <c r="U221">
        <v>12.01699</v>
      </c>
      <c r="V221">
        <v>11.815631</v>
      </c>
      <c r="W221">
        <v>11.536744000000001</v>
      </c>
      <c r="X221">
        <v>11.905502</v>
      </c>
      <c r="Y221">
        <v>11.07241</v>
      </c>
      <c r="Z221">
        <v>11.934279</v>
      </c>
      <c r="AA221">
        <v>12.165305999999999</v>
      </c>
      <c r="AB221">
        <v>11.372722</v>
      </c>
      <c r="AC221">
        <v>9.9768729999999994</v>
      </c>
      <c r="AD221">
        <v>11.896667000000001</v>
      </c>
      <c r="AE221">
        <v>13.570092000000001</v>
      </c>
      <c r="AF221">
        <v>11.753596999999999</v>
      </c>
      <c r="AG221">
        <v>11.670151000000001</v>
      </c>
    </row>
    <row r="222" spans="1:33" x14ac:dyDescent="0.25">
      <c r="A222" s="1">
        <v>44273</v>
      </c>
      <c r="B222">
        <v>11.074258</v>
      </c>
      <c r="C222">
        <v>11.560376</v>
      </c>
      <c r="D222">
        <v>11.096648999999999</v>
      </c>
      <c r="E222">
        <v>10.954827</v>
      </c>
      <c r="F222">
        <v>11.5156355</v>
      </c>
      <c r="G222">
        <v>11.586169999999999</v>
      </c>
      <c r="H222">
        <v>11.273758000000001</v>
      </c>
      <c r="I222">
        <v>11.223641000000001</v>
      </c>
      <c r="J222">
        <v>11.147760999999999</v>
      </c>
      <c r="K222">
        <v>11.786018</v>
      </c>
      <c r="L222">
        <v>11.916516</v>
      </c>
      <c r="M222">
        <v>11.566967999999999</v>
      </c>
      <c r="N222">
        <v>11.629317</v>
      </c>
      <c r="O222">
        <v>11.916582999999999</v>
      </c>
      <c r="P222">
        <v>11.764711999999999</v>
      </c>
      <c r="Q222">
        <v>11.570332000000001</v>
      </c>
      <c r="R222">
        <v>11.922164</v>
      </c>
      <c r="S222">
        <v>9.3415009999999992</v>
      </c>
      <c r="T222">
        <v>11.522265000000001</v>
      </c>
      <c r="U222">
        <v>12.08662</v>
      </c>
      <c r="V222">
        <v>11.729385000000001</v>
      </c>
      <c r="W222">
        <v>11.910354</v>
      </c>
      <c r="X222">
        <v>11.744462</v>
      </c>
      <c r="Y222">
        <v>11.238908</v>
      </c>
      <c r="Z222">
        <v>12.064643999999999</v>
      </c>
      <c r="AA222">
        <v>12.289835999999999</v>
      </c>
      <c r="AB222">
        <v>11.601513000000001</v>
      </c>
      <c r="AC222">
        <v>10.045944</v>
      </c>
      <c r="AD222">
        <v>11.962047</v>
      </c>
      <c r="AE222">
        <v>14.156385999999999</v>
      </c>
      <c r="AF222">
        <v>11.769244</v>
      </c>
      <c r="AG222">
        <v>11.825559</v>
      </c>
    </row>
    <row r="223" spans="1:33" x14ac:dyDescent="0.25">
      <c r="A223" s="1">
        <v>44274</v>
      </c>
      <c r="B223">
        <v>11.359748</v>
      </c>
      <c r="C223">
        <v>11.6889105</v>
      </c>
      <c r="D223">
        <v>11.292973</v>
      </c>
      <c r="E223">
        <v>11.050853999999999</v>
      </c>
      <c r="F223">
        <v>11.703711999999999</v>
      </c>
      <c r="G223">
        <v>11.613678</v>
      </c>
      <c r="H223">
        <v>11.461823000000001</v>
      </c>
      <c r="I223">
        <v>11.723153</v>
      </c>
      <c r="J223">
        <v>11.345746</v>
      </c>
      <c r="K223">
        <v>11.8167305</v>
      </c>
      <c r="L223">
        <v>11.973452999999999</v>
      </c>
      <c r="M223">
        <v>11.609080000000001</v>
      </c>
      <c r="N223">
        <v>11.631050999999999</v>
      </c>
      <c r="O223">
        <v>11.964727999999999</v>
      </c>
      <c r="P223">
        <v>11.77417</v>
      </c>
      <c r="Q223">
        <v>11.591056999999999</v>
      </c>
      <c r="R223">
        <v>11.95966</v>
      </c>
      <c r="S223">
        <v>9.727525</v>
      </c>
      <c r="T223">
        <v>11.602523</v>
      </c>
      <c r="U223">
        <v>12.179114999999999</v>
      </c>
      <c r="V223">
        <v>11.756800999999999</v>
      </c>
      <c r="W223">
        <v>12.071479</v>
      </c>
      <c r="X223">
        <v>11.79885</v>
      </c>
      <c r="Y223">
        <v>11.307143999999999</v>
      </c>
      <c r="Z223">
        <v>12.152519</v>
      </c>
      <c r="AA223">
        <v>12.324566000000001</v>
      </c>
      <c r="AB223">
        <v>11.692798</v>
      </c>
      <c r="AC223">
        <v>10.450082</v>
      </c>
      <c r="AD223">
        <v>12.006119</v>
      </c>
      <c r="AE223">
        <v>14.828780999999999</v>
      </c>
      <c r="AF223">
        <v>11.803589000000001</v>
      </c>
      <c r="AG223">
        <v>12.040429</v>
      </c>
    </row>
    <row r="224" spans="1:33" x14ac:dyDescent="0.25">
      <c r="A224" s="1">
        <v>44275</v>
      </c>
      <c r="B224">
        <v>11.298999</v>
      </c>
      <c r="C224">
        <v>11.643352500000001</v>
      </c>
      <c r="D224">
        <v>11.370055000000001</v>
      </c>
      <c r="E224">
        <v>11.041907</v>
      </c>
      <c r="F224">
        <v>11.627307</v>
      </c>
      <c r="G224">
        <v>11.700336</v>
      </c>
      <c r="H224">
        <v>11.559089999999999</v>
      </c>
      <c r="I224">
        <v>12.021386</v>
      </c>
      <c r="J224">
        <v>11.225536999999999</v>
      </c>
      <c r="K224">
        <v>11.802846000000001</v>
      </c>
      <c r="L224">
        <v>11.921215</v>
      </c>
      <c r="M224">
        <v>11.628788</v>
      </c>
      <c r="N224">
        <v>11.632279</v>
      </c>
      <c r="O224">
        <v>11.912736000000001</v>
      </c>
      <c r="P224">
        <v>11.744147</v>
      </c>
      <c r="Q224">
        <v>11.643276999999999</v>
      </c>
      <c r="R224">
        <v>11.982562</v>
      </c>
      <c r="S224">
        <v>9.8603249999999996</v>
      </c>
      <c r="T224">
        <v>11.703416000000001</v>
      </c>
      <c r="U224">
        <v>12.170564000000001</v>
      </c>
      <c r="V224">
        <v>12.057817999999999</v>
      </c>
      <c r="W224">
        <v>12.076383</v>
      </c>
      <c r="X224">
        <v>12.12753</v>
      </c>
      <c r="Y224">
        <v>11.275242</v>
      </c>
      <c r="Z224">
        <v>12.098903</v>
      </c>
      <c r="AA224">
        <v>12.226032</v>
      </c>
      <c r="AB224">
        <v>11.634174</v>
      </c>
      <c r="AC224">
        <v>10.696723</v>
      </c>
      <c r="AD224">
        <v>12.008254000000001</v>
      </c>
      <c r="AE224">
        <v>14.601067</v>
      </c>
      <c r="AF224">
        <v>11.738856</v>
      </c>
      <c r="AG224">
        <v>11.934146</v>
      </c>
    </row>
    <row r="225" spans="1:33" x14ac:dyDescent="0.25">
      <c r="A225" s="1">
        <v>44276</v>
      </c>
      <c r="B225">
        <v>11.344893000000001</v>
      </c>
      <c r="C225">
        <v>11.763972000000001</v>
      </c>
      <c r="D225">
        <v>11.454853999999999</v>
      </c>
      <c r="E225">
        <v>11.146747</v>
      </c>
      <c r="F225">
        <v>11.794594</v>
      </c>
      <c r="G225">
        <v>11.753856000000001</v>
      </c>
      <c r="H225">
        <v>11.769268</v>
      </c>
      <c r="I225">
        <v>12.400055</v>
      </c>
      <c r="J225">
        <v>11.384109</v>
      </c>
      <c r="K225">
        <v>11.941046999999999</v>
      </c>
      <c r="L225">
        <v>12.04523</v>
      </c>
      <c r="M225">
        <v>11.708855</v>
      </c>
      <c r="N225">
        <v>11.750569</v>
      </c>
      <c r="O225">
        <v>12.071567</v>
      </c>
      <c r="P225">
        <v>11.868537</v>
      </c>
      <c r="Q225">
        <v>11.732089999999999</v>
      </c>
      <c r="R225">
        <v>12.108321</v>
      </c>
      <c r="S225">
        <v>10.12862</v>
      </c>
      <c r="T225">
        <v>11.930457000000001</v>
      </c>
      <c r="U225">
        <v>12.271851</v>
      </c>
      <c r="V225">
        <v>12.2597275</v>
      </c>
      <c r="W225">
        <v>12.124215</v>
      </c>
      <c r="X225">
        <v>12.229393999999999</v>
      </c>
      <c r="Y225">
        <v>11.474930000000001</v>
      </c>
      <c r="Z225">
        <v>12.165043000000001</v>
      </c>
      <c r="AA225">
        <v>12.302222</v>
      </c>
      <c r="AB225">
        <v>11.743366</v>
      </c>
      <c r="AC225">
        <v>11.029583000000001</v>
      </c>
      <c r="AD225">
        <v>12.127993999999999</v>
      </c>
      <c r="AE225">
        <v>14.769288</v>
      </c>
      <c r="AF225">
        <v>11.827667</v>
      </c>
      <c r="AG225">
        <v>12.08427</v>
      </c>
    </row>
    <row r="226" spans="1:33" x14ac:dyDescent="0.25">
      <c r="A226" s="1">
        <v>44277</v>
      </c>
      <c r="B226">
        <v>11.708333</v>
      </c>
      <c r="C226">
        <v>12.002876000000001</v>
      </c>
      <c r="D226">
        <v>11.708814</v>
      </c>
      <c r="E226">
        <v>11.508462</v>
      </c>
      <c r="F226">
        <v>11.965329000000001</v>
      </c>
      <c r="G226">
        <v>11.912750000000001</v>
      </c>
      <c r="H226">
        <v>11.966193000000001</v>
      </c>
      <c r="I226">
        <v>12.573255</v>
      </c>
      <c r="J226">
        <v>11.737553</v>
      </c>
      <c r="K226">
        <v>12.185337000000001</v>
      </c>
      <c r="L226">
        <v>12.262055</v>
      </c>
      <c r="M226">
        <v>11.861670999999999</v>
      </c>
      <c r="N226">
        <v>11.978057</v>
      </c>
      <c r="O226">
        <v>12.285094000000001</v>
      </c>
      <c r="P226">
        <v>12.097498999999999</v>
      </c>
      <c r="Q226">
        <v>11.925841</v>
      </c>
      <c r="R226">
        <v>12.335704</v>
      </c>
      <c r="S226">
        <v>10.229564999999999</v>
      </c>
      <c r="T226">
        <v>12.216968</v>
      </c>
      <c r="U226">
        <v>12.481971</v>
      </c>
      <c r="V226">
        <v>12.398884000000001</v>
      </c>
      <c r="W226">
        <v>12.544041999999999</v>
      </c>
      <c r="X226">
        <v>12.379234</v>
      </c>
      <c r="Y226">
        <v>11.827351999999999</v>
      </c>
      <c r="Z226">
        <v>12.372695999999999</v>
      </c>
      <c r="AA226">
        <v>12.5386305</v>
      </c>
      <c r="AB226">
        <v>11.999542</v>
      </c>
      <c r="AC226">
        <v>11.363403999999999</v>
      </c>
      <c r="AD226">
        <v>12.333909</v>
      </c>
      <c r="AE226">
        <v>15.087224000000001</v>
      </c>
      <c r="AF226">
        <v>11.986522000000001</v>
      </c>
      <c r="AG226">
        <v>12.481730000000001</v>
      </c>
    </row>
    <row r="227" spans="1:33" x14ac:dyDescent="0.25">
      <c r="A227" s="1">
        <v>44278</v>
      </c>
      <c r="B227">
        <v>11.623851999999999</v>
      </c>
      <c r="C227">
        <v>12.054531000000001</v>
      </c>
      <c r="D227">
        <v>11.827747</v>
      </c>
      <c r="E227">
        <v>11.695816000000001</v>
      </c>
      <c r="F227">
        <v>12.014535</v>
      </c>
      <c r="G227">
        <v>12.029813000000001</v>
      </c>
      <c r="H227">
        <v>12.020239999999999</v>
      </c>
      <c r="I227">
        <v>12.465249</v>
      </c>
      <c r="J227">
        <v>11.788074999999999</v>
      </c>
      <c r="K227">
        <v>12.26826</v>
      </c>
      <c r="L227">
        <v>12.326636000000001</v>
      </c>
      <c r="M227">
        <v>11.986323000000001</v>
      </c>
      <c r="N227">
        <v>12.137845</v>
      </c>
      <c r="O227">
        <v>12.375775000000001</v>
      </c>
      <c r="P227">
        <v>12.216498</v>
      </c>
      <c r="Q227">
        <v>12.0766945</v>
      </c>
      <c r="R227">
        <v>12.361841999999999</v>
      </c>
      <c r="S227">
        <v>10.689705</v>
      </c>
      <c r="T227">
        <v>12.336594</v>
      </c>
      <c r="U227">
        <v>12.5683565</v>
      </c>
      <c r="V227">
        <v>12.376379999999999</v>
      </c>
      <c r="W227">
        <v>12.998355999999999</v>
      </c>
      <c r="X227">
        <v>12.399058</v>
      </c>
      <c r="Y227">
        <v>12.108589</v>
      </c>
      <c r="Z227">
        <v>12.386208999999999</v>
      </c>
      <c r="AA227">
        <v>12.67459</v>
      </c>
      <c r="AB227">
        <v>12.240753</v>
      </c>
      <c r="AC227">
        <v>11.424369</v>
      </c>
      <c r="AD227">
        <v>12.433358</v>
      </c>
      <c r="AE227">
        <v>14.812459</v>
      </c>
      <c r="AF227">
        <v>12.144589</v>
      </c>
      <c r="AG227">
        <v>12.5924</v>
      </c>
    </row>
    <row r="228" spans="1:33" x14ac:dyDescent="0.25">
      <c r="A228" s="1">
        <v>44279</v>
      </c>
      <c r="B228">
        <v>11.782543</v>
      </c>
      <c r="C228">
        <v>12.077285</v>
      </c>
      <c r="D228">
        <v>11.93885</v>
      </c>
      <c r="E228">
        <v>11.954281</v>
      </c>
      <c r="F228">
        <v>12.125251</v>
      </c>
      <c r="G228">
        <v>12.081768</v>
      </c>
      <c r="H228">
        <v>12.195118000000001</v>
      </c>
      <c r="I228">
        <v>12.104435</v>
      </c>
      <c r="J228">
        <v>11.437545999999999</v>
      </c>
      <c r="K228">
        <v>12.285126999999999</v>
      </c>
      <c r="L228">
        <v>12.395386999999999</v>
      </c>
      <c r="M228">
        <v>12.069049</v>
      </c>
      <c r="N228">
        <v>12.198527</v>
      </c>
      <c r="O228">
        <v>12.422333999999999</v>
      </c>
      <c r="P228">
        <v>12.208126999999999</v>
      </c>
      <c r="Q228">
        <v>12.123431</v>
      </c>
      <c r="R228">
        <v>12.441205</v>
      </c>
      <c r="S228">
        <v>10.514874000000001</v>
      </c>
      <c r="T228">
        <v>12.407085</v>
      </c>
      <c r="U228">
        <v>12.488659999999999</v>
      </c>
      <c r="V228">
        <v>12.639335000000001</v>
      </c>
      <c r="W228">
        <v>12.970333999999999</v>
      </c>
      <c r="X228">
        <v>12.702797</v>
      </c>
      <c r="Y228">
        <v>12.173980999999999</v>
      </c>
      <c r="Z228">
        <v>12.295177000000001</v>
      </c>
      <c r="AA228">
        <v>12.676185</v>
      </c>
      <c r="AB228">
        <v>12.287573999999999</v>
      </c>
      <c r="AC228">
        <v>11.368990999999999</v>
      </c>
      <c r="AD228">
        <v>12.460582</v>
      </c>
      <c r="AE228">
        <v>14.782456</v>
      </c>
      <c r="AF228">
        <v>12.216687</v>
      </c>
      <c r="AG228">
        <v>12.615302</v>
      </c>
    </row>
    <row r="229" spans="1:33" x14ac:dyDescent="0.25">
      <c r="A229" s="1">
        <v>44280</v>
      </c>
      <c r="B229">
        <v>12.145852</v>
      </c>
      <c r="C229">
        <v>12.302554000000001</v>
      </c>
      <c r="D229">
        <v>12.2248535</v>
      </c>
      <c r="E229">
        <v>12.321522</v>
      </c>
      <c r="F229">
        <v>12.276942</v>
      </c>
      <c r="G229">
        <v>12.2020035</v>
      </c>
      <c r="H229">
        <v>12.296566</v>
      </c>
      <c r="I229">
        <v>12.321376000000001</v>
      </c>
      <c r="J229">
        <v>11.808723000000001</v>
      </c>
      <c r="K229">
        <v>12.486286</v>
      </c>
      <c r="L229">
        <v>12.635533000000001</v>
      </c>
      <c r="M229">
        <v>12.208622</v>
      </c>
      <c r="N229">
        <v>12.446925999999999</v>
      </c>
      <c r="O229">
        <v>12.611522000000001</v>
      </c>
      <c r="P229">
        <v>12.426038</v>
      </c>
      <c r="Q229">
        <v>12.272169999999999</v>
      </c>
      <c r="R229">
        <v>12.603878999999999</v>
      </c>
      <c r="S229">
        <v>10.748119000000001</v>
      </c>
      <c r="T229">
        <v>12.721265000000001</v>
      </c>
      <c r="U229">
        <v>12.788398000000001</v>
      </c>
      <c r="V229">
        <v>12.979984</v>
      </c>
      <c r="W229">
        <v>13.022408</v>
      </c>
      <c r="X229">
        <v>13.156928000000001</v>
      </c>
      <c r="Y229">
        <v>12.41586</v>
      </c>
      <c r="Z229">
        <v>12.555481</v>
      </c>
      <c r="AA229">
        <v>12.898574</v>
      </c>
      <c r="AB229">
        <v>12.525422000000001</v>
      </c>
      <c r="AC229">
        <v>11.769771</v>
      </c>
      <c r="AD229">
        <v>12.661916</v>
      </c>
      <c r="AE229">
        <v>15.439318999999999</v>
      </c>
      <c r="AF229">
        <v>12.483025</v>
      </c>
      <c r="AG229">
        <v>12.887553</v>
      </c>
    </row>
    <row r="230" spans="1:33" x14ac:dyDescent="0.25">
      <c r="A230" s="1">
        <v>44281</v>
      </c>
      <c r="B230">
        <v>12.512176</v>
      </c>
      <c r="C230">
        <v>12.406677</v>
      </c>
      <c r="D230">
        <v>12.463554</v>
      </c>
      <c r="E230">
        <v>12.583641999999999</v>
      </c>
      <c r="F230">
        <v>12.40517</v>
      </c>
      <c r="G230">
        <v>12.357442000000001</v>
      </c>
      <c r="H230">
        <v>12.553145000000001</v>
      </c>
      <c r="I230">
        <v>12.405704500000001</v>
      </c>
      <c r="J230">
        <v>11.975509000000001</v>
      </c>
      <c r="K230">
        <v>12.590173</v>
      </c>
      <c r="L230">
        <v>12.750337</v>
      </c>
      <c r="M230">
        <v>12.380516</v>
      </c>
      <c r="N230">
        <v>12.564292999999999</v>
      </c>
      <c r="O230">
        <v>12.755591000000001</v>
      </c>
      <c r="P230">
        <v>12.547653</v>
      </c>
      <c r="Q230">
        <v>12.398776</v>
      </c>
      <c r="R230">
        <v>12.726111</v>
      </c>
      <c r="S230">
        <v>11.079147000000001</v>
      </c>
      <c r="T230">
        <v>12.904427</v>
      </c>
      <c r="U230">
        <v>12.923337</v>
      </c>
      <c r="V230">
        <v>13.118522</v>
      </c>
      <c r="W230">
        <v>13.446664</v>
      </c>
      <c r="X230">
        <v>13.168778</v>
      </c>
      <c r="Y230">
        <v>12.582943999999999</v>
      </c>
      <c r="Z230">
        <v>12.658765000000001</v>
      </c>
      <c r="AA230">
        <v>13.111431</v>
      </c>
      <c r="AB230">
        <v>12.726430000000001</v>
      </c>
      <c r="AC230">
        <v>11.944291</v>
      </c>
      <c r="AD230">
        <v>12.793792</v>
      </c>
      <c r="AE230">
        <v>15.633762000000001</v>
      </c>
      <c r="AF230">
        <v>12.681259000000001</v>
      </c>
      <c r="AG230">
        <v>13.070052</v>
      </c>
    </row>
    <row r="231" spans="1:33" x14ac:dyDescent="0.25">
      <c r="A231" s="1">
        <v>44282</v>
      </c>
      <c r="B231">
        <v>13.085326</v>
      </c>
      <c r="C231">
        <v>12.745754</v>
      </c>
      <c r="D231">
        <v>12.82516</v>
      </c>
      <c r="E231">
        <v>12.922666</v>
      </c>
      <c r="F231">
        <v>12.760090999999999</v>
      </c>
      <c r="G231">
        <v>12.590336000000001</v>
      </c>
      <c r="H231">
        <v>12.785916</v>
      </c>
      <c r="I231">
        <v>12.835915999999999</v>
      </c>
      <c r="J231">
        <v>12.467681000000001</v>
      </c>
      <c r="K231">
        <v>12.881263000000001</v>
      </c>
      <c r="L231">
        <v>13.041508</v>
      </c>
      <c r="M231">
        <v>12.653267</v>
      </c>
      <c r="N231">
        <v>12.913093</v>
      </c>
      <c r="O231">
        <v>13.089703999999999</v>
      </c>
      <c r="P231">
        <v>12.845291</v>
      </c>
      <c r="Q231">
        <v>12.6528425</v>
      </c>
      <c r="R231">
        <v>13.021378</v>
      </c>
      <c r="S231">
        <v>11.358456</v>
      </c>
      <c r="T231">
        <v>13.184402</v>
      </c>
      <c r="U231">
        <v>13.296087999999999</v>
      </c>
      <c r="V231">
        <v>13.366244</v>
      </c>
      <c r="W231">
        <v>13.914353</v>
      </c>
      <c r="X231">
        <v>13.424277</v>
      </c>
      <c r="Y231">
        <v>12.899713</v>
      </c>
      <c r="Z231">
        <v>13.004085999999999</v>
      </c>
      <c r="AA231">
        <v>13.412514</v>
      </c>
      <c r="AB231">
        <v>13.020127</v>
      </c>
      <c r="AC231">
        <v>12.348922</v>
      </c>
      <c r="AD231">
        <v>13.053036000000001</v>
      </c>
      <c r="AE231">
        <v>16.45007</v>
      </c>
      <c r="AF231">
        <v>12.931343</v>
      </c>
      <c r="AG231">
        <v>13.410232000000001</v>
      </c>
    </row>
    <row r="232" spans="1:33" x14ac:dyDescent="0.25">
      <c r="A232" s="1">
        <v>44283</v>
      </c>
      <c r="B232">
        <v>13.561639</v>
      </c>
      <c r="C232">
        <v>13.081759</v>
      </c>
      <c r="D232">
        <v>13.204259</v>
      </c>
      <c r="E232">
        <v>13.272634</v>
      </c>
      <c r="F232">
        <v>13.064906000000001</v>
      </c>
      <c r="G232">
        <v>12.910416</v>
      </c>
      <c r="H232">
        <v>12.9900255</v>
      </c>
      <c r="I232">
        <v>13.273141000000001</v>
      </c>
      <c r="J232">
        <v>13.245616</v>
      </c>
      <c r="K232">
        <v>13.273009</v>
      </c>
      <c r="L232">
        <v>13.411777000000001</v>
      </c>
      <c r="M232">
        <v>12.988257000000001</v>
      </c>
      <c r="N232">
        <v>13.290927999999999</v>
      </c>
      <c r="O232">
        <v>13.430932</v>
      </c>
      <c r="P232">
        <v>13.239815999999999</v>
      </c>
      <c r="Q232">
        <v>12.985326000000001</v>
      </c>
      <c r="R232">
        <v>13.319661</v>
      </c>
      <c r="S232">
        <v>12.182632999999999</v>
      </c>
      <c r="T232">
        <v>13.601044</v>
      </c>
      <c r="U232">
        <v>13.793911</v>
      </c>
      <c r="V232">
        <v>13.922005</v>
      </c>
      <c r="W232">
        <v>14.246582999999999</v>
      </c>
      <c r="X232">
        <v>14.098026000000001</v>
      </c>
      <c r="Y232">
        <v>13.433045</v>
      </c>
      <c r="Z232">
        <v>13.549561499999999</v>
      </c>
      <c r="AA232">
        <v>13.857085</v>
      </c>
      <c r="AB232">
        <v>13.51937</v>
      </c>
      <c r="AC232">
        <v>13.065937999999999</v>
      </c>
      <c r="AD232">
        <v>13.411386</v>
      </c>
      <c r="AE232">
        <v>17.421987999999999</v>
      </c>
      <c r="AF232">
        <v>13.286818500000001</v>
      </c>
      <c r="AG232">
        <v>13.905797</v>
      </c>
    </row>
    <row r="233" spans="1:33" x14ac:dyDescent="0.25">
      <c r="A233" s="1">
        <v>44284</v>
      </c>
      <c r="B233">
        <v>13.828958</v>
      </c>
      <c r="C233">
        <v>13.261575000000001</v>
      </c>
      <c r="D233">
        <v>13.401891000000001</v>
      </c>
      <c r="E233">
        <v>13.487686999999999</v>
      </c>
      <c r="F233">
        <v>13.270981000000001</v>
      </c>
      <c r="G233">
        <v>13.180903000000001</v>
      </c>
      <c r="H233">
        <v>13.139637</v>
      </c>
      <c r="I233">
        <v>13.460431</v>
      </c>
      <c r="J233">
        <v>13.719068</v>
      </c>
      <c r="K233">
        <v>13.5394945</v>
      </c>
      <c r="L233">
        <v>13.704055</v>
      </c>
      <c r="M233">
        <v>13.241709999999999</v>
      </c>
      <c r="N233">
        <v>13.514905000000001</v>
      </c>
      <c r="O233">
        <v>13.585895000000001</v>
      </c>
      <c r="P233">
        <v>13.516902999999999</v>
      </c>
      <c r="Q233">
        <v>13.231966999999999</v>
      </c>
      <c r="R233">
        <v>13.496934</v>
      </c>
      <c r="S233">
        <v>12.467147000000001</v>
      </c>
      <c r="T233">
        <v>13.872802999999999</v>
      </c>
      <c r="U233">
        <v>14.1914835</v>
      </c>
      <c r="V233">
        <v>14.224463999999999</v>
      </c>
      <c r="W233">
        <v>14.700557</v>
      </c>
      <c r="X233">
        <v>14.443542000000001</v>
      </c>
      <c r="Y233">
        <v>13.829943999999999</v>
      </c>
      <c r="Z233">
        <v>14.000665</v>
      </c>
      <c r="AA233">
        <v>14.236288999999999</v>
      </c>
      <c r="AB233">
        <v>13.908061999999999</v>
      </c>
      <c r="AC233">
        <v>13.523133</v>
      </c>
      <c r="AD233">
        <v>13.710625</v>
      </c>
      <c r="AE233">
        <v>17.885954000000002</v>
      </c>
      <c r="AF233">
        <v>13.606185999999999</v>
      </c>
      <c r="AG233">
        <v>14.185639</v>
      </c>
    </row>
    <row r="234" spans="1:33" x14ac:dyDescent="0.25">
      <c r="A234" s="1">
        <v>44285</v>
      </c>
      <c r="B234">
        <v>13.744691</v>
      </c>
      <c r="C234">
        <v>13.389113999999999</v>
      </c>
      <c r="D234">
        <v>13.277626</v>
      </c>
      <c r="E234">
        <v>13.472533</v>
      </c>
      <c r="F234">
        <v>13.471629999999999</v>
      </c>
      <c r="G234">
        <v>13.354958999999999</v>
      </c>
      <c r="H234">
        <v>13.27007</v>
      </c>
      <c r="I234">
        <v>13.658792999999999</v>
      </c>
      <c r="J234">
        <v>13.616936000000001</v>
      </c>
      <c r="K234">
        <v>13.550693000000001</v>
      </c>
      <c r="L234">
        <v>13.763728</v>
      </c>
      <c r="M234">
        <v>13.393635</v>
      </c>
      <c r="N234">
        <v>13.520606000000001</v>
      </c>
      <c r="O234">
        <v>13.566440999999999</v>
      </c>
      <c r="P234">
        <v>13.556709</v>
      </c>
      <c r="Q234">
        <v>13.353721999999999</v>
      </c>
      <c r="R234">
        <v>13.520580000000001</v>
      </c>
      <c r="S234">
        <v>12.074229000000001</v>
      </c>
      <c r="T234">
        <v>13.688503000000001</v>
      </c>
      <c r="U234">
        <v>14.053285000000001</v>
      </c>
      <c r="V234">
        <v>14.047376</v>
      </c>
      <c r="W234">
        <v>14.7955065</v>
      </c>
      <c r="X234">
        <v>14.217466999999999</v>
      </c>
      <c r="Y234">
        <v>13.952640000000001</v>
      </c>
      <c r="Z234">
        <v>14.0371275</v>
      </c>
      <c r="AA234">
        <v>14.360493999999999</v>
      </c>
      <c r="AB234">
        <v>14.023135</v>
      </c>
      <c r="AC234">
        <v>13.685625999999999</v>
      </c>
      <c r="AD234">
        <v>13.791482</v>
      </c>
      <c r="AE234">
        <v>17.036455</v>
      </c>
      <c r="AF234">
        <v>13.783333000000001</v>
      </c>
      <c r="AG234">
        <v>14.13485</v>
      </c>
    </row>
    <row r="235" spans="1:33" x14ac:dyDescent="0.25">
      <c r="A235" s="1">
        <v>44286</v>
      </c>
      <c r="B235">
        <v>14.04813</v>
      </c>
      <c r="C235">
        <v>13.6833315</v>
      </c>
      <c r="D235">
        <v>13.294211000000001</v>
      </c>
      <c r="E235">
        <v>13.597564</v>
      </c>
      <c r="F235">
        <v>13.798522999999999</v>
      </c>
      <c r="G235">
        <v>13.5965185</v>
      </c>
      <c r="H235">
        <v>13.388114</v>
      </c>
      <c r="I235">
        <v>14.13129</v>
      </c>
      <c r="J235">
        <v>14.031696</v>
      </c>
      <c r="K235">
        <v>13.798767</v>
      </c>
      <c r="L235">
        <v>14.051871</v>
      </c>
      <c r="M235">
        <v>13.635045</v>
      </c>
      <c r="N235">
        <v>13.751633</v>
      </c>
      <c r="O235">
        <v>13.904812</v>
      </c>
      <c r="P235">
        <v>13.787959000000001</v>
      </c>
      <c r="Q235">
        <v>13.585739</v>
      </c>
      <c r="R235">
        <v>13.812963999999999</v>
      </c>
      <c r="S235">
        <v>12.146302</v>
      </c>
      <c r="T235">
        <v>13.912982</v>
      </c>
      <c r="U235">
        <v>14.308028999999999</v>
      </c>
      <c r="V235">
        <v>14.418476999999999</v>
      </c>
      <c r="W235">
        <v>15.046581</v>
      </c>
      <c r="X235">
        <v>14.69749</v>
      </c>
      <c r="Y235">
        <v>14.260934000000001</v>
      </c>
      <c r="Z235">
        <v>14.326484000000001</v>
      </c>
      <c r="AA235">
        <v>14.628180499999999</v>
      </c>
      <c r="AB235">
        <v>14.293837999999999</v>
      </c>
      <c r="AC235">
        <v>13.972566</v>
      </c>
      <c r="AD235">
        <v>14.028976</v>
      </c>
      <c r="AE235">
        <v>17.498263999999999</v>
      </c>
      <c r="AF235">
        <v>14.055425</v>
      </c>
      <c r="AG235">
        <v>14.442599</v>
      </c>
    </row>
    <row r="236" spans="1:33" x14ac:dyDescent="0.25">
      <c r="A236" s="1">
        <v>44287</v>
      </c>
      <c r="B236">
        <v>14.559751</v>
      </c>
      <c r="C236">
        <v>14.135821</v>
      </c>
      <c r="D236">
        <v>13.61576</v>
      </c>
      <c r="E236">
        <v>13.953637000000001</v>
      </c>
      <c r="F236">
        <v>14.28815</v>
      </c>
      <c r="G236">
        <v>13.979062000000001</v>
      </c>
      <c r="H236">
        <v>13.682902</v>
      </c>
      <c r="I236">
        <v>14.986038000000001</v>
      </c>
      <c r="J236">
        <v>14.859692000000001</v>
      </c>
      <c r="K236">
        <v>14.256194000000001</v>
      </c>
      <c r="L236">
        <v>14.485127</v>
      </c>
      <c r="M236">
        <v>14.0147505</v>
      </c>
      <c r="N236">
        <v>14.132419000000001</v>
      </c>
      <c r="O236">
        <v>14.358966000000001</v>
      </c>
      <c r="P236">
        <v>14.215665</v>
      </c>
      <c r="Q236">
        <v>13.975223</v>
      </c>
      <c r="R236">
        <v>14.230027</v>
      </c>
      <c r="S236">
        <v>13.085442</v>
      </c>
      <c r="T236">
        <v>14.475586</v>
      </c>
      <c r="U236">
        <v>14.881123000000001</v>
      </c>
      <c r="V236">
        <v>15.007558</v>
      </c>
      <c r="W236">
        <v>15.178895000000001</v>
      </c>
      <c r="X236">
        <v>15.3344965</v>
      </c>
      <c r="Y236">
        <v>14.90559</v>
      </c>
      <c r="Z236">
        <v>14.901126</v>
      </c>
      <c r="AA236">
        <v>15.156860999999999</v>
      </c>
      <c r="AB236">
        <v>14.888083999999999</v>
      </c>
      <c r="AC236">
        <v>14.532173999999999</v>
      </c>
      <c r="AD236">
        <v>14.425174999999999</v>
      </c>
      <c r="AE236">
        <v>18.674551000000001</v>
      </c>
      <c r="AF236">
        <v>14.444813</v>
      </c>
      <c r="AG236">
        <v>15.109375999999999</v>
      </c>
    </row>
    <row r="237" spans="1:33" x14ac:dyDescent="0.25">
      <c r="A237" s="1">
        <v>44288</v>
      </c>
      <c r="B237">
        <v>14.671372</v>
      </c>
      <c r="C237">
        <v>14.320518</v>
      </c>
      <c r="D237">
        <v>13.822210999999999</v>
      </c>
      <c r="E237">
        <v>14.128368</v>
      </c>
      <c r="F237">
        <v>14.423197999999999</v>
      </c>
      <c r="G237">
        <v>14.264901</v>
      </c>
      <c r="H237">
        <v>13.852254</v>
      </c>
      <c r="I237">
        <v>15.172984</v>
      </c>
      <c r="J237">
        <v>15.365691999999999</v>
      </c>
      <c r="K237">
        <v>14.611815999999999</v>
      </c>
      <c r="L237">
        <v>14.812588999999999</v>
      </c>
      <c r="M237">
        <v>14.263779</v>
      </c>
      <c r="N237">
        <v>14.387707000000001</v>
      </c>
      <c r="O237">
        <v>14.651740999999999</v>
      </c>
      <c r="P237">
        <v>14.546898000000001</v>
      </c>
      <c r="Q237">
        <v>14.261388</v>
      </c>
      <c r="R237">
        <v>14.549015000000001</v>
      </c>
      <c r="S237">
        <v>13.799896</v>
      </c>
      <c r="T237">
        <v>14.932876</v>
      </c>
      <c r="U237">
        <v>15.283842999999999</v>
      </c>
      <c r="V237">
        <v>15.391709000000001</v>
      </c>
      <c r="W237">
        <v>15.570943</v>
      </c>
      <c r="X237">
        <v>15.678008</v>
      </c>
      <c r="Y237">
        <v>15.493121</v>
      </c>
      <c r="Z237">
        <v>15.356318999999999</v>
      </c>
      <c r="AA237">
        <v>15.625774</v>
      </c>
      <c r="AB237">
        <v>15.455768000000001</v>
      </c>
      <c r="AC237">
        <v>15.016469000000001</v>
      </c>
      <c r="AD237">
        <v>14.784119</v>
      </c>
      <c r="AE237">
        <v>19.304527</v>
      </c>
      <c r="AF237">
        <v>14.799842999999999</v>
      </c>
      <c r="AG237">
        <v>15.598495</v>
      </c>
    </row>
    <row r="238" spans="1:33" x14ac:dyDescent="0.25">
      <c r="A238" s="1">
        <v>44289</v>
      </c>
      <c r="B238">
        <v>14.443294</v>
      </c>
      <c r="C238">
        <v>14.383770999999999</v>
      </c>
      <c r="D238">
        <v>13.894553</v>
      </c>
      <c r="E238">
        <v>14.115695000000001</v>
      </c>
      <c r="F238">
        <v>14.353467</v>
      </c>
      <c r="G238">
        <v>14.366078</v>
      </c>
      <c r="H238">
        <v>13.958043</v>
      </c>
      <c r="I238">
        <v>14.906527499999999</v>
      </c>
      <c r="J238">
        <v>15.145775</v>
      </c>
      <c r="K238">
        <v>14.685714000000001</v>
      </c>
      <c r="L238">
        <v>14.985541</v>
      </c>
      <c r="M238">
        <v>14.336717</v>
      </c>
      <c r="N238">
        <v>14.46313</v>
      </c>
      <c r="O238">
        <v>14.783080999999999</v>
      </c>
      <c r="P238">
        <v>14.623219000000001</v>
      </c>
      <c r="Q238">
        <v>14.361198</v>
      </c>
      <c r="R238">
        <v>14.737456</v>
      </c>
      <c r="S238">
        <v>13.733083000000001</v>
      </c>
      <c r="T238">
        <v>15.116719</v>
      </c>
      <c r="U238">
        <v>15.508224500000001</v>
      </c>
      <c r="V238">
        <v>15.39203</v>
      </c>
      <c r="W238">
        <v>15.934291999999999</v>
      </c>
      <c r="X238">
        <v>15.631351</v>
      </c>
      <c r="Y238">
        <v>15.856875</v>
      </c>
      <c r="Z238">
        <v>15.580857</v>
      </c>
      <c r="AA238">
        <v>15.919585</v>
      </c>
      <c r="AB238">
        <v>15.838596000000001</v>
      </c>
      <c r="AC238">
        <v>15.35228</v>
      </c>
      <c r="AD238">
        <v>14.997365</v>
      </c>
      <c r="AE238">
        <v>18.988980999999999</v>
      </c>
      <c r="AF238">
        <v>15.115383</v>
      </c>
      <c r="AG238">
        <v>15.921227</v>
      </c>
    </row>
    <row r="239" spans="1:33" x14ac:dyDescent="0.25">
      <c r="A239" s="1">
        <v>44290</v>
      </c>
      <c r="B239">
        <v>14.190941</v>
      </c>
      <c r="C239">
        <v>14.405595</v>
      </c>
      <c r="D239">
        <v>13.942989000000001</v>
      </c>
      <c r="E239">
        <v>14.112095</v>
      </c>
      <c r="F239">
        <v>14.268708</v>
      </c>
      <c r="G239">
        <v>14.372700999999999</v>
      </c>
      <c r="H239">
        <v>14.028076</v>
      </c>
      <c r="I239">
        <v>14.548168</v>
      </c>
      <c r="J239">
        <v>14.772854000000001</v>
      </c>
      <c r="K239">
        <v>14.719117000000001</v>
      </c>
      <c r="L239">
        <v>15.061368</v>
      </c>
      <c r="M239">
        <v>14.329079</v>
      </c>
      <c r="N239">
        <v>14.561446</v>
      </c>
      <c r="O239">
        <v>14.961544999999999</v>
      </c>
      <c r="P239">
        <v>14.65268</v>
      </c>
      <c r="Q239">
        <v>14.411007</v>
      </c>
      <c r="R239">
        <v>14.905404000000001</v>
      </c>
      <c r="S239">
        <v>13.301132000000001</v>
      </c>
      <c r="T239">
        <v>15.229742999999999</v>
      </c>
      <c r="U239">
        <v>15.643763999999999</v>
      </c>
      <c r="V239">
        <v>15.451161000000001</v>
      </c>
      <c r="W239">
        <v>15.917934000000001</v>
      </c>
      <c r="X239">
        <v>15.674941</v>
      </c>
      <c r="Y239">
        <v>15.979609999999999</v>
      </c>
      <c r="Z239">
        <v>15.698639999999999</v>
      </c>
      <c r="AA239">
        <v>16.101635000000002</v>
      </c>
      <c r="AB239">
        <v>16.019915000000001</v>
      </c>
      <c r="AC239">
        <v>15.386243</v>
      </c>
      <c r="AD239">
        <v>15.153769499999999</v>
      </c>
      <c r="AE239">
        <v>18.335957000000001</v>
      </c>
      <c r="AF239">
        <v>15.399352</v>
      </c>
      <c r="AG239">
        <v>16.123305999999999</v>
      </c>
    </row>
    <row r="240" spans="1:33" x14ac:dyDescent="0.25">
      <c r="A240" s="1">
        <v>44291</v>
      </c>
      <c r="B240">
        <v>14.27229</v>
      </c>
      <c r="C240">
        <v>14.465306</v>
      </c>
      <c r="D240">
        <v>14.06889</v>
      </c>
      <c r="E240">
        <v>14.269805</v>
      </c>
      <c r="F240">
        <v>14.281789</v>
      </c>
      <c r="G240">
        <v>14.37317</v>
      </c>
      <c r="H240">
        <v>14.124302999999999</v>
      </c>
      <c r="I240">
        <v>14.321273</v>
      </c>
      <c r="J240">
        <v>14.594571</v>
      </c>
      <c r="K240">
        <v>14.780761999999999</v>
      </c>
      <c r="L240">
        <v>15.112595000000001</v>
      </c>
      <c r="M240">
        <v>14.337745</v>
      </c>
      <c r="N240">
        <v>14.646955</v>
      </c>
      <c r="O240">
        <v>15.021103</v>
      </c>
      <c r="P240">
        <v>14.709987999999999</v>
      </c>
      <c r="Q240">
        <v>14.45003</v>
      </c>
      <c r="R240">
        <v>15.002045000000001</v>
      </c>
      <c r="S240">
        <v>13.0226965</v>
      </c>
      <c r="T240">
        <v>15.317138999999999</v>
      </c>
      <c r="U240">
        <v>15.678065</v>
      </c>
      <c r="V240">
        <v>15.521164000000001</v>
      </c>
      <c r="W240">
        <v>15.99408</v>
      </c>
      <c r="X240">
        <v>15.801334000000001</v>
      </c>
      <c r="Y240">
        <v>15.940421000000001</v>
      </c>
      <c r="Z240">
        <v>15.698124</v>
      </c>
      <c r="AA240">
        <v>16.203385999999998</v>
      </c>
      <c r="AB240">
        <v>16.013559999999998</v>
      </c>
      <c r="AC240">
        <v>15.250282</v>
      </c>
      <c r="AD240">
        <v>15.261744999999999</v>
      </c>
      <c r="AE240">
        <v>18.215516999999998</v>
      </c>
      <c r="AF240">
        <v>15.677714</v>
      </c>
      <c r="AG240">
        <v>16.256891</v>
      </c>
    </row>
    <row r="241" spans="1:33" x14ac:dyDescent="0.25">
      <c r="A241" s="1">
        <v>44292</v>
      </c>
      <c r="B241">
        <v>14.525482</v>
      </c>
      <c r="C241">
        <v>14.583238</v>
      </c>
      <c r="D241">
        <v>14.285418999999999</v>
      </c>
      <c r="E241">
        <v>14.480327000000001</v>
      </c>
      <c r="F241">
        <v>14.365088</v>
      </c>
      <c r="G241">
        <v>14.424530000000001</v>
      </c>
      <c r="H241">
        <v>14.289021</v>
      </c>
      <c r="I241">
        <v>14.250892</v>
      </c>
      <c r="J241">
        <v>14.818115000000001</v>
      </c>
      <c r="K241">
        <v>14.99211</v>
      </c>
      <c r="L241">
        <v>15.341626</v>
      </c>
      <c r="M241">
        <v>14.434258</v>
      </c>
      <c r="N241">
        <v>14.845302</v>
      </c>
      <c r="O241">
        <v>15.2662</v>
      </c>
      <c r="P241">
        <v>14.910914</v>
      </c>
      <c r="Q241">
        <v>14.562976000000001</v>
      </c>
      <c r="R241">
        <v>15.220302</v>
      </c>
      <c r="S241">
        <v>13.03403</v>
      </c>
      <c r="T241">
        <v>15.495761</v>
      </c>
      <c r="U241">
        <v>15.800404</v>
      </c>
      <c r="V241">
        <v>15.716891</v>
      </c>
      <c r="W241">
        <v>16.100663999999998</v>
      </c>
      <c r="X241">
        <v>15.898820000000001</v>
      </c>
      <c r="Y241">
        <v>15.90898</v>
      </c>
      <c r="Z241">
        <v>15.778416</v>
      </c>
      <c r="AA241">
        <v>16.396954999999998</v>
      </c>
      <c r="AB241">
        <v>16.036451</v>
      </c>
      <c r="AC241">
        <v>14.9086075</v>
      </c>
      <c r="AD241">
        <v>15.445873000000001</v>
      </c>
      <c r="AE241">
        <v>18.42436</v>
      </c>
      <c r="AF241">
        <v>16.007691999999999</v>
      </c>
      <c r="AG241">
        <v>16.478725000000001</v>
      </c>
    </row>
    <row r="242" spans="1:33" x14ac:dyDescent="0.25">
      <c r="A242" s="1">
        <v>44293</v>
      </c>
      <c r="B242">
        <v>14.413226</v>
      </c>
      <c r="C242">
        <v>14.538921999999999</v>
      </c>
      <c r="D242">
        <v>14.401054999999999</v>
      </c>
      <c r="E242">
        <v>14.506634</v>
      </c>
      <c r="F242">
        <v>14.263379</v>
      </c>
      <c r="G242">
        <v>14.424447000000001</v>
      </c>
      <c r="H242">
        <v>14.335243</v>
      </c>
      <c r="I242">
        <v>13.891498</v>
      </c>
      <c r="J242">
        <v>14.855881</v>
      </c>
      <c r="K242">
        <v>15.031807000000001</v>
      </c>
      <c r="L242">
        <v>15.426848</v>
      </c>
      <c r="M242">
        <v>14.453563000000001</v>
      </c>
      <c r="N242">
        <v>14.906777</v>
      </c>
      <c r="O242">
        <v>15.331314000000001</v>
      </c>
      <c r="P242">
        <v>14.985799</v>
      </c>
      <c r="Q242">
        <v>14.587928</v>
      </c>
      <c r="R242">
        <v>15.272197999999999</v>
      </c>
      <c r="S242">
        <v>12.918362</v>
      </c>
      <c r="T242">
        <v>15.541007</v>
      </c>
      <c r="U242">
        <v>15.798645</v>
      </c>
      <c r="V242">
        <v>15.740669</v>
      </c>
      <c r="W242">
        <v>16.258220000000001</v>
      </c>
      <c r="X242">
        <v>15.900655</v>
      </c>
      <c r="Y242">
        <v>15.926913000000001</v>
      </c>
      <c r="Z242">
        <v>15.747627</v>
      </c>
      <c r="AA242">
        <v>16.581175000000002</v>
      </c>
      <c r="AB242">
        <v>16.049440000000001</v>
      </c>
      <c r="AC242">
        <v>14.6838455</v>
      </c>
      <c r="AD242">
        <v>15.560345</v>
      </c>
      <c r="AE242">
        <v>18.713835</v>
      </c>
      <c r="AF242">
        <v>16.283584999999999</v>
      </c>
      <c r="AG242">
        <v>16.531075000000001</v>
      </c>
    </row>
    <row r="243" spans="1:33" x14ac:dyDescent="0.25">
      <c r="A243" s="1">
        <v>44294</v>
      </c>
      <c r="B243">
        <v>14.3534775</v>
      </c>
      <c r="C243">
        <v>14.587159</v>
      </c>
      <c r="D243">
        <v>14.474935</v>
      </c>
      <c r="E243">
        <v>14.481583000000001</v>
      </c>
      <c r="F243">
        <v>14.231400499999999</v>
      </c>
      <c r="G243">
        <v>14.39753</v>
      </c>
      <c r="H243">
        <v>14.364776000000001</v>
      </c>
      <c r="I243">
        <v>13.475208</v>
      </c>
      <c r="J243">
        <v>14.811191000000001</v>
      </c>
      <c r="K243">
        <v>15.134435</v>
      </c>
      <c r="L243">
        <v>15.554048</v>
      </c>
      <c r="M243">
        <v>14.493188</v>
      </c>
      <c r="N243">
        <v>15.052737</v>
      </c>
      <c r="O243">
        <v>15.476513000000001</v>
      </c>
      <c r="P243">
        <v>15.076682999999999</v>
      </c>
      <c r="Q243">
        <v>14.598632</v>
      </c>
      <c r="R243">
        <v>15.425508000000001</v>
      </c>
      <c r="S243">
        <v>12.524964000000001</v>
      </c>
      <c r="T243">
        <v>15.505036</v>
      </c>
      <c r="U243">
        <v>15.816596000000001</v>
      </c>
      <c r="V243">
        <v>15.794789</v>
      </c>
      <c r="W243">
        <v>16.523402999999998</v>
      </c>
      <c r="X243">
        <v>15.913997</v>
      </c>
      <c r="Y243">
        <v>15.562602</v>
      </c>
      <c r="Z243">
        <v>15.686847</v>
      </c>
      <c r="AA243">
        <v>16.582308000000001</v>
      </c>
      <c r="AB243">
        <v>15.804947</v>
      </c>
      <c r="AC243">
        <v>14.250776999999999</v>
      </c>
      <c r="AD243">
        <v>15.670909999999999</v>
      </c>
      <c r="AE243">
        <v>18.323</v>
      </c>
      <c r="AF243">
        <v>16.473278000000001</v>
      </c>
      <c r="AG243">
        <v>16.348839999999999</v>
      </c>
    </row>
    <row r="244" spans="1:33" x14ac:dyDescent="0.25">
      <c r="A244" s="1">
        <v>44295</v>
      </c>
      <c r="B244">
        <v>14.600718499999999</v>
      </c>
      <c r="C244">
        <v>14.717324</v>
      </c>
      <c r="D244">
        <v>14.622261</v>
      </c>
      <c r="E244">
        <v>14.635064</v>
      </c>
      <c r="F244">
        <v>14.348079</v>
      </c>
      <c r="G244">
        <v>14.486646</v>
      </c>
      <c r="H244">
        <v>14.373633</v>
      </c>
      <c r="I244">
        <v>13.593147999999999</v>
      </c>
      <c r="J244">
        <v>15.153003</v>
      </c>
      <c r="K244">
        <v>15.277528</v>
      </c>
      <c r="L244">
        <v>15.741014</v>
      </c>
      <c r="M244">
        <v>14.577062</v>
      </c>
      <c r="N244">
        <v>15.187659</v>
      </c>
      <c r="O244">
        <v>15.649656999999999</v>
      </c>
      <c r="P244">
        <v>15.231149</v>
      </c>
      <c r="Q244">
        <v>14.684818</v>
      </c>
      <c r="R244">
        <v>15.548099499999999</v>
      </c>
      <c r="S244">
        <v>12.992786000000001</v>
      </c>
      <c r="T244">
        <v>15.601882</v>
      </c>
      <c r="U244">
        <v>16.019584999999999</v>
      </c>
      <c r="V244">
        <v>16.037966000000001</v>
      </c>
      <c r="W244">
        <v>16.658902999999999</v>
      </c>
      <c r="X244">
        <v>16.281782</v>
      </c>
      <c r="Y244">
        <v>15.597871</v>
      </c>
      <c r="Z244">
        <v>15.878202999999999</v>
      </c>
      <c r="AA244">
        <v>16.727674</v>
      </c>
      <c r="AB244">
        <v>15.835673</v>
      </c>
      <c r="AC244">
        <v>14.361806</v>
      </c>
      <c r="AD244">
        <v>15.841787999999999</v>
      </c>
      <c r="AE244">
        <v>18.396023</v>
      </c>
      <c r="AF244">
        <v>16.654586999999999</v>
      </c>
      <c r="AG244">
        <v>16.359141999999999</v>
      </c>
    </row>
    <row r="245" spans="1:33" x14ac:dyDescent="0.25">
      <c r="A245" s="1">
        <v>44296</v>
      </c>
      <c r="B245">
        <v>14.812519999999999</v>
      </c>
      <c r="C245">
        <v>14.766031999999999</v>
      </c>
      <c r="D245">
        <v>14.674892</v>
      </c>
      <c r="E245">
        <v>14.709915000000001</v>
      </c>
      <c r="F245">
        <v>14.411906999999999</v>
      </c>
      <c r="G245">
        <v>14.503738999999999</v>
      </c>
      <c r="H245">
        <v>14.357173</v>
      </c>
      <c r="I245">
        <v>13.605662000000001</v>
      </c>
      <c r="J245">
        <v>15.429479000000001</v>
      </c>
      <c r="K245">
        <v>15.434924000000001</v>
      </c>
      <c r="L245">
        <v>15.921060000000001</v>
      </c>
      <c r="M245">
        <v>14.629657</v>
      </c>
      <c r="N245">
        <v>15.290505</v>
      </c>
      <c r="O245">
        <v>15.825443999999999</v>
      </c>
      <c r="P245">
        <v>15.391593</v>
      </c>
      <c r="Q245">
        <v>14.720405</v>
      </c>
      <c r="R245">
        <v>15.724702000000001</v>
      </c>
      <c r="S245">
        <v>13.100773999999999</v>
      </c>
      <c r="T245">
        <v>15.769638</v>
      </c>
      <c r="U245">
        <v>16.229431000000002</v>
      </c>
      <c r="V245">
        <v>16.383413000000001</v>
      </c>
      <c r="W245">
        <v>16.832132000000001</v>
      </c>
      <c r="X245">
        <v>16.671396000000001</v>
      </c>
      <c r="Y245">
        <v>15.354077</v>
      </c>
      <c r="Z245">
        <v>16.060044999999999</v>
      </c>
      <c r="AA245">
        <v>16.813063</v>
      </c>
      <c r="AB245">
        <v>15.709388000000001</v>
      </c>
      <c r="AC245">
        <v>14.466206</v>
      </c>
      <c r="AD245">
        <v>16.024263000000001</v>
      </c>
      <c r="AE245">
        <v>18.248455</v>
      </c>
      <c r="AF245">
        <v>16.765781</v>
      </c>
      <c r="AG245">
        <v>16.281801000000002</v>
      </c>
    </row>
    <row r="246" spans="1:33" x14ac:dyDescent="0.25">
      <c r="A246" s="1">
        <v>44297</v>
      </c>
      <c r="B246">
        <v>15.339943</v>
      </c>
      <c r="C246">
        <v>15.102603999999999</v>
      </c>
      <c r="D246">
        <v>14.942966</v>
      </c>
      <c r="E246">
        <v>14.979827</v>
      </c>
      <c r="F246">
        <v>14.794755</v>
      </c>
      <c r="G246">
        <v>14.717195</v>
      </c>
      <c r="H246">
        <v>14.491654</v>
      </c>
      <c r="I246">
        <v>14.302944999999999</v>
      </c>
      <c r="J246">
        <v>15.934445</v>
      </c>
      <c r="K246">
        <v>15.681661</v>
      </c>
      <c r="L246">
        <v>16.169622</v>
      </c>
      <c r="M246">
        <v>14.849059</v>
      </c>
      <c r="N246">
        <v>15.527298</v>
      </c>
      <c r="O246">
        <v>16.067710000000002</v>
      </c>
      <c r="P246">
        <v>15.64331</v>
      </c>
      <c r="Q246">
        <v>14.908791000000001</v>
      </c>
      <c r="R246">
        <v>15.938141999999999</v>
      </c>
      <c r="S246">
        <v>13.7655525</v>
      </c>
      <c r="T246">
        <v>16.107503999999999</v>
      </c>
      <c r="U246">
        <v>16.63852</v>
      </c>
      <c r="V246">
        <v>16.681287999999999</v>
      </c>
      <c r="W246">
        <v>17.161805999999999</v>
      </c>
      <c r="X246">
        <v>16.991425</v>
      </c>
      <c r="Y246">
        <v>15.713286999999999</v>
      </c>
      <c r="Z246">
        <v>16.427544000000001</v>
      </c>
      <c r="AA246">
        <v>17.120504</v>
      </c>
      <c r="AB246">
        <v>16.031372000000001</v>
      </c>
      <c r="AC246">
        <v>14.901413</v>
      </c>
      <c r="AD246">
        <v>16.260591999999999</v>
      </c>
      <c r="AE246">
        <v>18.763680999999998</v>
      </c>
      <c r="AF246">
        <v>16.989011999999999</v>
      </c>
      <c r="AG246">
        <v>16.674741999999998</v>
      </c>
    </row>
    <row r="247" spans="1:33" x14ac:dyDescent="0.25">
      <c r="A247" s="1">
        <v>44298</v>
      </c>
      <c r="B247">
        <v>15.728184000000001</v>
      </c>
      <c r="C247">
        <v>15.318288000000001</v>
      </c>
      <c r="D247">
        <v>15.207592</v>
      </c>
      <c r="E247">
        <v>15.247021</v>
      </c>
      <c r="F247">
        <v>15.101193</v>
      </c>
      <c r="G247">
        <v>14.977619000000001</v>
      </c>
      <c r="H247">
        <v>14.638908000000001</v>
      </c>
      <c r="I247">
        <v>14.933665</v>
      </c>
      <c r="J247">
        <v>16.363325</v>
      </c>
      <c r="K247">
        <v>15.912601</v>
      </c>
      <c r="L247">
        <v>16.382856</v>
      </c>
      <c r="M247">
        <v>15.086281</v>
      </c>
      <c r="N247">
        <v>15.710216000000001</v>
      </c>
      <c r="O247">
        <v>16.249898999999999</v>
      </c>
      <c r="P247">
        <v>15.879382</v>
      </c>
      <c r="Q247">
        <v>15.121845</v>
      </c>
      <c r="R247">
        <v>16.116309999999999</v>
      </c>
      <c r="S247">
        <v>14.331759</v>
      </c>
      <c r="T247">
        <v>16.383244999999999</v>
      </c>
      <c r="U247">
        <v>17.002089999999999</v>
      </c>
      <c r="V247">
        <v>16.935632999999999</v>
      </c>
      <c r="W247">
        <v>17.517054000000002</v>
      </c>
      <c r="X247">
        <v>17.266354</v>
      </c>
      <c r="Y247">
        <v>16.2166</v>
      </c>
      <c r="Z247">
        <v>16.797367000000001</v>
      </c>
      <c r="AA247">
        <v>17.425502999999999</v>
      </c>
      <c r="AB247">
        <v>16.522020000000001</v>
      </c>
      <c r="AC247">
        <v>15.405986</v>
      </c>
      <c r="AD247">
        <v>16.47831</v>
      </c>
      <c r="AE247">
        <v>18.752562000000001</v>
      </c>
      <c r="AF247">
        <v>17.211421999999999</v>
      </c>
      <c r="AG247">
        <v>17.038063000000001</v>
      </c>
    </row>
    <row r="248" spans="1:33" x14ac:dyDescent="0.25">
      <c r="A248" s="1">
        <v>44299</v>
      </c>
      <c r="B248">
        <v>15.961709000000001</v>
      </c>
      <c r="C248">
        <v>15.379130999999999</v>
      </c>
      <c r="D248">
        <v>15.274801999999999</v>
      </c>
      <c r="E248">
        <v>15.324135</v>
      </c>
      <c r="F248">
        <v>15.171016</v>
      </c>
      <c r="G248">
        <v>15.167377999999999</v>
      </c>
      <c r="H248">
        <v>14.690594000000001</v>
      </c>
      <c r="I248">
        <v>15.114608</v>
      </c>
      <c r="J248">
        <v>16.676055999999999</v>
      </c>
      <c r="K248">
        <v>16.103764999999999</v>
      </c>
      <c r="L248">
        <v>16.587403999999999</v>
      </c>
      <c r="M248">
        <v>15.239589</v>
      </c>
      <c r="N248">
        <v>15.801845</v>
      </c>
      <c r="O248">
        <v>16.418192000000001</v>
      </c>
      <c r="P248">
        <v>16.075074999999998</v>
      </c>
      <c r="Q248">
        <v>15.276916</v>
      </c>
      <c r="R248">
        <v>16.259062</v>
      </c>
      <c r="S248">
        <v>14.591256</v>
      </c>
      <c r="T248">
        <v>16.520921999999999</v>
      </c>
      <c r="U248">
        <v>17.253184999999998</v>
      </c>
      <c r="V248">
        <v>17.126878999999999</v>
      </c>
      <c r="W248">
        <v>17.892182999999999</v>
      </c>
      <c r="X248">
        <v>17.469275</v>
      </c>
      <c r="Y248">
        <v>16.472781999999999</v>
      </c>
      <c r="Z248">
        <v>17.120989000000002</v>
      </c>
      <c r="AA248">
        <v>17.655560000000001</v>
      </c>
      <c r="AB248">
        <v>16.776506000000001</v>
      </c>
      <c r="AC248">
        <v>15.697673999999999</v>
      </c>
      <c r="AD248">
        <v>16.67821</v>
      </c>
      <c r="AE248">
        <v>17.532055</v>
      </c>
      <c r="AF248">
        <v>17.344797</v>
      </c>
      <c r="AG248">
        <v>17.110309999999998</v>
      </c>
    </row>
    <row r="249" spans="1:33" x14ac:dyDescent="0.25">
      <c r="A249" s="1">
        <v>44300</v>
      </c>
      <c r="B249">
        <v>15.975978</v>
      </c>
      <c r="C249">
        <v>15.439831</v>
      </c>
      <c r="D249">
        <v>15.26319</v>
      </c>
      <c r="E249">
        <v>15.319534000000001</v>
      </c>
      <c r="F249">
        <v>15.221943</v>
      </c>
      <c r="G249">
        <v>15.2847185</v>
      </c>
      <c r="H249">
        <v>14.731083999999999</v>
      </c>
      <c r="I249">
        <v>15.034751999999999</v>
      </c>
      <c r="J249">
        <v>16.90127</v>
      </c>
      <c r="K249">
        <v>16.313566000000002</v>
      </c>
      <c r="L249">
        <v>16.821242999999999</v>
      </c>
      <c r="M249">
        <v>15.371390999999999</v>
      </c>
      <c r="N249">
        <v>15.989572000000001</v>
      </c>
      <c r="O249">
        <v>16.676850999999999</v>
      </c>
      <c r="P249">
        <v>16.267115</v>
      </c>
      <c r="Q249">
        <v>15.396539000000001</v>
      </c>
      <c r="R249">
        <v>16.485868</v>
      </c>
      <c r="S249">
        <v>14.706521</v>
      </c>
      <c r="T249">
        <v>16.716932</v>
      </c>
      <c r="U249">
        <v>17.469840999999999</v>
      </c>
      <c r="V249">
        <v>17.391382</v>
      </c>
      <c r="W249">
        <v>17.966951000000002</v>
      </c>
      <c r="X249">
        <v>17.768087000000001</v>
      </c>
      <c r="Y249">
        <v>16.389378000000001</v>
      </c>
      <c r="Z249">
        <v>17.408539999999999</v>
      </c>
      <c r="AA249">
        <v>17.742352</v>
      </c>
      <c r="AB249">
        <v>16.678730000000002</v>
      </c>
      <c r="AC249">
        <v>15.576337000000001</v>
      </c>
      <c r="AD249">
        <v>16.889866000000001</v>
      </c>
      <c r="AE249">
        <v>17.340800999999999</v>
      </c>
      <c r="AF249">
        <v>17.383575</v>
      </c>
      <c r="AG249">
        <v>17.032578000000001</v>
      </c>
    </row>
    <row r="250" spans="1:33" x14ac:dyDescent="0.25">
      <c r="A250" s="1">
        <v>44301</v>
      </c>
      <c r="B250">
        <v>15.861217</v>
      </c>
      <c r="C250">
        <v>15.579991</v>
      </c>
      <c r="D250">
        <v>15.242324</v>
      </c>
      <c r="E250">
        <v>15.311728499999999</v>
      </c>
      <c r="F250">
        <v>15.374720999999999</v>
      </c>
      <c r="G250">
        <v>15.442637</v>
      </c>
      <c r="H250">
        <v>14.766273</v>
      </c>
      <c r="I250">
        <v>15.259585</v>
      </c>
      <c r="J250">
        <v>16.929393999999998</v>
      </c>
      <c r="K250">
        <v>16.438814000000001</v>
      </c>
      <c r="L250">
        <v>16.985119999999998</v>
      </c>
      <c r="M250">
        <v>15.517250000000001</v>
      </c>
      <c r="N250">
        <v>16.098666999999999</v>
      </c>
      <c r="O250">
        <v>16.807865</v>
      </c>
      <c r="P250">
        <v>16.385235000000002</v>
      </c>
      <c r="Q250">
        <v>15.537140000000001</v>
      </c>
      <c r="R250">
        <v>16.625988</v>
      </c>
      <c r="S250">
        <v>14.656891999999999</v>
      </c>
      <c r="T250">
        <v>16.849829</v>
      </c>
      <c r="U250">
        <v>17.630286999999999</v>
      </c>
      <c r="V250">
        <v>17.572379999999999</v>
      </c>
      <c r="W250">
        <v>17.827435999999999</v>
      </c>
      <c r="X250">
        <v>18.006482999999999</v>
      </c>
      <c r="Y250">
        <v>16.648710000000001</v>
      </c>
      <c r="Z250">
        <v>17.597576</v>
      </c>
      <c r="AA250">
        <v>17.909905999999999</v>
      </c>
      <c r="AB250">
        <v>16.920241999999998</v>
      </c>
      <c r="AC250">
        <v>15.180088</v>
      </c>
      <c r="AD250">
        <v>17.059439000000001</v>
      </c>
      <c r="AE250">
        <v>17.928153999999999</v>
      </c>
      <c r="AF250">
        <v>17.459211</v>
      </c>
      <c r="AG250">
        <v>17.270626</v>
      </c>
    </row>
    <row r="251" spans="1:33" x14ac:dyDescent="0.25">
      <c r="A251" s="1">
        <v>44302</v>
      </c>
      <c r="B251">
        <v>15.698183999999999</v>
      </c>
      <c r="C251">
        <v>15.625964</v>
      </c>
      <c r="D251">
        <v>15.177177</v>
      </c>
      <c r="E251">
        <v>15.293514999999999</v>
      </c>
      <c r="F251">
        <v>15.343862</v>
      </c>
      <c r="G251">
        <v>15.484971</v>
      </c>
      <c r="H251">
        <v>14.706950000000001</v>
      </c>
      <c r="I251">
        <v>15.096066</v>
      </c>
      <c r="J251">
        <v>16.679144000000001</v>
      </c>
      <c r="K251">
        <v>16.378655999999999</v>
      </c>
      <c r="L251">
        <v>16.957325000000001</v>
      </c>
      <c r="M251">
        <v>15.547749</v>
      </c>
      <c r="N251">
        <v>16.026413000000002</v>
      </c>
      <c r="O251">
        <v>16.771925</v>
      </c>
      <c r="P251">
        <v>16.331662999999999</v>
      </c>
      <c r="Q251">
        <v>15.544472000000001</v>
      </c>
      <c r="R251">
        <v>16.650555000000001</v>
      </c>
      <c r="S251">
        <v>14.613019</v>
      </c>
      <c r="T251">
        <v>16.854520000000001</v>
      </c>
      <c r="U251">
        <v>17.748142000000001</v>
      </c>
      <c r="V251">
        <v>17.509862999999999</v>
      </c>
      <c r="W251">
        <v>17.637388000000001</v>
      </c>
      <c r="X251">
        <v>17.983446000000001</v>
      </c>
      <c r="Y251">
        <v>16.841660999999998</v>
      </c>
      <c r="Z251">
        <v>17.632639000000001</v>
      </c>
      <c r="AA251">
        <v>18.001685999999999</v>
      </c>
      <c r="AB251">
        <v>17.107430999999998</v>
      </c>
      <c r="AC251">
        <v>15.132877000000001</v>
      </c>
      <c r="AD251">
        <v>17.111076000000001</v>
      </c>
      <c r="AE251">
        <v>18.089684999999999</v>
      </c>
      <c r="AF251">
        <v>17.537724000000001</v>
      </c>
      <c r="AG251">
        <v>17.456873000000002</v>
      </c>
    </row>
    <row r="252" spans="1:33" x14ac:dyDescent="0.25">
      <c r="A252" s="1">
        <v>44303</v>
      </c>
      <c r="B252">
        <v>15.935460000000001</v>
      </c>
      <c r="C252">
        <v>15.808254</v>
      </c>
      <c r="D252">
        <v>15.291942000000001</v>
      </c>
      <c r="E252">
        <v>15.4503355</v>
      </c>
      <c r="F252">
        <v>15.585554999999999</v>
      </c>
      <c r="G252">
        <v>15.643399</v>
      </c>
      <c r="H252">
        <v>14.916997</v>
      </c>
      <c r="I252">
        <v>15.553953999999999</v>
      </c>
      <c r="J252">
        <v>17.073467000000001</v>
      </c>
      <c r="K252">
        <v>16.596005999999999</v>
      </c>
      <c r="L252">
        <v>17.248339000000001</v>
      </c>
      <c r="M252">
        <v>15.727086</v>
      </c>
      <c r="N252">
        <v>16.238461999999998</v>
      </c>
      <c r="O252">
        <v>17.091063999999999</v>
      </c>
      <c r="P252">
        <v>16.524913999999999</v>
      </c>
      <c r="Q252">
        <v>15.717082</v>
      </c>
      <c r="R252">
        <v>16.926022</v>
      </c>
      <c r="S252">
        <v>15.039573000000001</v>
      </c>
      <c r="T252">
        <v>17.075559999999999</v>
      </c>
      <c r="U252">
        <v>18.023890000000002</v>
      </c>
      <c r="V252">
        <v>17.757701999999998</v>
      </c>
      <c r="W252">
        <v>17.773354999999999</v>
      </c>
      <c r="X252">
        <v>18.127742999999999</v>
      </c>
      <c r="Y252">
        <v>16.778130000000001</v>
      </c>
      <c r="Z252">
        <v>17.859406</v>
      </c>
      <c r="AA252">
        <v>18.212667</v>
      </c>
      <c r="AB252">
        <v>17.144918000000001</v>
      </c>
      <c r="AC252">
        <v>15.521438</v>
      </c>
      <c r="AD252">
        <v>17.338944999999999</v>
      </c>
      <c r="AE252">
        <v>16.961575</v>
      </c>
      <c r="AF252">
        <v>17.652266000000001</v>
      </c>
      <c r="AG252">
        <v>17.751584999999999</v>
      </c>
    </row>
    <row r="253" spans="1:33" x14ac:dyDescent="0.25">
      <c r="A253" s="1">
        <v>44304</v>
      </c>
      <c r="B253">
        <v>16.357948</v>
      </c>
      <c r="C253">
        <v>16.223589</v>
      </c>
      <c r="D253">
        <v>15.633172</v>
      </c>
      <c r="E253">
        <v>15.741154</v>
      </c>
      <c r="F253">
        <v>16.117425999999998</v>
      </c>
      <c r="G253">
        <v>15.999478</v>
      </c>
      <c r="H253">
        <v>15.297836</v>
      </c>
      <c r="I253">
        <v>16.485105999999998</v>
      </c>
      <c r="J253">
        <v>17.559656</v>
      </c>
      <c r="K253">
        <v>16.93215</v>
      </c>
      <c r="L253">
        <v>17.600615000000001</v>
      </c>
      <c r="M253">
        <v>16.083872</v>
      </c>
      <c r="N253">
        <v>16.724277000000001</v>
      </c>
      <c r="O253">
        <v>17.515726000000001</v>
      </c>
      <c r="P253">
        <v>16.844743999999999</v>
      </c>
      <c r="Q253">
        <v>16.13251</v>
      </c>
      <c r="R253">
        <v>17.310478</v>
      </c>
      <c r="S253">
        <v>15.604827</v>
      </c>
      <c r="T253">
        <v>17.473504999999999</v>
      </c>
      <c r="U253">
        <v>18.333670000000001</v>
      </c>
      <c r="V253">
        <v>18.095735999999999</v>
      </c>
      <c r="W253">
        <v>17.986397</v>
      </c>
      <c r="X253">
        <v>18.245722000000001</v>
      </c>
      <c r="Y253">
        <v>16.863</v>
      </c>
      <c r="Z253">
        <v>18.184746000000001</v>
      </c>
      <c r="AA253">
        <v>18.484938</v>
      </c>
      <c r="AB253">
        <v>17.221792000000001</v>
      </c>
      <c r="AC253">
        <v>16.400675</v>
      </c>
      <c r="AD253">
        <v>17.688414000000002</v>
      </c>
      <c r="AE253">
        <v>17.641992999999999</v>
      </c>
      <c r="AF253">
        <v>17.718734999999999</v>
      </c>
      <c r="AG253">
        <v>18.125174999999999</v>
      </c>
    </row>
    <row r="254" spans="1:33" x14ac:dyDescent="0.25">
      <c r="A254" s="1">
        <v>44305</v>
      </c>
      <c r="B254">
        <v>16.592282999999998</v>
      </c>
      <c r="C254">
        <v>16.529028</v>
      </c>
      <c r="D254">
        <v>16.018187999999999</v>
      </c>
      <c r="E254">
        <v>16.200818999999999</v>
      </c>
      <c r="F254">
        <v>16.394876</v>
      </c>
      <c r="G254">
        <v>16.299043999999999</v>
      </c>
      <c r="H254">
        <v>15.555975999999999</v>
      </c>
      <c r="I254">
        <v>16.845825000000001</v>
      </c>
      <c r="J254">
        <v>18.123609999999999</v>
      </c>
      <c r="K254">
        <v>17.354723</v>
      </c>
      <c r="L254">
        <v>17.960135000000001</v>
      </c>
      <c r="M254">
        <v>16.354816</v>
      </c>
      <c r="N254">
        <v>16.969269000000001</v>
      </c>
      <c r="O254">
        <v>17.823744000000001</v>
      </c>
      <c r="P254">
        <v>17.231497000000001</v>
      </c>
      <c r="Q254">
        <v>16.470654</v>
      </c>
      <c r="R254">
        <v>17.644856999999998</v>
      </c>
      <c r="S254">
        <v>16.113185999999999</v>
      </c>
      <c r="T254">
        <v>17.848420999999998</v>
      </c>
      <c r="U254">
        <v>18.680264999999999</v>
      </c>
      <c r="V254">
        <v>18.073336000000001</v>
      </c>
      <c r="W254">
        <v>18.353476000000001</v>
      </c>
      <c r="X254">
        <v>18.413212000000001</v>
      </c>
      <c r="Y254">
        <v>17.328057999999999</v>
      </c>
      <c r="Z254">
        <v>18.558050000000001</v>
      </c>
      <c r="AA254">
        <v>18.864927000000002</v>
      </c>
      <c r="AB254">
        <v>17.622059</v>
      </c>
      <c r="AC254">
        <v>17.510338000000001</v>
      </c>
      <c r="AD254">
        <v>18.01024</v>
      </c>
      <c r="AE254">
        <v>18.066635000000002</v>
      </c>
      <c r="AF254">
        <v>17.876336999999999</v>
      </c>
      <c r="AG254">
        <v>18.611287999999998</v>
      </c>
    </row>
    <row r="255" spans="1:33" x14ac:dyDescent="0.25">
      <c r="A255" s="1">
        <v>44306</v>
      </c>
      <c r="B255">
        <v>16.665382000000001</v>
      </c>
      <c r="C255">
        <v>16.583952</v>
      </c>
      <c r="D255">
        <v>16.216377000000001</v>
      </c>
      <c r="E255">
        <v>16.435585</v>
      </c>
      <c r="F255">
        <v>16.248259999999998</v>
      </c>
      <c r="G255">
        <v>16.42991</v>
      </c>
      <c r="H255">
        <v>15.663691500000001</v>
      </c>
      <c r="I255">
        <v>16.489159999999998</v>
      </c>
      <c r="J255">
        <v>18.368040000000001</v>
      </c>
      <c r="K255">
        <v>17.619016999999999</v>
      </c>
      <c r="L255">
        <v>18.126783</v>
      </c>
      <c r="M255">
        <v>16.421885</v>
      </c>
      <c r="N255">
        <v>17.069647</v>
      </c>
      <c r="O255">
        <v>17.992066999999999</v>
      </c>
      <c r="P255">
        <v>17.508347000000001</v>
      </c>
      <c r="Q255">
        <v>16.605509000000001</v>
      </c>
      <c r="R255">
        <v>17.836893</v>
      </c>
      <c r="S255">
        <v>16.217886</v>
      </c>
      <c r="T255">
        <v>17.982557</v>
      </c>
      <c r="U255">
        <v>18.805323000000001</v>
      </c>
      <c r="V255">
        <v>18.073812</v>
      </c>
      <c r="W255">
        <v>18.459817999999999</v>
      </c>
      <c r="X255">
        <v>18.37087</v>
      </c>
      <c r="Y255">
        <v>17.275590000000001</v>
      </c>
      <c r="Z255">
        <v>18.780836000000001</v>
      </c>
      <c r="AA255">
        <v>19.00986</v>
      </c>
      <c r="AB255">
        <v>17.502904999999998</v>
      </c>
      <c r="AC255">
        <v>18.293098000000001</v>
      </c>
      <c r="AD255">
        <v>18.282446</v>
      </c>
      <c r="AE255">
        <v>18.152011999999999</v>
      </c>
      <c r="AF255">
        <v>17.866892</v>
      </c>
      <c r="AG255">
        <v>18.425989999999999</v>
      </c>
    </row>
    <row r="256" spans="1:33" x14ac:dyDescent="0.25">
      <c r="A256" s="1">
        <v>44307</v>
      </c>
      <c r="B256">
        <v>16.874867999999999</v>
      </c>
      <c r="C256">
        <v>16.821750000000002</v>
      </c>
      <c r="D256">
        <v>16.508856000000002</v>
      </c>
      <c r="E256">
        <v>16.744541000000002</v>
      </c>
      <c r="F256">
        <v>16.389296000000002</v>
      </c>
      <c r="G256">
        <v>16.480173000000001</v>
      </c>
      <c r="H256">
        <v>15.936902</v>
      </c>
      <c r="I256">
        <v>16.464082999999999</v>
      </c>
      <c r="J256">
        <v>18.361014999999998</v>
      </c>
      <c r="K256">
        <v>17.857621999999999</v>
      </c>
      <c r="L256">
        <v>18.364826000000001</v>
      </c>
      <c r="M256">
        <v>16.538201999999998</v>
      </c>
      <c r="N256">
        <v>17.349466</v>
      </c>
      <c r="O256">
        <v>18.250226999999999</v>
      </c>
      <c r="P256">
        <v>17.749265999999999</v>
      </c>
      <c r="Q256">
        <v>16.749196999999999</v>
      </c>
      <c r="R256">
        <v>18.130362000000002</v>
      </c>
      <c r="S256">
        <v>16.143442</v>
      </c>
      <c r="T256">
        <v>18.235472000000001</v>
      </c>
      <c r="U256">
        <v>18.914895999999999</v>
      </c>
      <c r="V256">
        <v>18.341398000000002</v>
      </c>
      <c r="W256">
        <v>18.647148000000001</v>
      </c>
      <c r="X256">
        <v>18.523478000000001</v>
      </c>
      <c r="Y256">
        <v>17.461794000000001</v>
      </c>
      <c r="Z256">
        <v>18.94895</v>
      </c>
      <c r="AA256">
        <v>19.089756000000001</v>
      </c>
      <c r="AB256">
        <v>17.556073999999999</v>
      </c>
      <c r="AC256">
        <v>18.714783000000001</v>
      </c>
      <c r="AD256">
        <v>18.511704999999999</v>
      </c>
      <c r="AE256">
        <v>17.704820000000002</v>
      </c>
      <c r="AF256">
        <v>17.861681000000001</v>
      </c>
      <c r="AG256">
        <v>18.438151999999999</v>
      </c>
    </row>
    <row r="257" spans="1:33" x14ac:dyDescent="0.25">
      <c r="A257" s="1">
        <v>44308</v>
      </c>
      <c r="B257">
        <v>16.910993999999999</v>
      </c>
      <c r="C257">
        <v>16.808236999999998</v>
      </c>
      <c r="D257">
        <v>16.603598000000002</v>
      </c>
      <c r="E257">
        <v>16.869199999999999</v>
      </c>
      <c r="F257">
        <v>16.342151999999999</v>
      </c>
      <c r="G257">
        <v>16.479040000000001</v>
      </c>
      <c r="H257">
        <v>15.955874</v>
      </c>
      <c r="I257">
        <v>16.138135999999999</v>
      </c>
      <c r="J257">
        <v>18.302085999999999</v>
      </c>
      <c r="K257">
        <v>18.013151000000001</v>
      </c>
      <c r="L257">
        <v>18.511583000000002</v>
      </c>
      <c r="M257">
        <v>16.592507999999999</v>
      </c>
      <c r="N257">
        <v>17.438074</v>
      </c>
      <c r="O257">
        <v>18.320250999999999</v>
      </c>
      <c r="P257">
        <v>17.934826000000001</v>
      </c>
      <c r="Q257">
        <v>16.800626999999999</v>
      </c>
      <c r="R257">
        <v>18.241488</v>
      </c>
      <c r="S257">
        <v>15.590636</v>
      </c>
      <c r="T257">
        <v>18.257828</v>
      </c>
      <c r="U257">
        <v>18.927496000000001</v>
      </c>
      <c r="V257">
        <v>18.332733000000001</v>
      </c>
      <c r="W257">
        <v>18.631305999999999</v>
      </c>
      <c r="X257">
        <v>18.507757000000002</v>
      </c>
      <c r="Y257">
        <v>17.912562999999999</v>
      </c>
      <c r="Z257">
        <v>19.018750000000001</v>
      </c>
      <c r="AA257">
        <v>19.247267000000001</v>
      </c>
      <c r="AB257">
        <v>17.868269000000002</v>
      </c>
      <c r="AC257">
        <v>19.543054999999999</v>
      </c>
      <c r="AD257">
        <v>18.663847000000001</v>
      </c>
      <c r="AE257">
        <v>17.830556999999999</v>
      </c>
      <c r="AF257">
        <v>18.059968999999999</v>
      </c>
      <c r="AG257">
        <v>18.606981000000001</v>
      </c>
    </row>
    <row r="258" spans="1:33" x14ac:dyDescent="0.25">
      <c r="A258" s="1">
        <v>44309</v>
      </c>
      <c r="B258">
        <v>16.756772999999999</v>
      </c>
      <c r="C258">
        <v>16.679106000000001</v>
      </c>
      <c r="D258">
        <v>16.553228000000001</v>
      </c>
      <c r="E258">
        <v>16.803712999999998</v>
      </c>
      <c r="F258">
        <v>16.213930000000001</v>
      </c>
      <c r="G258">
        <v>16.444738000000001</v>
      </c>
      <c r="H258">
        <v>16.015906999999999</v>
      </c>
      <c r="I258">
        <v>15.471188</v>
      </c>
      <c r="J258">
        <v>18.068724</v>
      </c>
      <c r="K258">
        <v>18.064432</v>
      </c>
      <c r="L258">
        <v>18.567091000000001</v>
      </c>
      <c r="M258">
        <v>16.601960999999999</v>
      </c>
      <c r="N258">
        <v>17.521667000000001</v>
      </c>
      <c r="O258">
        <v>18.378332</v>
      </c>
      <c r="P258">
        <v>17.996587999999999</v>
      </c>
      <c r="Q258">
        <v>16.823934999999999</v>
      </c>
      <c r="R258">
        <v>18.324701000000001</v>
      </c>
      <c r="S258">
        <v>14.799853000000001</v>
      </c>
      <c r="T258">
        <v>18.140765999999999</v>
      </c>
      <c r="U258">
        <v>18.848284</v>
      </c>
      <c r="V258">
        <v>18.262582999999999</v>
      </c>
      <c r="W258">
        <v>18.525808000000001</v>
      </c>
      <c r="X258">
        <v>18.369852000000002</v>
      </c>
      <c r="Y258">
        <v>18.044622</v>
      </c>
      <c r="Z258">
        <v>18.921050000000001</v>
      </c>
      <c r="AA258">
        <v>19.320639</v>
      </c>
      <c r="AB258">
        <v>17.971375999999999</v>
      </c>
      <c r="AC258">
        <v>19.347290000000001</v>
      </c>
      <c r="AD258">
        <v>18.709948000000001</v>
      </c>
      <c r="AE258">
        <v>17.711164</v>
      </c>
      <c r="AF258">
        <v>18.305596999999999</v>
      </c>
      <c r="AG258">
        <v>18.484264</v>
      </c>
    </row>
    <row r="259" spans="1:33" x14ac:dyDescent="0.25">
      <c r="A259" s="1">
        <v>44310</v>
      </c>
      <c r="B259">
        <v>16.217154000000001</v>
      </c>
      <c r="C259">
        <v>16.555855000000001</v>
      </c>
      <c r="D259">
        <v>16.282408</v>
      </c>
      <c r="E259">
        <v>16.496582</v>
      </c>
      <c r="F259">
        <v>15.980157</v>
      </c>
      <c r="G259">
        <v>16.263376000000001</v>
      </c>
      <c r="H259">
        <v>15.781962</v>
      </c>
      <c r="I259">
        <v>14.940277999999999</v>
      </c>
      <c r="J259">
        <v>17.567148</v>
      </c>
      <c r="K259">
        <v>17.850747999999999</v>
      </c>
      <c r="L259">
        <v>18.364083999999998</v>
      </c>
      <c r="M259">
        <v>16.419844000000001</v>
      </c>
      <c r="N259">
        <v>17.376366000000001</v>
      </c>
      <c r="O259">
        <v>18.151586999999999</v>
      </c>
      <c r="P259">
        <v>17.824062000000001</v>
      </c>
      <c r="Q259">
        <v>16.632325999999999</v>
      </c>
      <c r="R259">
        <v>18.096198999999999</v>
      </c>
      <c r="S259">
        <v>14.414958</v>
      </c>
      <c r="T259">
        <v>17.831903000000001</v>
      </c>
      <c r="U259">
        <v>18.560596</v>
      </c>
      <c r="V259">
        <v>17.983882999999999</v>
      </c>
      <c r="W259">
        <v>18.197724999999998</v>
      </c>
      <c r="X259">
        <v>18.116620999999999</v>
      </c>
      <c r="Y259">
        <v>17.921662999999999</v>
      </c>
      <c r="Z259">
        <v>18.604331999999999</v>
      </c>
      <c r="AA259">
        <v>19.269707</v>
      </c>
      <c r="AB259">
        <v>17.853297999999999</v>
      </c>
      <c r="AC259">
        <v>18.758317999999999</v>
      </c>
      <c r="AD259">
        <v>18.569635000000002</v>
      </c>
      <c r="AE259">
        <v>16.794989000000001</v>
      </c>
      <c r="AF259">
        <v>18.474167000000001</v>
      </c>
      <c r="AG259">
        <v>18.160544999999999</v>
      </c>
    </row>
    <row r="260" spans="1:33" x14ac:dyDescent="0.25">
      <c r="A260" s="1">
        <v>44311</v>
      </c>
      <c r="B260">
        <v>15.420407000000001</v>
      </c>
      <c r="C260">
        <v>16.287265999999999</v>
      </c>
      <c r="D260">
        <v>15.797813</v>
      </c>
      <c r="E260">
        <v>15.831315</v>
      </c>
      <c r="F260">
        <v>15.645830999999999</v>
      </c>
      <c r="G260">
        <v>16.090792</v>
      </c>
      <c r="H260">
        <v>15.402139</v>
      </c>
      <c r="I260">
        <v>14.383228000000001</v>
      </c>
      <c r="J260">
        <v>16.590983999999999</v>
      </c>
      <c r="K260">
        <v>17.406808999999999</v>
      </c>
      <c r="L260">
        <v>17.864522999999998</v>
      </c>
      <c r="M260">
        <v>16.184792999999999</v>
      </c>
      <c r="N260">
        <v>17.013489</v>
      </c>
      <c r="O260">
        <v>17.741526</v>
      </c>
      <c r="P260">
        <v>17.405100000000001</v>
      </c>
      <c r="Q260">
        <v>16.406186999999999</v>
      </c>
      <c r="R260">
        <v>17.765598000000001</v>
      </c>
      <c r="S260">
        <v>14.053485</v>
      </c>
      <c r="T260">
        <v>17.324619999999999</v>
      </c>
      <c r="U260">
        <v>18.010753999999999</v>
      </c>
      <c r="V260">
        <v>17.516254</v>
      </c>
      <c r="W260">
        <v>17.597705999999999</v>
      </c>
      <c r="X260">
        <v>17.637384000000001</v>
      </c>
      <c r="Y260">
        <v>17.516421999999999</v>
      </c>
      <c r="Z260">
        <v>17.903687999999999</v>
      </c>
      <c r="AA260">
        <v>18.748390000000001</v>
      </c>
      <c r="AB260">
        <v>17.504515000000001</v>
      </c>
      <c r="AC260">
        <v>17.465060000000001</v>
      </c>
      <c r="AD260">
        <v>18.144217000000001</v>
      </c>
      <c r="AE260">
        <v>16.397901999999998</v>
      </c>
      <c r="AF260">
        <v>18.414231999999998</v>
      </c>
      <c r="AG260">
        <v>17.535188999999999</v>
      </c>
    </row>
    <row r="261" spans="1:33" x14ac:dyDescent="0.25">
      <c r="A261" s="1">
        <v>44312</v>
      </c>
      <c r="B261">
        <v>14.807048</v>
      </c>
      <c r="C261">
        <v>16.121728999999998</v>
      </c>
      <c r="D261">
        <v>15.196427</v>
      </c>
      <c r="E261">
        <v>15.092141</v>
      </c>
      <c r="F261">
        <v>15.422473999999999</v>
      </c>
      <c r="G261">
        <v>15.718671000000001</v>
      </c>
      <c r="H261">
        <v>14.919655000000001</v>
      </c>
      <c r="I261">
        <v>13.961268</v>
      </c>
      <c r="J261">
        <v>15.697319999999999</v>
      </c>
      <c r="K261">
        <v>16.935438000000001</v>
      </c>
      <c r="L261">
        <v>17.362074</v>
      </c>
      <c r="M261">
        <v>15.851476</v>
      </c>
      <c r="N261">
        <v>16.599836</v>
      </c>
      <c r="O261">
        <v>17.375112999999999</v>
      </c>
      <c r="P261">
        <v>16.943213</v>
      </c>
      <c r="Q261">
        <v>15.987988</v>
      </c>
      <c r="R261">
        <v>17.401857</v>
      </c>
      <c r="S261">
        <v>13.352054000000001</v>
      </c>
      <c r="T261">
        <v>16.707433999999999</v>
      </c>
      <c r="U261">
        <v>17.491949999999999</v>
      </c>
      <c r="V261">
        <v>17.043918999999999</v>
      </c>
      <c r="W261">
        <v>17.071646000000001</v>
      </c>
      <c r="X261">
        <v>17.181111999999999</v>
      </c>
      <c r="Y261">
        <v>16.792894</v>
      </c>
      <c r="Z261">
        <v>17.244291</v>
      </c>
      <c r="AA261">
        <v>18.089383999999999</v>
      </c>
      <c r="AB261">
        <v>16.861618</v>
      </c>
      <c r="AC261">
        <v>16.911196</v>
      </c>
      <c r="AD261">
        <v>17.658777000000001</v>
      </c>
      <c r="AE261">
        <v>16.155591999999999</v>
      </c>
      <c r="AF261">
        <v>18.216581000000001</v>
      </c>
      <c r="AG261">
        <v>16.879117999999998</v>
      </c>
    </row>
    <row r="262" spans="1:33" x14ac:dyDescent="0.25">
      <c r="A262" s="1">
        <v>44313</v>
      </c>
      <c r="B262">
        <v>15.120433999999999</v>
      </c>
      <c r="C262">
        <v>16.113823</v>
      </c>
      <c r="D262">
        <v>15.165611999999999</v>
      </c>
      <c r="E262">
        <v>14.926100999999999</v>
      </c>
      <c r="F262">
        <v>15.604274</v>
      </c>
      <c r="G262">
        <v>15.71313</v>
      </c>
      <c r="H262">
        <v>14.901405</v>
      </c>
      <c r="I262">
        <v>14.652905000000001</v>
      </c>
      <c r="J262">
        <v>15.769</v>
      </c>
      <c r="K262">
        <v>16.812422000000002</v>
      </c>
      <c r="L262">
        <v>17.244271999999999</v>
      </c>
      <c r="M262">
        <v>15.843484</v>
      </c>
      <c r="N262">
        <v>16.494327999999999</v>
      </c>
      <c r="O262">
        <v>17.261634999999998</v>
      </c>
      <c r="P262">
        <v>16.809380000000001</v>
      </c>
      <c r="Q262">
        <v>15.933787000000001</v>
      </c>
      <c r="R262">
        <v>17.276094000000001</v>
      </c>
      <c r="S262">
        <v>13.724788999999999</v>
      </c>
      <c r="T262">
        <v>16.516735000000001</v>
      </c>
      <c r="U262">
        <v>17.4498</v>
      </c>
      <c r="V262">
        <v>16.991665000000001</v>
      </c>
      <c r="W262">
        <v>16.866807999999999</v>
      </c>
      <c r="X262">
        <v>17.205400000000001</v>
      </c>
      <c r="Y262">
        <v>16.496492</v>
      </c>
      <c r="Z262">
        <v>17.052344999999999</v>
      </c>
      <c r="AA262">
        <v>17.934958000000002</v>
      </c>
      <c r="AB262">
        <v>16.605986000000001</v>
      </c>
      <c r="AC262">
        <v>16.542826000000002</v>
      </c>
      <c r="AD262">
        <v>17.503632</v>
      </c>
      <c r="AE262">
        <v>16.657502999999998</v>
      </c>
      <c r="AF262">
        <v>18.193315999999999</v>
      </c>
      <c r="AG262">
        <v>16.787175999999999</v>
      </c>
    </row>
    <row r="263" spans="1:33" x14ac:dyDescent="0.25">
      <c r="A263" s="1">
        <v>44314</v>
      </c>
      <c r="B263">
        <v>15.694345999999999</v>
      </c>
      <c r="C263">
        <v>16.395123999999999</v>
      </c>
      <c r="D263">
        <v>15.532783999999999</v>
      </c>
      <c r="E263">
        <v>15.191838000000001</v>
      </c>
      <c r="F263">
        <v>16.077852</v>
      </c>
      <c r="G263">
        <v>15.968638</v>
      </c>
      <c r="H263">
        <v>15.133815999999999</v>
      </c>
      <c r="I263">
        <v>15.669029999999999</v>
      </c>
      <c r="J263">
        <v>16.520589999999999</v>
      </c>
      <c r="K263">
        <v>17.012423999999999</v>
      </c>
      <c r="L263">
        <v>17.475200000000001</v>
      </c>
      <c r="M263">
        <v>16.097882999999999</v>
      </c>
      <c r="N263">
        <v>16.651216999999999</v>
      </c>
      <c r="O263">
        <v>17.485647</v>
      </c>
      <c r="P263">
        <v>16.974594</v>
      </c>
      <c r="Q263">
        <v>16.150521999999999</v>
      </c>
      <c r="R263">
        <v>17.457611</v>
      </c>
      <c r="S263">
        <v>14.578407</v>
      </c>
      <c r="T263">
        <v>16.747118</v>
      </c>
      <c r="U263">
        <v>17.767855000000001</v>
      </c>
      <c r="V263">
        <v>17.249300000000002</v>
      </c>
      <c r="W263">
        <v>16.608587</v>
      </c>
      <c r="X263">
        <v>17.482171999999998</v>
      </c>
      <c r="Y263">
        <v>16.873422999999999</v>
      </c>
      <c r="Z263">
        <v>17.350653000000001</v>
      </c>
      <c r="AA263">
        <v>18.198478999999999</v>
      </c>
      <c r="AB263">
        <v>16.937141</v>
      </c>
      <c r="AC263">
        <v>16.976233000000001</v>
      </c>
      <c r="AD263">
        <v>17.649557000000001</v>
      </c>
      <c r="AE263">
        <v>17.210474000000001</v>
      </c>
      <c r="AF263">
        <v>18.355425</v>
      </c>
      <c r="AG263">
        <v>17.315850999999999</v>
      </c>
    </row>
    <row r="264" spans="1:33" x14ac:dyDescent="0.25">
      <c r="A264" s="1">
        <v>44315</v>
      </c>
      <c r="B264">
        <v>16.109539999999999</v>
      </c>
      <c r="C264">
        <v>16.692796999999999</v>
      </c>
      <c r="D264">
        <v>15.920894000000001</v>
      </c>
      <c r="E264">
        <v>15.587241000000001</v>
      </c>
      <c r="F264">
        <v>16.472197999999999</v>
      </c>
      <c r="G264">
        <v>16.296154000000001</v>
      </c>
      <c r="H264">
        <v>15.384739</v>
      </c>
      <c r="I264">
        <v>16.406320000000001</v>
      </c>
      <c r="J264">
        <v>17.537572999999998</v>
      </c>
      <c r="K264">
        <v>17.390532</v>
      </c>
      <c r="L264">
        <v>17.883223000000001</v>
      </c>
      <c r="M264">
        <v>16.43862</v>
      </c>
      <c r="N264">
        <v>16.910461000000002</v>
      </c>
      <c r="O264">
        <v>17.810831</v>
      </c>
      <c r="P264">
        <v>17.325495</v>
      </c>
      <c r="Q264">
        <v>16.474157000000002</v>
      </c>
      <c r="R264">
        <v>17.742578999999999</v>
      </c>
      <c r="S264">
        <v>15.553065999999999</v>
      </c>
      <c r="T264">
        <v>17.149713999999999</v>
      </c>
      <c r="U264">
        <v>18.261133000000001</v>
      </c>
      <c r="V264">
        <v>17.552011</v>
      </c>
      <c r="W264">
        <v>16.827912999999999</v>
      </c>
      <c r="X264">
        <v>17.781960000000002</v>
      </c>
      <c r="Y264">
        <v>17.544525</v>
      </c>
      <c r="Z264">
        <v>17.883368000000001</v>
      </c>
      <c r="AA264">
        <v>18.706866999999999</v>
      </c>
      <c r="AB264">
        <v>17.601828000000001</v>
      </c>
      <c r="AC264">
        <v>17.624777000000002</v>
      </c>
      <c r="AD264">
        <v>17.960084999999999</v>
      </c>
      <c r="AE264">
        <v>18.672338</v>
      </c>
      <c r="AF264">
        <v>18.626894</v>
      </c>
      <c r="AG264">
        <v>18.076750000000001</v>
      </c>
    </row>
    <row r="265" spans="1:33" x14ac:dyDescent="0.25">
      <c r="A265" s="1">
        <v>44316</v>
      </c>
      <c r="B265">
        <v>16.316189999999999</v>
      </c>
      <c r="C265">
        <v>16.891079999999999</v>
      </c>
      <c r="D265">
        <v>16.206804000000002</v>
      </c>
      <c r="E265">
        <v>15.918663</v>
      </c>
      <c r="F265">
        <v>16.684526000000002</v>
      </c>
      <c r="G265">
        <v>16.576326000000002</v>
      </c>
      <c r="H265">
        <v>15.6447</v>
      </c>
      <c r="I265">
        <v>16.816523</v>
      </c>
      <c r="J265">
        <v>18.352049000000001</v>
      </c>
      <c r="K265">
        <v>17.761887000000002</v>
      </c>
      <c r="L265">
        <v>18.266660000000002</v>
      </c>
      <c r="M265">
        <v>16.718937</v>
      </c>
      <c r="N265">
        <v>17.120508000000001</v>
      </c>
      <c r="O265">
        <v>18.080221000000002</v>
      </c>
      <c r="P265">
        <v>17.679224000000001</v>
      </c>
      <c r="Q265">
        <v>16.751989999999999</v>
      </c>
      <c r="R265">
        <v>18.001999000000001</v>
      </c>
      <c r="S265">
        <v>16.262604</v>
      </c>
      <c r="T265">
        <v>17.499662000000001</v>
      </c>
      <c r="U265">
        <v>18.673480000000001</v>
      </c>
      <c r="V265">
        <v>17.749659000000001</v>
      </c>
      <c r="W265">
        <v>17.30349</v>
      </c>
      <c r="X265">
        <v>17.91686</v>
      </c>
      <c r="Y265">
        <v>18.229645000000001</v>
      </c>
      <c r="Z265">
        <v>18.433615</v>
      </c>
      <c r="AA265">
        <v>19.24053</v>
      </c>
      <c r="AB265">
        <v>18.286732000000001</v>
      </c>
      <c r="AC265">
        <v>18.280007999999999</v>
      </c>
      <c r="AD265">
        <v>18.311254999999999</v>
      </c>
      <c r="AE265">
        <v>19.915870000000002</v>
      </c>
      <c r="AF265">
        <v>18.933337999999999</v>
      </c>
      <c r="AG265">
        <v>18.711027000000001</v>
      </c>
    </row>
    <row r="266" spans="1:33" x14ac:dyDescent="0.25">
      <c r="A266" s="1">
        <v>44317</v>
      </c>
      <c r="B266">
        <v>16.483529999999998</v>
      </c>
      <c r="C266">
        <v>17.018303</v>
      </c>
      <c r="D266">
        <v>16.379736000000001</v>
      </c>
      <c r="E266">
        <v>16.257853000000001</v>
      </c>
      <c r="F266">
        <v>16.682397999999999</v>
      </c>
      <c r="G266">
        <v>16.703772000000001</v>
      </c>
      <c r="H266">
        <v>15.804520999999999</v>
      </c>
      <c r="I266">
        <v>16.914179000000001</v>
      </c>
      <c r="J266">
        <v>18.585287000000001</v>
      </c>
      <c r="K266">
        <v>17.947724999999998</v>
      </c>
      <c r="L266">
        <v>18.433252</v>
      </c>
      <c r="M266">
        <v>16.779875000000001</v>
      </c>
      <c r="N266">
        <v>17.236363999999998</v>
      </c>
      <c r="O266">
        <v>18.22692</v>
      </c>
      <c r="P266">
        <v>17.871534</v>
      </c>
      <c r="Q266">
        <v>16.891172000000001</v>
      </c>
      <c r="R266">
        <v>18.191872</v>
      </c>
      <c r="S266">
        <v>16.402967</v>
      </c>
      <c r="T266">
        <v>17.717607000000001</v>
      </c>
      <c r="U266">
        <v>18.853859</v>
      </c>
      <c r="V266">
        <v>17.723044999999999</v>
      </c>
      <c r="W266">
        <v>17.839064</v>
      </c>
      <c r="X266">
        <v>17.845210000000002</v>
      </c>
      <c r="Y266">
        <v>18.294294000000001</v>
      </c>
      <c r="Z266">
        <v>18.756943</v>
      </c>
      <c r="AA266">
        <v>19.455873</v>
      </c>
      <c r="AB266">
        <v>18.394371</v>
      </c>
      <c r="AC266">
        <v>18.291273</v>
      </c>
      <c r="AD266">
        <v>18.524260000000002</v>
      </c>
      <c r="AE266">
        <v>20.231337</v>
      </c>
      <c r="AF266">
        <v>19.093184000000001</v>
      </c>
      <c r="AG266">
        <v>18.716107999999998</v>
      </c>
    </row>
    <row r="267" spans="1:33" x14ac:dyDescent="0.25">
      <c r="A267" s="1">
        <v>44318</v>
      </c>
      <c r="B267">
        <v>16.727094999999998</v>
      </c>
      <c r="C267">
        <v>17.205293999999999</v>
      </c>
      <c r="D267">
        <v>16.669595999999999</v>
      </c>
      <c r="E267">
        <v>16.556795000000001</v>
      </c>
      <c r="F267">
        <v>16.832239999999999</v>
      </c>
      <c r="G267">
        <v>16.903378</v>
      </c>
      <c r="H267">
        <v>16.050695000000001</v>
      </c>
      <c r="I267">
        <v>17.06981</v>
      </c>
      <c r="J267">
        <v>18.51069</v>
      </c>
      <c r="K267">
        <v>18.044098000000002</v>
      </c>
      <c r="L267">
        <v>18.521678999999999</v>
      </c>
      <c r="M267">
        <v>16.964973000000001</v>
      </c>
      <c r="N267">
        <v>17.392809</v>
      </c>
      <c r="O267">
        <v>18.331648000000001</v>
      </c>
      <c r="P267">
        <v>17.966882999999999</v>
      </c>
      <c r="Q267">
        <v>17.068697</v>
      </c>
      <c r="R267">
        <v>18.334264999999998</v>
      </c>
      <c r="S267">
        <v>16.706896</v>
      </c>
      <c r="T267">
        <v>17.918064000000001</v>
      </c>
      <c r="U267">
        <v>19.091099</v>
      </c>
      <c r="V267">
        <v>17.843443000000001</v>
      </c>
      <c r="W267">
        <v>18.751009</v>
      </c>
      <c r="X267">
        <v>17.925174999999999</v>
      </c>
      <c r="Y267">
        <v>18.138961999999999</v>
      </c>
      <c r="Z267">
        <v>18.941148999999999</v>
      </c>
      <c r="AA267">
        <v>19.470922000000002</v>
      </c>
      <c r="AB267">
        <v>18.290932000000002</v>
      </c>
      <c r="AC267">
        <v>18.059380999999998</v>
      </c>
      <c r="AD267">
        <v>18.679646000000002</v>
      </c>
      <c r="AE267">
        <v>19.703814000000001</v>
      </c>
      <c r="AF267">
        <v>19.205870000000001</v>
      </c>
      <c r="AG267">
        <v>18.695527999999999</v>
      </c>
    </row>
    <row r="268" spans="1:33" x14ac:dyDescent="0.25">
      <c r="A268" s="1">
        <v>44319</v>
      </c>
      <c r="B268">
        <v>17.285717000000002</v>
      </c>
      <c r="C268">
        <v>17.544428</v>
      </c>
      <c r="D268">
        <v>17.120844000000002</v>
      </c>
      <c r="E268">
        <v>17.054476000000001</v>
      </c>
      <c r="F268">
        <v>17.310068000000001</v>
      </c>
      <c r="G268">
        <v>17.179789</v>
      </c>
      <c r="H268">
        <v>16.493514999999999</v>
      </c>
      <c r="I268">
        <v>17.706522</v>
      </c>
      <c r="J268">
        <v>18.462759999999999</v>
      </c>
      <c r="K268">
        <v>18.21491</v>
      </c>
      <c r="L268">
        <v>18.664545</v>
      </c>
      <c r="M268">
        <v>17.273066</v>
      </c>
      <c r="N268">
        <v>17.664701000000001</v>
      </c>
      <c r="O268">
        <v>18.504038000000001</v>
      </c>
      <c r="P268">
        <v>18.141905000000001</v>
      </c>
      <c r="Q268">
        <v>17.366392000000001</v>
      </c>
      <c r="R268">
        <v>18.511469000000002</v>
      </c>
      <c r="S268">
        <v>16.928175</v>
      </c>
      <c r="T268">
        <v>18.159924</v>
      </c>
      <c r="U268">
        <v>19.12293</v>
      </c>
      <c r="V268">
        <v>18.114599999999999</v>
      </c>
      <c r="W268">
        <v>19.291779999999999</v>
      </c>
      <c r="X268">
        <v>18.176054000000001</v>
      </c>
      <c r="Y268">
        <v>18.423114999999999</v>
      </c>
      <c r="Z268">
        <v>18.944956000000001</v>
      </c>
      <c r="AA268">
        <v>19.504370000000002</v>
      </c>
      <c r="AB268">
        <v>18.545546999999999</v>
      </c>
      <c r="AC268">
        <v>17.86805</v>
      </c>
      <c r="AD268">
        <v>18.81335</v>
      </c>
      <c r="AE268">
        <v>19.664073999999999</v>
      </c>
      <c r="AF268">
        <v>19.314781</v>
      </c>
      <c r="AG268">
        <v>19.001638</v>
      </c>
    </row>
    <row r="269" spans="1:33" x14ac:dyDescent="0.25">
      <c r="A269" s="1">
        <v>44320</v>
      </c>
      <c r="B269">
        <v>18.148354999999999</v>
      </c>
      <c r="C269">
        <v>18.018844999999999</v>
      </c>
      <c r="D269">
        <v>17.810734</v>
      </c>
      <c r="E269">
        <v>17.785357000000001</v>
      </c>
      <c r="F269">
        <v>17.871746000000002</v>
      </c>
      <c r="G269">
        <v>17.566334000000001</v>
      </c>
      <c r="H269">
        <v>16.972902000000001</v>
      </c>
      <c r="I269">
        <v>18.426355000000001</v>
      </c>
      <c r="J269">
        <v>19.087923</v>
      </c>
      <c r="K269">
        <v>18.67409</v>
      </c>
      <c r="L269">
        <v>19.121561</v>
      </c>
      <c r="M269">
        <v>17.697299999999998</v>
      </c>
      <c r="N269">
        <v>18.154812</v>
      </c>
      <c r="O269">
        <v>18.968236999999998</v>
      </c>
      <c r="P269">
        <v>18.549237999999999</v>
      </c>
      <c r="Q269">
        <v>17.794976999999999</v>
      </c>
      <c r="R269">
        <v>18.961041999999999</v>
      </c>
      <c r="S269">
        <v>17.463453000000001</v>
      </c>
      <c r="T269">
        <v>18.702325999999999</v>
      </c>
      <c r="U269">
        <v>19.505338999999999</v>
      </c>
      <c r="V269">
        <v>18.794225999999998</v>
      </c>
      <c r="W269">
        <v>19.639578</v>
      </c>
      <c r="X269">
        <v>18.929686</v>
      </c>
      <c r="Y269">
        <v>19.072817000000001</v>
      </c>
      <c r="Z269">
        <v>19.346796000000001</v>
      </c>
      <c r="AA269">
        <v>19.898786999999999</v>
      </c>
      <c r="AB269">
        <v>19.134202999999999</v>
      </c>
      <c r="AC269">
        <v>18.243646999999999</v>
      </c>
      <c r="AD269">
        <v>19.168581</v>
      </c>
      <c r="AE269">
        <v>20.906518999999999</v>
      </c>
      <c r="AF269">
        <v>19.631430000000002</v>
      </c>
      <c r="AG269">
        <v>19.748213</v>
      </c>
    </row>
    <row r="270" spans="1:33" x14ac:dyDescent="0.25">
      <c r="A270" s="1">
        <v>44321</v>
      </c>
      <c r="B270">
        <v>18.811610000000002</v>
      </c>
      <c r="C270">
        <v>18.464603</v>
      </c>
      <c r="D270">
        <v>18.484394000000002</v>
      </c>
      <c r="E270">
        <v>18.492086</v>
      </c>
      <c r="F270">
        <v>18.276793000000001</v>
      </c>
      <c r="G270">
        <v>17.921122</v>
      </c>
      <c r="H270">
        <v>17.303357999999999</v>
      </c>
      <c r="I270">
        <v>18.884557999999998</v>
      </c>
      <c r="J270">
        <v>19.94876</v>
      </c>
      <c r="K270">
        <v>19.188414000000002</v>
      </c>
      <c r="L270">
        <v>19.626604</v>
      </c>
      <c r="M270">
        <v>18.073903999999999</v>
      </c>
      <c r="N270">
        <v>18.615504999999999</v>
      </c>
      <c r="O270">
        <v>19.487542999999999</v>
      </c>
      <c r="P270">
        <v>19.063794999999999</v>
      </c>
      <c r="Q270">
        <v>18.183717999999999</v>
      </c>
      <c r="R270">
        <v>19.412596000000001</v>
      </c>
      <c r="S270">
        <v>18.540928000000001</v>
      </c>
      <c r="T270">
        <v>19.350480999999998</v>
      </c>
      <c r="U270">
        <v>20.129415999999999</v>
      </c>
      <c r="V270">
        <v>19.540113000000002</v>
      </c>
      <c r="W270">
        <v>20.415583000000002</v>
      </c>
      <c r="X270">
        <v>19.813476999999999</v>
      </c>
      <c r="Y270">
        <v>19.888988000000001</v>
      </c>
      <c r="Z270">
        <v>19.986751999999999</v>
      </c>
      <c r="AA270">
        <v>20.493528000000001</v>
      </c>
      <c r="AB270">
        <v>19.920576000000001</v>
      </c>
      <c r="AC270">
        <v>19.154620999999999</v>
      </c>
      <c r="AD270">
        <v>19.640974</v>
      </c>
      <c r="AE270">
        <v>22.438424999999999</v>
      </c>
      <c r="AF270">
        <v>20.107683000000002</v>
      </c>
      <c r="AG270">
        <v>20.589136</v>
      </c>
    </row>
    <row r="271" spans="1:33" x14ac:dyDescent="0.25">
      <c r="A271" s="1">
        <v>44322</v>
      </c>
      <c r="B271">
        <v>18.704257999999999</v>
      </c>
      <c r="C271">
        <v>18.22673</v>
      </c>
      <c r="D271">
        <v>18.579222000000001</v>
      </c>
      <c r="E271">
        <v>18.57694</v>
      </c>
      <c r="F271">
        <v>17.88025</v>
      </c>
      <c r="G271">
        <v>17.989750000000001</v>
      </c>
      <c r="H271">
        <v>17.169384000000001</v>
      </c>
      <c r="I271">
        <v>18.103560999999999</v>
      </c>
      <c r="J271">
        <v>19.852022000000002</v>
      </c>
      <c r="K271">
        <v>19.237901999999998</v>
      </c>
      <c r="L271">
        <v>19.688389999999998</v>
      </c>
      <c r="M271">
        <v>18.069649999999999</v>
      </c>
      <c r="N271">
        <v>18.603693</v>
      </c>
      <c r="O271">
        <v>19.417905999999999</v>
      </c>
      <c r="P271">
        <v>19.194486999999999</v>
      </c>
      <c r="Q271">
        <v>18.262561999999999</v>
      </c>
      <c r="R271">
        <v>19.35472</v>
      </c>
      <c r="S271">
        <v>18.07396</v>
      </c>
      <c r="T271">
        <v>19.32413</v>
      </c>
      <c r="U271">
        <v>20.224060000000001</v>
      </c>
      <c r="V271">
        <v>19.452687999999998</v>
      </c>
      <c r="W271">
        <v>20.350565</v>
      </c>
      <c r="X271">
        <v>19.789860000000001</v>
      </c>
      <c r="Y271">
        <v>20.032060000000001</v>
      </c>
      <c r="Z271">
        <v>20.135003999999999</v>
      </c>
      <c r="AA271">
        <v>20.816053</v>
      </c>
      <c r="AB271">
        <v>20.104016999999999</v>
      </c>
      <c r="AC271">
        <v>19.316374</v>
      </c>
      <c r="AD271">
        <v>19.805033000000002</v>
      </c>
      <c r="AE271">
        <v>22.287882</v>
      </c>
      <c r="AF271">
        <v>20.392575999999998</v>
      </c>
      <c r="AG271">
        <v>20.452845</v>
      </c>
    </row>
    <row r="272" spans="1:33" x14ac:dyDescent="0.25">
      <c r="A272" s="1">
        <v>44323</v>
      </c>
      <c r="B272">
        <v>18.350280000000001</v>
      </c>
      <c r="C272">
        <v>18.133558000000001</v>
      </c>
      <c r="D272">
        <v>18.457906999999999</v>
      </c>
      <c r="E272">
        <v>18.48367</v>
      </c>
      <c r="F272">
        <v>17.751397999999998</v>
      </c>
      <c r="G272">
        <v>17.86299</v>
      </c>
      <c r="H272">
        <v>17.295725000000001</v>
      </c>
      <c r="I272">
        <v>17.340664</v>
      </c>
      <c r="J272">
        <v>19.137547999999999</v>
      </c>
      <c r="K272">
        <v>19.067350000000001</v>
      </c>
      <c r="L272">
        <v>19.624763000000002</v>
      </c>
      <c r="M272">
        <v>18.036583</v>
      </c>
      <c r="N272">
        <v>18.523157000000001</v>
      </c>
      <c r="O272">
        <v>19.364614</v>
      </c>
      <c r="P272">
        <v>19.019227999999998</v>
      </c>
      <c r="Q272">
        <v>18.152086000000001</v>
      </c>
      <c r="R272">
        <v>19.330293999999999</v>
      </c>
      <c r="S272">
        <v>16.995467999999999</v>
      </c>
      <c r="T272">
        <v>19.175111999999999</v>
      </c>
      <c r="U272">
        <v>20.134903000000001</v>
      </c>
      <c r="V272">
        <v>19.419699000000001</v>
      </c>
      <c r="W272">
        <v>20.383037999999999</v>
      </c>
      <c r="X272">
        <v>19.648285000000001</v>
      </c>
      <c r="Y272">
        <v>19.402676</v>
      </c>
      <c r="Z272">
        <v>19.885715000000001</v>
      </c>
      <c r="AA272">
        <v>20.698957</v>
      </c>
      <c r="AB272">
        <v>19.590256</v>
      </c>
      <c r="AC272">
        <v>18.936620000000001</v>
      </c>
      <c r="AD272">
        <v>19.811806000000001</v>
      </c>
      <c r="AE272">
        <v>20.969873</v>
      </c>
      <c r="AF272">
        <v>20.426127999999999</v>
      </c>
      <c r="AG272">
        <v>20.0868</v>
      </c>
    </row>
    <row r="273" spans="1:33" x14ac:dyDescent="0.25">
      <c r="A273" s="1">
        <v>44324</v>
      </c>
      <c r="B273">
        <v>18.731579</v>
      </c>
      <c r="C273">
        <v>18.278185000000001</v>
      </c>
      <c r="D273">
        <v>18.432756000000001</v>
      </c>
      <c r="E273">
        <v>18.612036</v>
      </c>
      <c r="F273">
        <v>18.028199999999998</v>
      </c>
      <c r="G273">
        <v>17.947824000000001</v>
      </c>
      <c r="H273">
        <v>17.45571</v>
      </c>
      <c r="I273">
        <v>17.447762999999998</v>
      </c>
      <c r="J273">
        <v>18.706237999999999</v>
      </c>
      <c r="K273">
        <v>18.945730000000001</v>
      </c>
      <c r="L273">
        <v>19.496635000000001</v>
      </c>
      <c r="M273">
        <v>18.146788000000001</v>
      </c>
      <c r="N273">
        <v>18.614618</v>
      </c>
      <c r="O273">
        <v>19.250378000000001</v>
      </c>
      <c r="P273">
        <v>18.959593000000002</v>
      </c>
      <c r="Q273">
        <v>18.186295000000001</v>
      </c>
      <c r="R273">
        <v>19.217289999999998</v>
      </c>
      <c r="S273">
        <v>16.70233</v>
      </c>
      <c r="T273">
        <v>18.984926000000002</v>
      </c>
      <c r="U273">
        <v>19.879933999999999</v>
      </c>
      <c r="V273">
        <v>19.417369999999998</v>
      </c>
      <c r="W273">
        <v>20.641003000000001</v>
      </c>
      <c r="X273">
        <v>19.707868999999999</v>
      </c>
      <c r="Y273">
        <v>19.289373000000001</v>
      </c>
      <c r="Z273">
        <v>19.527842</v>
      </c>
      <c r="AA273">
        <v>20.511842999999999</v>
      </c>
      <c r="AB273">
        <v>19.484532999999999</v>
      </c>
      <c r="AC273">
        <v>18.849491</v>
      </c>
      <c r="AD273">
        <v>19.669734999999999</v>
      </c>
      <c r="AE273">
        <v>20.944289999999999</v>
      </c>
      <c r="AF273">
        <v>20.426874000000002</v>
      </c>
      <c r="AG273">
        <v>19.933966000000002</v>
      </c>
    </row>
    <row r="274" spans="1:33" x14ac:dyDescent="0.25">
      <c r="A274" s="1">
        <v>44325</v>
      </c>
      <c r="B274">
        <v>19.345095000000001</v>
      </c>
      <c r="C274">
        <v>18.588152000000001</v>
      </c>
      <c r="D274">
        <v>18.643903999999999</v>
      </c>
      <c r="E274">
        <v>18.904335</v>
      </c>
      <c r="F274">
        <v>18.413805</v>
      </c>
      <c r="G274">
        <v>18.180112999999999</v>
      </c>
      <c r="H274">
        <v>17.408449999999998</v>
      </c>
      <c r="I274">
        <v>17.993845</v>
      </c>
      <c r="J274">
        <v>18.921842999999999</v>
      </c>
      <c r="K274">
        <v>19.087564</v>
      </c>
      <c r="L274">
        <v>19.583258000000001</v>
      </c>
      <c r="M274">
        <v>18.328361999999998</v>
      </c>
      <c r="N274">
        <v>18.734003000000001</v>
      </c>
      <c r="O274">
        <v>19.392188999999998</v>
      </c>
      <c r="P274">
        <v>19.091265</v>
      </c>
      <c r="Q274">
        <v>18.325619</v>
      </c>
      <c r="R274">
        <v>19.350542000000001</v>
      </c>
      <c r="S274">
        <v>16.776900000000001</v>
      </c>
      <c r="T274">
        <v>19.059076000000001</v>
      </c>
      <c r="U274">
        <v>19.888172000000001</v>
      </c>
      <c r="V274">
        <v>19.497519</v>
      </c>
      <c r="W274">
        <v>20.48077</v>
      </c>
      <c r="X274">
        <v>19.787424000000001</v>
      </c>
      <c r="Y274">
        <v>19.572051999999999</v>
      </c>
      <c r="Z274">
        <v>19.570481999999998</v>
      </c>
      <c r="AA274">
        <v>20.599539</v>
      </c>
      <c r="AB274">
        <v>19.74579</v>
      </c>
      <c r="AC274">
        <v>19.164995000000001</v>
      </c>
      <c r="AD274">
        <v>19.700216000000001</v>
      </c>
      <c r="AE274">
        <v>20.975020000000001</v>
      </c>
      <c r="AF274">
        <v>20.534990000000001</v>
      </c>
      <c r="AG274">
        <v>20.097950000000001</v>
      </c>
    </row>
    <row r="275" spans="1:33" x14ac:dyDescent="0.25">
      <c r="A275" s="1">
        <v>44326</v>
      </c>
      <c r="B275">
        <v>19.766756000000001</v>
      </c>
      <c r="C275">
        <v>18.769757999999999</v>
      </c>
      <c r="D275">
        <v>18.902581999999999</v>
      </c>
      <c r="E275">
        <v>19.170968999999999</v>
      </c>
      <c r="F275">
        <v>18.753689999999999</v>
      </c>
      <c r="G275">
        <v>18.456458999999999</v>
      </c>
      <c r="H275">
        <v>17.616652999999999</v>
      </c>
      <c r="I275">
        <v>18.452428999999999</v>
      </c>
      <c r="J275">
        <v>19.423953999999998</v>
      </c>
      <c r="K275">
        <v>19.302135</v>
      </c>
      <c r="L275">
        <v>19.731065999999998</v>
      </c>
      <c r="M275">
        <v>18.586359000000002</v>
      </c>
      <c r="N275">
        <v>18.882486</v>
      </c>
      <c r="O275">
        <v>19.549386999999999</v>
      </c>
      <c r="P275">
        <v>19.302778</v>
      </c>
      <c r="Q275">
        <v>18.541599999999999</v>
      </c>
      <c r="R275">
        <v>19.497786999999999</v>
      </c>
      <c r="S275">
        <v>17.359186000000001</v>
      </c>
      <c r="T275">
        <v>19.289083000000002</v>
      </c>
      <c r="U275">
        <v>20.118207999999999</v>
      </c>
      <c r="V275">
        <v>19.865894000000001</v>
      </c>
      <c r="W275">
        <v>20.114035000000001</v>
      </c>
      <c r="X275">
        <v>20.252925999999999</v>
      </c>
      <c r="Y275">
        <v>19.996473000000002</v>
      </c>
      <c r="Z275">
        <v>19.78679</v>
      </c>
      <c r="AA275">
        <v>20.864107000000001</v>
      </c>
      <c r="AB275">
        <v>20.161518000000001</v>
      </c>
      <c r="AC275">
        <v>19.527670000000001</v>
      </c>
      <c r="AD275">
        <v>19.850807</v>
      </c>
      <c r="AE275">
        <v>21.419702999999998</v>
      </c>
      <c r="AF275">
        <v>20.719785999999999</v>
      </c>
      <c r="AG275">
        <v>20.378740000000001</v>
      </c>
    </row>
    <row r="276" spans="1:33" x14ac:dyDescent="0.25">
      <c r="A276" s="1">
        <v>44327</v>
      </c>
      <c r="B276">
        <v>19.970061999999999</v>
      </c>
      <c r="C276">
        <v>19.060721999999998</v>
      </c>
      <c r="D276">
        <v>19.15737</v>
      </c>
      <c r="E276">
        <v>19.352540999999999</v>
      </c>
      <c r="F276">
        <v>19.045045999999999</v>
      </c>
      <c r="G276">
        <v>18.730011000000001</v>
      </c>
      <c r="H276">
        <v>17.702936000000001</v>
      </c>
      <c r="I276">
        <v>18.898806</v>
      </c>
      <c r="J276">
        <v>20.027998</v>
      </c>
      <c r="K276">
        <v>19.574407999999998</v>
      </c>
      <c r="L276">
        <v>19.989937000000001</v>
      </c>
      <c r="M276">
        <v>18.841902000000001</v>
      </c>
      <c r="N276">
        <v>19.102072</v>
      </c>
      <c r="O276">
        <v>19.849588000000001</v>
      </c>
      <c r="P276">
        <v>19.559000000000001</v>
      </c>
      <c r="Q276">
        <v>18.796769999999999</v>
      </c>
      <c r="R276">
        <v>19.745014000000001</v>
      </c>
      <c r="S276">
        <v>17.965665999999999</v>
      </c>
      <c r="T276">
        <v>19.652752</v>
      </c>
      <c r="U276">
        <v>20.496191</v>
      </c>
      <c r="V276">
        <v>20.345282000000001</v>
      </c>
      <c r="W276">
        <v>19.690999999999999</v>
      </c>
      <c r="X276">
        <v>20.814782999999998</v>
      </c>
      <c r="Y276">
        <v>20.453491</v>
      </c>
      <c r="Z276">
        <v>20.148748000000001</v>
      </c>
      <c r="AA276">
        <v>21.178825</v>
      </c>
      <c r="AB276">
        <v>20.572966000000001</v>
      </c>
      <c r="AC276">
        <v>19.972591000000001</v>
      </c>
      <c r="AD276">
        <v>20.076689999999999</v>
      </c>
      <c r="AE276">
        <v>22.068573000000001</v>
      </c>
      <c r="AF276">
        <v>20.943045000000001</v>
      </c>
      <c r="AG276">
        <v>20.728639999999999</v>
      </c>
    </row>
    <row r="277" spans="1:33" x14ac:dyDescent="0.25">
      <c r="A277" s="1">
        <v>44328</v>
      </c>
      <c r="B277">
        <v>19.851161999999999</v>
      </c>
      <c r="C277">
        <v>19.09618</v>
      </c>
      <c r="D277">
        <v>19.174386999999999</v>
      </c>
      <c r="E277">
        <v>19.303834999999999</v>
      </c>
      <c r="F277">
        <v>18.98226</v>
      </c>
      <c r="G277">
        <v>18.889317999999999</v>
      </c>
      <c r="H277">
        <v>17.611048</v>
      </c>
      <c r="I277">
        <v>18.668554</v>
      </c>
      <c r="J277">
        <v>20.550764000000001</v>
      </c>
      <c r="K277">
        <v>19.821808000000001</v>
      </c>
      <c r="L277">
        <v>20.278307000000002</v>
      </c>
      <c r="M277">
        <v>19.007414000000001</v>
      </c>
      <c r="N277">
        <v>19.212364000000001</v>
      </c>
      <c r="O277">
        <v>20.090707999999999</v>
      </c>
      <c r="P277">
        <v>19.790144000000002</v>
      </c>
      <c r="Q277">
        <v>18.942115999999999</v>
      </c>
      <c r="R277">
        <v>19.944362999999999</v>
      </c>
      <c r="S277">
        <v>18.605094999999999</v>
      </c>
      <c r="T277">
        <v>19.938500999999999</v>
      </c>
      <c r="U277">
        <v>20.965612</v>
      </c>
      <c r="V277">
        <v>20.566586999999998</v>
      </c>
      <c r="W277">
        <v>19.821570999999999</v>
      </c>
      <c r="X277">
        <v>21.003533999999998</v>
      </c>
      <c r="Y277">
        <v>21.053609999999999</v>
      </c>
      <c r="Z277">
        <v>20.623225999999999</v>
      </c>
      <c r="AA277">
        <v>21.612566000000001</v>
      </c>
      <c r="AB277">
        <v>21.143744000000002</v>
      </c>
      <c r="AC277">
        <v>20.647438000000001</v>
      </c>
      <c r="AD277">
        <v>20.349508</v>
      </c>
      <c r="AE277">
        <v>21.472474999999999</v>
      </c>
      <c r="AF277">
        <v>21.270285000000001</v>
      </c>
      <c r="AG277">
        <v>21.274785999999999</v>
      </c>
    </row>
    <row r="278" spans="1:33" x14ac:dyDescent="0.25">
      <c r="A278" s="1">
        <v>44329</v>
      </c>
      <c r="B278">
        <v>19.319279999999999</v>
      </c>
      <c r="C278">
        <v>18.973120000000002</v>
      </c>
      <c r="D278">
        <v>18.848406000000001</v>
      </c>
      <c r="E278">
        <v>18.910658000000002</v>
      </c>
      <c r="F278">
        <v>18.775445999999999</v>
      </c>
      <c r="G278">
        <v>18.901071999999999</v>
      </c>
      <c r="H278">
        <v>17.519666999999998</v>
      </c>
      <c r="I278">
        <v>18.015561999999999</v>
      </c>
      <c r="J278">
        <v>20.622215000000001</v>
      </c>
      <c r="K278">
        <v>19.853645</v>
      </c>
      <c r="L278">
        <v>20.439796000000001</v>
      </c>
      <c r="M278">
        <v>18.98732</v>
      </c>
      <c r="N278">
        <v>19.123573</v>
      </c>
      <c r="O278">
        <v>20.136095000000001</v>
      </c>
      <c r="P278">
        <v>19.837284</v>
      </c>
      <c r="Q278">
        <v>18.916096</v>
      </c>
      <c r="R278">
        <v>20.003102999999999</v>
      </c>
      <c r="S278">
        <v>18.309888999999998</v>
      </c>
      <c r="T278">
        <v>19.799361999999999</v>
      </c>
      <c r="U278">
        <v>21.103757999999999</v>
      </c>
      <c r="V278">
        <v>20.266670000000001</v>
      </c>
      <c r="W278">
        <v>20.71227</v>
      </c>
      <c r="X278">
        <v>20.591404000000001</v>
      </c>
      <c r="Y278">
        <v>21.386925000000002</v>
      </c>
      <c r="Z278">
        <v>20.91799</v>
      </c>
      <c r="AA278">
        <v>21.976723</v>
      </c>
      <c r="AB278">
        <v>21.470666999999999</v>
      </c>
      <c r="AC278">
        <v>20.943235000000001</v>
      </c>
      <c r="AD278">
        <v>20.552565000000001</v>
      </c>
      <c r="AE278">
        <v>19.472646999999998</v>
      </c>
      <c r="AF278">
        <v>21.570663</v>
      </c>
      <c r="AG278">
        <v>21.713293</v>
      </c>
    </row>
    <row r="279" spans="1:33" x14ac:dyDescent="0.25">
      <c r="A279" s="1">
        <v>44330</v>
      </c>
      <c r="B279">
        <v>19.024066999999999</v>
      </c>
      <c r="C279">
        <v>18.899736000000001</v>
      </c>
      <c r="D279">
        <v>18.460407</v>
      </c>
      <c r="E279">
        <v>18.588636000000001</v>
      </c>
      <c r="F279">
        <v>18.585726000000001</v>
      </c>
      <c r="G279">
        <v>18.824348000000001</v>
      </c>
      <c r="H279">
        <v>17.420846999999998</v>
      </c>
      <c r="I279">
        <v>17.770702</v>
      </c>
      <c r="J279">
        <v>20.818024000000001</v>
      </c>
      <c r="K279">
        <v>19.948011000000001</v>
      </c>
      <c r="L279">
        <v>20.649946</v>
      </c>
      <c r="M279">
        <v>18.931625</v>
      </c>
      <c r="N279">
        <v>19.107716</v>
      </c>
      <c r="O279">
        <v>20.31044</v>
      </c>
      <c r="P279">
        <v>19.915866999999999</v>
      </c>
      <c r="Q279">
        <v>18.880838000000001</v>
      </c>
      <c r="R279">
        <v>20.169122999999999</v>
      </c>
      <c r="S279">
        <v>17.787206999999999</v>
      </c>
      <c r="T279">
        <v>19.644594000000001</v>
      </c>
      <c r="U279">
        <v>21.167380000000001</v>
      </c>
      <c r="V279">
        <v>19.947213999999999</v>
      </c>
      <c r="W279">
        <v>21.246431000000001</v>
      </c>
      <c r="X279">
        <v>20.205584000000002</v>
      </c>
      <c r="Y279">
        <v>21.349173</v>
      </c>
      <c r="Z279">
        <v>21.1602</v>
      </c>
      <c r="AA279">
        <v>22.210820999999999</v>
      </c>
      <c r="AB279">
        <v>21.485199999999999</v>
      </c>
      <c r="AC279">
        <v>20.659867999999999</v>
      </c>
      <c r="AD279">
        <v>20.739141</v>
      </c>
      <c r="AE279">
        <v>18.979177</v>
      </c>
      <c r="AF279">
        <v>21.778185000000001</v>
      </c>
      <c r="AG279">
        <v>21.820719</v>
      </c>
    </row>
    <row r="280" spans="1:33" x14ac:dyDescent="0.25">
      <c r="A280" s="1">
        <v>44331</v>
      </c>
      <c r="B280">
        <v>18.63064</v>
      </c>
      <c r="C280">
        <v>18.773544000000001</v>
      </c>
      <c r="D280">
        <v>17.998930000000001</v>
      </c>
      <c r="E280">
        <v>18.269176000000002</v>
      </c>
      <c r="F280">
        <v>18.287544</v>
      </c>
      <c r="G280">
        <v>18.695898</v>
      </c>
      <c r="H280">
        <v>17.341159999999999</v>
      </c>
      <c r="I280">
        <v>17.458683000000001</v>
      </c>
      <c r="J280">
        <v>21.035215000000001</v>
      </c>
      <c r="K280">
        <v>20.133734</v>
      </c>
      <c r="L280">
        <v>20.85454</v>
      </c>
      <c r="M280">
        <v>18.852139999999999</v>
      </c>
      <c r="N280">
        <v>19.14245</v>
      </c>
      <c r="O280">
        <v>20.536963</v>
      </c>
      <c r="P280">
        <v>20.072939999999999</v>
      </c>
      <c r="Q280">
        <v>18.811674</v>
      </c>
      <c r="R280">
        <v>20.389364</v>
      </c>
      <c r="S280">
        <v>17.44819</v>
      </c>
      <c r="T280">
        <v>19.521951999999999</v>
      </c>
      <c r="U280">
        <v>21.212116000000002</v>
      </c>
      <c r="V280">
        <v>19.944445000000002</v>
      </c>
      <c r="W280">
        <v>21.204096</v>
      </c>
      <c r="X280">
        <v>20.406656000000002</v>
      </c>
      <c r="Y280">
        <v>20.840883000000002</v>
      </c>
      <c r="Z280">
        <v>21.380531000000001</v>
      </c>
      <c r="AA280">
        <v>22.162285000000001</v>
      </c>
      <c r="AB280">
        <v>21.017605</v>
      </c>
      <c r="AC280">
        <v>19.676356999999999</v>
      </c>
      <c r="AD280">
        <v>20.929293000000001</v>
      </c>
      <c r="AE280">
        <v>18.848800000000001</v>
      </c>
      <c r="AF280">
        <v>21.729113000000002</v>
      </c>
      <c r="AG280">
        <v>21.227837000000001</v>
      </c>
    </row>
    <row r="281" spans="1:33" x14ac:dyDescent="0.25">
      <c r="A281" s="1">
        <v>44332</v>
      </c>
      <c r="B281">
        <v>18.297930000000001</v>
      </c>
      <c r="C281">
        <v>18.880005000000001</v>
      </c>
      <c r="D281">
        <v>17.798310000000001</v>
      </c>
      <c r="E281">
        <v>18.05874</v>
      </c>
      <c r="F281">
        <v>18.464594000000002</v>
      </c>
      <c r="G281">
        <v>18.700253</v>
      </c>
      <c r="H281">
        <v>17.295853000000001</v>
      </c>
      <c r="I281">
        <v>17.558401</v>
      </c>
      <c r="J281">
        <v>21.191884999999999</v>
      </c>
      <c r="K281">
        <v>20.253140999999999</v>
      </c>
      <c r="L281">
        <v>20.993593000000001</v>
      </c>
      <c r="M281">
        <v>18.807894000000001</v>
      </c>
      <c r="N281">
        <v>19.186693000000002</v>
      </c>
      <c r="O281">
        <v>20.618957999999999</v>
      </c>
      <c r="P281">
        <v>20.173555</v>
      </c>
      <c r="Q281">
        <v>18.866299999999999</v>
      </c>
      <c r="R281">
        <v>20.541445</v>
      </c>
      <c r="S281">
        <v>17.494409999999998</v>
      </c>
      <c r="T281">
        <v>19.543783000000001</v>
      </c>
      <c r="U281">
        <v>21.235800000000001</v>
      </c>
      <c r="V281">
        <v>20.128399999999999</v>
      </c>
      <c r="W281">
        <v>21.039477999999999</v>
      </c>
      <c r="X281">
        <v>20.730713000000002</v>
      </c>
      <c r="Y281">
        <v>20.696352000000001</v>
      </c>
      <c r="Z281">
        <v>21.537994000000001</v>
      </c>
      <c r="AA281">
        <v>22.369195999999999</v>
      </c>
      <c r="AB281">
        <v>20.898240999999999</v>
      </c>
      <c r="AC281">
        <v>19.364204000000001</v>
      </c>
      <c r="AD281">
        <v>21.104996</v>
      </c>
      <c r="AE281">
        <v>19.377790000000001</v>
      </c>
      <c r="AF281">
        <v>21.874407000000001</v>
      </c>
      <c r="AG281">
        <v>21.451727000000002</v>
      </c>
    </row>
    <row r="282" spans="1:33" x14ac:dyDescent="0.25">
      <c r="A282" s="1">
        <v>44333</v>
      </c>
      <c r="B282">
        <v>18.032015000000001</v>
      </c>
      <c r="C282">
        <v>18.749146</v>
      </c>
      <c r="D282">
        <v>17.599419000000001</v>
      </c>
      <c r="E282">
        <v>17.801943000000001</v>
      </c>
      <c r="F282">
        <v>18.312837999999999</v>
      </c>
      <c r="G282">
        <v>18.648503999999999</v>
      </c>
      <c r="H282">
        <v>17.231434</v>
      </c>
      <c r="I282">
        <v>17.200593999999999</v>
      </c>
      <c r="J282">
        <v>20.829767</v>
      </c>
      <c r="K282">
        <v>20.097390999999998</v>
      </c>
      <c r="L282">
        <v>20.861447999999999</v>
      </c>
      <c r="M282">
        <v>18.715418</v>
      </c>
      <c r="N282">
        <v>19.051390000000001</v>
      </c>
      <c r="O282">
        <v>20.45852</v>
      </c>
      <c r="P282">
        <v>20.021695999999999</v>
      </c>
      <c r="Q282">
        <v>18.782059</v>
      </c>
      <c r="R282">
        <v>20.458539999999999</v>
      </c>
      <c r="S282">
        <v>17.113613000000001</v>
      </c>
      <c r="T282">
        <v>19.412638000000001</v>
      </c>
      <c r="U282">
        <v>20.944906</v>
      </c>
      <c r="V282">
        <v>19.938482</v>
      </c>
      <c r="W282">
        <v>20.826803000000002</v>
      </c>
      <c r="X282">
        <v>20.604004</v>
      </c>
      <c r="Y282">
        <v>20.568169999999999</v>
      </c>
      <c r="Z282">
        <v>21.376268</v>
      </c>
      <c r="AA282">
        <v>22.502426</v>
      </c>
      <c r="AB282">
        <v>20.804563999999999</v>
      </c>
      <c r="AC282">
        <v>19.249744</v>
      </c>
      <c r="AD282">
        <v>21.11027</v>
      </c>
      <c r="AE282">
        <v>19.377908999999999</v>
      </c>
      <c r="AF282">
        <v>22.008474</v>
      </c>
      <c r="AG282">
        <v>21.532219000000001</v>
      </c>
    </row>
    <row r="283" spans="1:33" x14ac:dyDescent="0.25">
      <c r="A283" s="1">
        <v>44334</v>
      </c>
      <c r="B283">
        <v>17.942699999999999</v>
      </c>
      <c r="C283">
        <v>18.648630000000001</v>
      </c>
      <c r="D283">
        <v>17.588694</v>
      </c>
      <c r="E283">
        <v>17.738824999999999</v>
      </c>
      <c r="F283">
        <v>18.078067999999998</v>
      </c>
      <c r="G283">
        <v>18.591187999999999</v>
      </c>
      <c r="H283">
        <v>17.207184000000002</v>
      </c>
      <c r="I283">
        <v>17.107759999999999</v>
      </c>
      <c r="J283">
        <v>20.451834000000002</v>
      </c>
      <c r="K283">
        <v>19.959016999999999</v>
      </c>
      <c r="L283">
        <v>20.724539</v>
      </c>
      <c r="M283">
        <v>18.61918</v>
      </c>
      <c r="N283">
        <v>18.973875</v>
      </c>
      <c r="O283">
        <v>20.46219</v>
      </c>
      <c r="P283">
        <v>19.866869999999999</v>
      </c>
      <c r="Q283">
        <v>18.694557</v>
      </c>
      <c r="R283">
        <v>20.432116000000001</v>
      </c>
      <c r="S283">
        <v>17.091937999999999</v>
      </c>
      <c r="T283">
        <v>19.428621</v>
      </c>
      <c r="U283">
        <v>20.873913000000002</v>
      </c>
      <c r="V283">
        <v>20.017488</v>
      </c>
      <c r="W283">
        <v>20.860375999999999</v>
      </c>
      <c r="X283">
        <v>20.564572999999999</v>
      </c>
      <c r="Y283">
        <v>19.858671000000001</v>
      </c>
      <c r="Z283">
        <v>21.185594999999999</v>
      </c>
      <c r="AA283">
        <v>22.295807</v>
      </c>
      <c r="AB283">
        <v>20.125005999999999</v>
      </c>
      <c r="AC283">
        <v>18.872395999999998</v>
      </c>
      <c r="AD283">
        <v>21.060167</v>
      </c>
      <c r="AE283">
        <v>19.542943999999999</v>
      </c>
      <c r="AF283">
        <v>21.983255</v>
      </c>
      <c r="AG283">
        <v>20.919336000000001</v>
      </c>
    </row>
    <row r="284" spans="1:33" x14ac:dyDescent="0.25">
      <c r="A284" s="1">
        <v>44335</v>
      </c>
      <c r="B284">
        <v>17.285596999999999</v>
      </c>
      <c r="C284">
        <v>18.274367999999999</v>
      </c>
      <c r="D284">
        <v>17.428260000000002</v>
      </c>
      <c r="E284">
        <v>17.457097999999998</v>
      </c>
      <c r="F284">
        <v>17.454789999999999</v>
      </c>
      <c r="G284">
        <v>18.244859999999999</v>
      </c>
      <c r="H284">
        <v>16.974754000000001</v>
      </c>
      <c r="I284">
        <v>16.404463</v>
      </c>
      <c r="J284">
        <v>19.106825000000001</v>
      </c>
      <c r="K284">
        <v>19.459482000000001</v>
      </c>
      <c r="L284">
        <v>20.191095000000001</v>
      </c>
      <c r="M284">
        <v>18.229008</v>
      </c>
      <c r="N284">
        <v>18.625889000000001</v>
      </c>
      <c r="O284">
        <v>20.028921</v>
      </c>
      <c r="P284">
        <v>19.407548999999999</v>
      </c>
      <c r="Q284">
        <v>18.35754</v>
      </c>
      <c r="R284">
        <v>20.055852999999999</v>
      </c>
      <c r="S284">
        <v>16.372865999999998</v>
      </c>
      <c r="T284">
        <v>19.127289999999999</v>
      </c>
      <c r="U284">
        <v>20.557486000000001</v>
      </c>
      <c r="V284">
        <v>19.510781999999999</v>
      </c>
      <c r="W284">
        <v>20.880680000000002</v>
      </c>
      <c r="X284">
        <v>20.039670000000001</v>
      </c>
      <c r="Y284">
        <v>19.127604000000002</v>
      </c>
      <c r="Z284">
        <v>20.580062999999999</v>
      </c>
      <c r="AA284">
        <v>21.578959000000001</v>
      </c>
      <c r="AB284">
        <v>19.439851999999998</v>
      </c>
      <c r="AC284">
        <v>17.849240999999999</v>
      </c>
      <c r="AD284">
        <v>20.706973999999999</v>
      </c>
      <c r="AE284">
        <v>19.027650000000001</v>
      </c>
      <c r="AF284">
        <v>21.58822</v>
      </c>
      <c r="AG284">
        <v>20.062973</v>
      </c>
    </row>
    <row r="285" spans="1:33" x14ac:dyDescent="0.25">
      <c r="A285" s="1">
        <v>44336</v>
      </c>
      <c r="B285">
        <v>16.448346999999998</v>
      </c>
      <c r="C285">
        <v>17.959579999999999</v>
      </c>
      <c r="D285">
        <v>17.267696000000001</v>
      </c>
      <c r="E285">
        <v>16.884867</v>
      </c>
      <c r="F285">
        <v>17.161719999999999</v>
      </c>
      <c r="G285">
        <v>17.883714999999999</v>
      </c>
      <c r="H285">
        <v>16.694535999999999</v>
      </c>
      <c r="I285">
        <v>15.823314</v>
      </c>
      <c r="J285">
        <v>17.553328</v>
      </c>
      <c r="K285">
        <v>18.893550000000001</v>
      </c>
      <c r="L285">
        <v>19.446577000000001</v>
      </c>
      <c r="M285">
        <v>17.888525000000001</v>
      </c>
      <c r="N285">
        <v>18.267493999999999</v>
      </c>
      <c r="O285">
        <v>19.524511</v>
      </c>
      <c r="P285">
        <v>18.903217000000001</v>
      </c>
      <c r="Q285">
        <v>17.989805</v>
      </c>
      <c r="R285">
        <v>19.632082</v>
      </c>
      <c r="S285">
        <v>15.654576</v>
      </c>
      <c r="T285">
        <v>18.795981999999999</v>
      </c>
      <c r="U285">
        <v>19.966787</v>
      </c>
      <c r="V285">
        <v>19.486656</v>
      </c>
      <c r="W285">
        <v>20.653027999999999</v>
      </c>
      <c r="X285">
        <v>19.771844999999999</v>
      </c>
      <c r="Y285">
        <v>18.017828000000002</v>
      </c>
      <c r="Z285">
        <v>19.507154</v>
      </c>
      <c r="AA285">
        <v>20.739053999999999</v>
      </c>
      <c r="AB285">
        <v>18.419771000000001</v>
      </c>
      <c r="AC285">
        <v>16.669111000000001</v>
      </c>
      <c r="AD285">
        <v>20.197724999999998</v>
      </c>
      <c r="AE285">
        <v>18.195518</v>
      </c>
      <c r="AF285">
        <v>20.974357999999999</v>
      </c>
      <c r="AG285">
        <v>19.172628</v>
      </c>
    </row>
    <row r="286" spans="1:33" x14ac:dyDescent="0.25">
      <c r="A286" s="1">
        <v>44337</v>
      </c>
      <c r="B286">
        <v>16.596163000000001</v>
      </c>
      <c r="C286">
        <v>17.831613999999998</v>
      </c>
      <c r="D286">
        <v>17.231718000000001</v>
      </c>
      <c r="E286">
        <v>16.870723999999999</v>
      </c>
      <c r="F286">
        <v>17.402197000000001</v>
      </c>
      <c r="G286">
        <v>17.627523</v>
      </c>
      <c r="H286">
        <v>16.663160000000001</v>
      </c>
      <c r="I286">
        <v>16.117661999999999</v>
      </c>
      <c r="J286">
        <v>16.827051000000001</v>
      </c>
      <c r="K286">
        <v>18.698954000000001</v>
      </c>
      <c r="L286">
        <v>19.31352</v>
      </c>
      <c r="M286">
        <v>17.711539999999999</v>
      </c>
      <c r="N286">
        <v>18.245035000000001</v>
      </c>
      <c r="O286">
        <v>19.327902000000002</v>
      </c>
      <c r="P286">
        <v>18.655080000000002</v>
      </c>
      <c r="Q286">
        <v>17.843239000000001</v>
      </c>
      <c r="R286">
        <v>19.408293</v>
      </c>
      <c r="S286">
        <v>14.997799000000001</v>
      </c>
      <c r="T286">
        <v>18.616033999999999</v>
      </c>
      <c r="U286">
        <v>19.405325000000001</v>
      </c>
      <c r="V286">
        <v>19.382952</v>
      </c>
      <c r="W286">
        <v>20.025842999999998</v>
      </c>
      <c r="X286">
        <v>19.686869000000002</v>
      </c>
      <c r="Y286">
        <v>17.599245</v>
      </c>
      <c r="Z286">
        <v>18.929102</v>
      </c>
      <c r="AA286">
        <v>20.099489999999999</v>
      </c>
      <c r="AB286">
        <v>18.021698000000001</v>
      </c>
      <c r="AC286">
        <v>16.135515000000002</v>
      </c>
      <c r="AD286">
        <v>19.752127000000002</v>
      </c>
      <c r="AE286">
        <v>17.999189999999999</v>
      </c>
      <c r="AF286">
        <v>20.498573</v>
      </c>
      <c r="AG286">
        <v>18.839314000000002</v>
      </c>
    </row>
    <row r="287" spans="1:33" x14ac:dyDescent="0.25">
      <c r="A287" s="1">
        <v>44338</v>
      </c>
      <c r="B287">
        <v>16.988136000000001</v>
      </c>
      <c r="C287">
        <v>17.924579999999999</v>
      </c>
      <c r="D287">
        <v>17.379121999999999</v>
      </c>
      <c r="E287">
        <v>17.086462000000001</v>
      </c>
      <c r="F287">
        <v>17.528573999999999</v>
      </c>
      <c r="G287">
        <v>17.532693999999999</v>
      </c>
      <c r="H287">
        <v>16.723085000000001</v>
      </c>
      <c r="I287">
        <v>16.665747</v>
      </c>
      <c r="J287">
        <v>17.167994</v>
      </c>
      <c r="K287">
        <v>18.764372000000002</v>
      </c>
      <c r="L287">
        <v>19.438106999999999</v>
      </c>
      <c r="M287">
        <v>17.681941999999999</v>
      </c>
      <c r="N287">
        <v>18.345376999999999</v>
      </c>
      <c r="O287">
        <v>19.486422999999998</v>
      </c>
      <c r="P287">
        <v>18.657</v>
      </c>
      <c r="Q287">
        <v>17.814</v>
      </c>
      <c r="R287">
        <v>19.524431</v>
      </c>
      <c r="S287">
        <v>15.256307</v>
      </c>
      <c r="T287">
        <v>18.818404999999998</v>
      </c>
      <c r="U287">
        <v>19.465600999999999</v>
      </c>
      <c r="V287">
        <v>19.521626999999999</v>
      </c>
      <c r="W287">
        <v>19.826823999999998</v>
      </c>
      <c r="X287">
        <v>19.901613000000001</v>
      </c>
      <c r="Y287">
        <v>17.729042</v>
      </c>
      <c r="Z287">
        <v>18.949801999999998</v>
      </c>
      <c r="AA287">
        <v>19.957329999999999</v>
      </c>
      <c r="AB287">
        <v>18.175722</v>
      </c>
      <c r="AC287">
        <v>16.220949999999998</v>
      </c>
      <c r="AD287">
        <v>19.672067999999999</v>
      </c>
      <c r="AE287">
        <v>18.617858999999999</v>
      </c>
      <c r="AF287">
        <v>20.350275</v>
      </c>
      <c r="AG287">
        <v>18.993573999999999</v>
      </c>
    </row>
    <row r="288" spans="1:33" x14ac:dyDescent="0.25">
      <c r="A288" s="1">
        <v>44339</v>
      </c>
      <c r="B288">
        <v>17.334586999999999</v>
      </c>
      <c r="C288">
        <v>17.961442999999999</v>
      </c>
      <c r="D288">
        <v>17.4451</v>
      </c>
      <c r="E288">
        <v>17.210737000000002</v>
      </c>
      <c r="F288">
        <v>17.485298</v>
      </c>
      <c r="G288">
        <v>17.491530000000001</v>
      </c>
      <c r="H288">
        <v>16.634160999999999</v>
      </c>
      <c r="I288">
        <v>16.635259999999999</v>
      </c>
      <c r="J288">
        <v>17.861546000000001</v>
      </c>
      <c r="K288">
        <v>18.877098</v>
      </c>
      <c r="L288">
        <v>19.486345</v>
      </c>
      <c r="M288">
        <v>17.671209999999999</v>
      </c>
      <c r="N288">
        <v>18.447056</v>
      </c>
      <c r="O288">
        <v>19.58427</v>
      </c>
      <c r="P288">
        <v>18.781911999999998</v>
      </c>
      <c r="Q288">
        <v>17.818949</v>
      </c>
      <c r="R288">
        <v>19.542591000000002</v>
      </c>
      <c r="S288">
        <v>15.633607</v>
      </c>
      <c r="T288">
        <v>18.950952999999998</v>
      </c>
      <c r="U288">
        <v>19.602889999999999</v>
      </c>
      <c r="V288">
        <v>19.598199999999999</v>
      </c>
      <c r="W288">
        <v>19.759606999999999</v>
      </c>
      <c r="X288">
        <v>19.918581</v>
      </c>
      <c r="Y288">
        <v>18.078125</v>
      </c>
      <c r="Z288">
        <v>19.126609999999999</v>
      </c>
      <c r="AA288">
        <v>20.010999999999999</v>
      </c>
      <c r="AB288">
        <v>18.510244</v>
      </c>
      <c r="AC288">
        <v>16.503140999999999</v>
      </c>
      <c r="AD288">
        <v>19.719881000000001</v>
      </c>
      <c r="AE288">
        <v>19.244173</v>
      </c>
      <c r="AF288">
        <v>20.330380999999999</v>
      </c>
      <c r="AG288">
        <v>19.281003999999999</v>
      </c>
    </row>
    <row r="289" spans="1:33" x14ac:dyDescent="0.25">
      <c r="A289" s="1">
        <v>44340</v>
      </c>
      <c r="B289">
        <v>17.977215000000001</v>
      </c>
      <c r="C289">
        <v>18.227530000000002</v>
      </c>
      <c r="D289">
        <v>17.708041999999999</v>
      </c>
      <c r="E289">
        <v>17.447527000000001</v>
      </c>
      <c r="F289">
        <v>17.800567999999998</v>
      </c>
      <c r="G289">
        <v>17.661404000000001</v>
      </c>
      <c r="H289">
        <v>16.748041000000001</v>
      </c>
      <c r="I289">
        <v>17.106783</v>
      </c>
      <c r="J289">
        <v>18.85238</v>
      </c>
      <c r="K289">
        <v>19.078489999999999</v>
      </c>
      <c r="L289">
        <v>19.720151999999999</v>
      </c>
      <c r="M289">
        <v>17.860876000000001</v>
      </c>
      <c r="N289">
        <v>18.589600000000001</v>
      </c>
      <c r="O289">
        <v>19.801528999999999</v>
      </c>
      <c r="P289">
        <v>19.008146</v>
      </c>
      <c r="Q289">
        <v>17.941565000000001</v>
      </c>
      <c r="R289">
        <v>19.685338999999999</v>
      </c>
      <c r="S289">
        <v>16.712378000000001</v>
      </c>
      <c r="T289">
        <v>19.216550000000002</v>
      </c>
      <c r="U289">
        <v>20.074852</v>
      </c>
      <c r="V289">
        <v>19.831263</v>
      </c>
      <c r="W289">
        <v>20.194454</v>
      </c>
      <c r="X289">
        <v>20.128992</v>
      </c>
      <c r="Y289">
        <v>18.538473</v>
      </c>
      <c r="Z289">
        <v>19.601320000000001</v>
      </c>
      <c r="AA289">
        <v>20.434988000000001</v>
      </c>
      <c r="AB289">
        <v>18.906178000000001</v>
      </c>
      <c r="AC289">
        <v>17.053104000000001</v>
      </c>
      <c r="AD289">
        <v>19.932375</v>
      </c>
      <c r="AE289">
        <v>20.181111999999999</v>
      </c>
      <c r="AF289">
        <v>20.502922000000002</v>
      </c>
      <c r="AG289">
        <v>19.809308999999999</v>
      </c>
    </row>
    <row r="290" spans="1:33" x14ac:dyDescent="0.25">
      <c r="A290" s="1">
        <v>44341</v>
      </c>
      <c r="B290">
        <v>18.277629999999998</v>
      </c>
      <c r="C290">
        <v>18.355371000000002</v>
      </c>
      <c r="D290">
        <v>18.038874</v>
      </c>
      <c r="E290">
        <v>17.700682</v>
      </c>
      <c r="F290">
        <v>18.027733000000001</v>
      </c>
      <c r="G290">
        <v>17.871765</v>
      </c>
      <c r="H290">
        <v>16.895240000000001</v>
      </c>
      <c r="I290">
        <v>17.562242999999999</v>
      </c>
      <c r="J290">
        <v>19.271957</v>
      </c>
      <c r="K290">
        <v>19.192530000000001</v>
      </c>
      <c r="L290">
        <v>19.844017000000001</v>
      </c>
      <c r="M290">
        <v>18.052790000000002</v>
      </c>
      <c r="N290">
        <v>18.688032</v>
      </c>
      <c r="O290">
        <v>19.81409</v>
      </c>
      <c r="P290">
        <v>19.137388000000001</v>
      </c>
      <c r="Q290">
        <v>18.086431999999999</v>
      </c>
      <c r="R290">
        <v>19.687892999999999</v>
      </c>
      <c r="S290">
        <v>17.704778999999998</v>
      </c>
      <c r="T290">
        <v>19.358263000000001</v>
      </c>
      <c r="U290">
        <v>20.475529999999999</v>
      </c>
      <c r="V290">
        <v>19.880754</v>
      </c>
      <c r="W290">
        <v>20.273064000000002</v>
      </c>
      <c r="X290">
        <v>20.163387</v>
      </c>
      <c r="Y290">
        <v>19.004192</v>
      </c>
      <c r="Z290">
        <v>19.993856000000001</v>
      </c>
      <c r="AA290">
        <v>20.781659999999999</v>
      </c>
      <c r="AB290">
        <v>19.311892</v>
      </c>
      <c r="AC290">
        <v>17.684393</v>
      </c>
      <c r="AD290">
        <v>20.054592</v>
      </c>
      <c r="AE290">
        <v>20.769835</v>
      </c>
      <c r="AF290">
        <v>20.639686999999999</v>
      </c>
      <c r="AG290">
        <v>20.042952</v>
      </c>
    </row>
    <row r="291" spans="1:33" x14ac:dyDescent="0.25">
      <c r="A291" s="1">
        <v>44342</v>
      </c>
      <c r="B291">
        <v>18.362884999999999</v>
      </c>
      <c r="C291">
        <v>18.514710999999998</v>
      </c>
      <c r="D291">
        <v>18.189997000000002</v>
      </c>
      <c r="E291">
        <v>17.753008000000001</v>
      </c>
      <c r="F291">
        <v>18.213505000000001</v>
      </c>
      <c r="G291">
        <v>18.104948</v>
      </c>
      <c r="H291">
        <v>17.07902</v>
      </c>
      <c r="I291">
        <v>18.024248</v>
      </c>
      <c r="J291">
        <v>19.835093000000001</v>
      </c>
      <c r="K291">
        <v>19.429445000000001</v>
      </c>
      <c r="L291">
        <v>20.119126999999999</v>
      </c>
      <c r="M291">
        <v>18.271023</v>
      </c>
      <c r="N291">
        <v>18.872381000000001</v>
      </c>
      <c r="O291">
        <v>20.034680999999999</v>
      </c>
      <c r="P291">
        <v>19.356628000000001</v>
      </c>
      <c r="Q291">
        <v>18.288679999999999</v>
      </c>
      <c r="R291">
        <v>19.889963000000002</v>
      </c>
      <c r="S291">
        <v>18.196331000000001</v>
      </c>
      <c r="T291">
        <v>19.601965</v>
      </c>
      <c r="U291">
        <v>20.878655999999999</v>
      </c>
      <c r="V291">
        <v>20.184963</v>
      </c>
      <c r="W291">
        <v>20.567589000000002</v>
      </c>
      <c r="X291">
        <v>20.532288000000001</v>
      </c>
      <c r="Y291">
        <v>19.329830000000001</v>
      </c>
      <c r="Z291">
        <v>20.428858000000002</v>
      </c>
      <c r="AA291">
        <v>21.075150000000001</v>
      </c>
      <c r="AB291">
        <v>19.644503</v>
      </c>
      <c r="AC291">
        <v>18.250399999999999</v>
      </c>
      <c r="AD291">
        <v>20.262922</v>
      </c>
      <c r="AE291">
        <v>21.344380999999998</v>
      </c>
      <c r="AF291">
        <v>20.789158</v>
      </c>
      <c r="AG291">
        <v>20.309000000000001</v>
      </c>
    </row>
    <row r="292" spans="1:33" x14ac:dyDescent="0.25">
      <c r="A292" s="1">
        <v>44343</v>
      </c>
      <c r="B292">
        <v>18.112798999999999</v>
      </c>
      <c r="C292">
        <v>18.476246</v>
      </c>
      <c r="D292">
        <v>18.041329999999999</v>
      </c>
      <c r="E292">
        <v>17.638898999999999</v>
      </c>
      <c r="F292">
        <v>18.144269999999999</v>
      </c>
      <c r="G292">
        <v>18.177942000000002</v>
      </c>
      <c r="H292">
        <v>17.033186000000001</v>
      </c>
      <c r="I292">
        <v>17.979096999999999</v>
      </c>
      <c r="J292">
        <v>20.254389</v>
      </c>
      <c r="K292">
        <v>19.645803000000001</v>
      </c>
      <c r="L292">
        <v>20.318944999999999</v>
      </c>
      <c r="M292">
        <v>18.347424</v>
      </c>
      <c r="N292">
        <v>18.906685</v>
      </c>
      <c r="O292">
        <v>20.110033000000001</v>
      </c>
      <c r="P292">
        <v>19.563683000000001</v>
      </c>
      <c r="Q292">
        <v>18.371174</v>
      </c>
      <c r="R292">
        <v>19.971018000000001</v>
      </c>
      <c r="S292">
        <v>18.159109999999998</v>
      </c>
      <c r="T292">
        <v>19.67539</v>
      </c>
      <c r="U292">
        <v>21.101213000000001</v>
      </c>
      <c r="V292">
        <v>20.180643</v>
      </c>
      <c r="W292">
        <v>20.998415000000001</v>
      </c>
      <c r="X292">
        <v>20.543703000000001</v>
      </c>
      <c r="Y292">
        <v>19.670614</v>
      </c>
      <c r="Z292">
        <v>20.725977</v>
      </c>
      <c r="AA292">
        <v>21.313376999999999</v>
      </c>
      <c r="AB292">
        <v>19.914681999999999</v>
      </c>
      <c r="AC292">
        <v>18.64752</v>
      </c>
      <c r="AD292">
        <v>20.416578000000001</v>
      </c>
      <c r="AE292">
        <v>21.278521999999999</v>
      </c>
      <c r="AF292">
        <v>20.924097</v>
      </c>
      <c r="AG292">
        <v>20.342199999999998</v>
      </c>
    </row>
    <row r="293" spans="1:33" x14ac:dyDescent="0.25">
      <c r="A293" s="1">
        <v>44344</v>
      </c>
      <c r="B293">
        <v>18.461670000000002</v>
      </c>
      <c r="C293">
        <v>18.738388</v>
      </c>
      <c r="D293">
        <v>18.195765999999999</v>
      </c>
      <c r="E293">
        <v>17.976156</v>
      </c>
      <c r="F293">
        <v>18.478891000000001</v>
      </c>
      <c r="G293">
        <v>18.378546</v>
      </c>
      <c r="H293">
        <v>17.281587999999999</v>
      </c>
      <c r="I293">
        <v>18.503954</v>
      </c>
      <c r="J293">
        <v>20.861227</v>
      </c>
      <c r="K293">
        <v>19.947331999999999</v>
      </c>
      <c r="L293">
        <v>20.632393</v>
      </c>
      <c r="M293">
        <v>18.567129999999999</v>
      </c>
      <c r="N293">
        <v>19.102105999999999</v>
      </c>
      <c r="O293">
        <v>20.375406000000002</v>
      </c>
      <c r="P293">
        <v>19.843274999999998</v>
      </c>
      <c r="Q293">
        <v>18.593427999999999</v>
      </c>
      <c r="R293">
        <v>20.240396</v>
      </c>
      <c r="S293">
        <v>18.677620000000001</v>
      </c>
      <c r="T293">
        <v>19.897155999999999</v>
      </c>
      <c r="U293">
        <v>21.509519999999998</v>
      </c>
      <c r="V293">
        <v>20.385680000000001</v>
      </c>
      <c r="W293">
        <v>21.555444999999999</v>
      </c>
      <c r="X293">
        <v>20.780268</v>
      </c>
      <c r="Y293">
        <v>20.002890000000001</v>
      </c>
      <c r="Z293">
        <v>21.149564999999999</v>
      </c>
      <c r="AA293">
        <v>21.705414000000001</v>
      </c>
      <c r="AB293">
        <v>20.215430999999999</v>
      </c>
      <c r="AC293">
        <v>19.223879</v>
      </c>
      <c r="AD293">
        <v>20.695557000000001</v>
      </c>
      <c r="AE293">
        <v>21.992522999999998</v>
      </c>
      <c r="AF293">
        <v>21.165189999999999</v>
      </c>
      <c r="AG293">
        <v>20.766905000000001</v>
      </c>
    </row>
    <row r="294" spans="1:33" x14ac:dyDescent="0.25">
      <c r="A294" s="1">
        <v>44345</v>
      </c>
      <c r="B294">
        <v>18.509516000000001</v>
      </c>
      <c r="C294">
        <v>18.8613</v>
      </c>
      <c r="D294">
        <v>18.208538000000001</v>
      </c>
      <c r="E294">
        <v>18.136617999999999</v>
      </c>
      <c r="F294">
        <v>18.498545</v>
      </c>
      <c r="G294">
        <v>18.572572999999998</v>
      </c>
      <c r="H294">
        <v>17.39499</v>
      </c>
      <c r="I294">
        <v>18.599554000000001</v>
      </c>
      <c r="J294">
        <v>21.421824000000001</v>
      </c>
      <c r="K294">
        <v>20.288698</v>
      </c>
      <c r="L294">
        <v>20.96406</v>
      </c>
      <c r="M294">
        <v>18.731328999999999</v>
      </c>
      <c r="N294">
        <v>19.279993000000001</v>
      </c>
      <c r="O294">
        <v>20.639889</v>
      </c>
      <c r="P294">
        <v>20.172751999999999</v>
      </c>
      <c r="Q294">
        <v>18.797940000000001</v>
      </c>
      <c r="R294">
        <v>20.516393999999998</v>
      </c>
      <c r="S294">
        <v>18.766832000000001</v>
      </c>
      <c r="T294">
        <v>20.087123999999999</v>
      </c>
      <c r="U294">
        <v>21.743956000000001</v>
      </c>
      <c r="V294">
        <v>20.577836999999999</v>
      </c>
      <c r="W294">
        <v>21.852012999999999</v>
      </c>
      <c r="X294">
        <v>21.005891999999999</v>
      </c>
      <c r="Y294">
        <v>20.114149999999999</v>
      </c>
      <c r="Z294">
        <v>21.543036000000001</v>
      </c>
      <c r="AA294">
        <v>22.100667999999999</v>
      </c>
      <c r="AB294">
        <v>20.338055000000001</v>
      </c>
      <c r="AC294">
        <v>19.567242</v>
      </c>
      <c r="AD294">
        <v>21.020035</v>
      </c>
      <c r="AE294">
        <v>22.165026000000001</v>
      </c>
      <c r="AF294">
        <v>21.327995000000001</v>
      </c>
      <c r="AG294">
        <v>21.036504999999998</v>
      </c>
    </row>
    <row r="295" spans="1:33" x14ac:dyDescent="0.25">
      <c r="A295" s="1">
        <v>44346</v>
      </c>
      <c r="B295">
        <v>18.674983999999998</v>
      </c>
      <c r="C295">
        <v>19.157934000000001</v>
      </c>
      <c r="D295">
        <v>18.335374999999999</v>
      </c>
      <c r="E295">
        <v>18.344004000000002</v>
      </c>
      <c r="F295">
        <v>18.722265</v>
      </c>
      <c r="G295">
        <v>18.789861999999999</v>
      </c>
      <c r="H295">
        <v>17.623884</v>
      </c>
      <c r="I295">
        <v>18.810732000000002</v>
      </c>
      <c r="J295">
        <v>22.021270000000001</v>
      </c>
      <c r="K295">
        <v>20.683229999999998</v>
      </c>
      <c r="L295">
        <v>21.337702</v>
      </c>
      <c r="M295">
        <v>18.993203999999999</v>
      </c>
      <c r="N295">
        <v>19.616844</v>
      </c>
      <c r="O295">
        <v>21.002571</v>
      </c>
      <c r="P295">
        <v>20.547592000000002</v>
      </c>
      <c r="Q295">
        <v>19.049095000000001</v>
      </c>
      <c r="R295">
        <v>20.884851000000001</v>
      </c>
      <c r="S295">
        <v>18.851016999999999</v>
      </c>
      <c r="T295">
        <v>20.447268000000001</v>
      </c>
      <c r="U295">
        <v>22.017659999999999</v>
      </c>
      <c r="V295">
        <v>21.008500999999999</v>
      </c>
      <c r="W295">
        <v>22.175581000000001</v>
      </c>
      <c r="X295">
        <v>21.445719</v>
      </c>
      <c r="Y295">
        <v>20.474283</v>
      </c>
      <c r="Z295">
        <v>21.928352</v>
      </c>
      <c r="AA295">
        <v>22.535263</v>
      </c>
      <c r="AB295">
        <v>20.714110000000002</v>
      </c>
      <c r="AC295">
        <v>19.989633999999999</v>
      </c>
      <c r="AD295">
        <v>21.394476000000001</v>
      </c>
      <c r="AE295">
        <v>22.491959000000001</v>
      </c>
      <c r="AF295">
        <v>21.556618</v>
      </c>
      <c r="AG295">
        <v>21.620735</v>
      </c>
    </row>
    <row r="296" spans="1:33" x14ac:dyDescent="0.25">
      <c r="A296" s="1">
        <v>44347</v>
      </c>
      <c r="B296">
        <v>19.445204</v>
      </c>
      <c r="C296">
        <v>19.799637000000001</v>
      </c>
      <c r="D296">
        <v>18.921344999999999</v>
      </c>
      <c r="E296">
        <v>18.999289000000001</v>
      </c>
      <c r="F296">
        <v>19.446207000000001</v>
      </c>
      <c r="G296">
        <v>19.253571999999998</v>
      </c>
      <c r="H296">
        <v>18.081827000000001</v>
      </c>
      <c r="I296">
        <v>19.749196999999999</v>
      </c>
      <c r="J296">
        <v>22.769874999999999</v>
      </c>
      <c r="K296">
        <v>21.214320000000001</v>
      </c>
      <c r="L296">
        <v>21.882750999999999</v>
      </c>
      <c r="M296">
        <v>19.472168</v>
      </c>
      <c r="N296">
        <v>20.166851000000001</v>
      </c>
      <c r="O296">
        <v>21.582854999999999</v>
      </c>
      <c r="P296">
        <v>21.060772</v>
      </c>
      <c r="Q296">
        <v>19.556372</v>
      </c>
      <c r="R296">
        <v>21.445540000000001</v>
      </c>
      <c r="S296">
        <v>19.975245999999999</v>
      </c>
      <c r="T296">
        <v>21.159409</v>
      </c>
      <c r="U296">
        <v>22.666702000000001</v>
      </c>
      <c r="V296">
        <v>21.718018000000001</v>
      </c>
      <c r="W296">
        <v>22.815149999999999</v>
      </c>
      <c r="X296">
        <v>22.215927000000001</v>
      </c>
      <c r="Y296">
        <v>21.450323000000001</v>
      </c>
      <c r="Z296">
        <v>22.537973000000001</v>
      </c>
      <c r="AA296">
        <v>23.129923000000002</v>
      </c>
      <c r="AB296">
        <v>21.658182</v>
      </c>
      <c r="AC296">
        <v>21.006734999999999</v>
      </c>
      <c r="AD296">
        <v>21.898966000000001</v>
      </c>
      <c r="AE296">
        <v>23.620514</v>
      </c>
      <c r="AF296">
        <v>21.998251</v>
      </c>
      <c r="AG296">
        <v>22.702570000000001</v>
      </c>
    </row>
    <row r="297" spans="1:33" x14ac:dyDescent="0.25">
      <c r="A297" s="1">
        <v>44348</v>
      </c>
      <c r="B297">
        <v>19.596606999999999</v>
      </c>
      <c r="C297">
        <v>20.0715</v>
      </c>
      <c r="D297">
        <v>19.300419999999999</v>
      </c>
      <c r="E297">
        <v>19.455514999999998</v>
      </c>
      <c r="F297">
        <v>19.628720999999999</v>
      </c>
      <c r="G297">
        <v>19.542573999999998</v>
      </c>
      <c r="H297">
        <v>18.128547999999999</v>
      </c>
      <c r="I297">
        <v>19.815424</v>
      </c>
      <c r="J297">
        <v>23.228788000000002</v>
      </c>
      <c r="K297">
        <v>21.544184000000001</v>
      </c>
      <c r="L297">
        <v>22.233511</v>
      </c>
      <c r="M297">
        <v>19.730609999999999</v>
      </c>
      <c r="N297">
        <v>20.367896999999999</v>
      </c>
      <c r="O297">
        <v>21.886734000000001</v>
      </c>
      <c r="P297">
        <v>21.40597</v>
      </c>
      <c r="Q297">
        <v>19.86008</v>
      </c>
      <c r="R297">
        <v>21.768839</v>
      </c>
      <c r="S297">
        <v>20.497834999999998</v>
      </c>
      <c r="T297">
        <v>21.461621999999998</v>
      </c>
      <c r="U297">
        <v>23.095994999999998</v>
      </c>
      <c r="V297">
        <v>21.82019</v>
      </c>
      <c r="W297">
        <v>23.174676999999999</v>
      </c>
      <c r="X297">
        <v>22.3249</v>
      </c>
      <c r="Y297">
        <v>22.48413</v>
      </c>
      <c r="Z297">
        <v>23.061647000000001</v>
      </c>
      <c r="AA297">
        <v>23.725733000000002</v>
      </c>
      <c r="AB297">
        <v>22.693739000000001</v>
      </c>
      <c r="AC297">
        <v>22.066801000000002</v>
      </c>
      <c r="AD297">
        <v>22.319130000000001</v>
      </c>
      <c r="AE297">
        <v>24.365563999999999</v>
      </c>
      <c r="AF297">
        <v>22.516489</v>
      </c>
      <c r="AG297">
        <v>23.643516999999999</v>
      </c>
    </row>
    <row r="298" spans="1:33" x14ac:dyDescent="0.25">
      <c r="A298" s="1">
        <v>44349</v>
      </c>
      <c r="B298">
        <v>19.737501000000002</v>
      </c>
      <c r="C298">
        <v>20.225142999999999</v>
      </c>
      <c r="D298">
        <v>19.456861</v>
      </c>
      <c r="E298">
        <v>19.532406000000002</v>
      </c>
      <c r="F298">
        <v>19.676957999999999</v>
      </c>
      <c r="G298">
        <v>19.744627000000001</v>
      </c>
      <c r="H298">
        <v>18.258092999999999</v>
      </c>
      <c r="I298">
        <v>19.507262999999998</v>
      </c>
      <c r="J298">
        <v>23.202832999999998</v>
      </c>
      <c r="K298">
        <v>21.705414000000001</v>
      </c>
      <c r="L298">
        <v>22.513344</v>
      </c>
      <c r="M298">
        <v>19.919584</v>
      </c>
      <c r="N298">
        <v>20.522676000000001</v>
      </c>
      <c r="O298">
        <v>22.151297</v>
      </c>
      <c r="P298">
        <v>21.572202999999998</v>
      </c>
      <c r="Q298">
        <v>20.043741000000001</v>
      </c>
      <c r="R298">
        <v>22.044875999999999</v>
      </c>
      <c r="S298">
        <v>19.766773000000001</v>
      </c>
      <c r="T298">
        <v>21.569762999999998</v>
      </c>
      <c r="U298">
        <v>23.244721999999999</v>
      </c>
      <c r="V298">
        <v>22.127362999999999</v>
      </c>
      <c r="W298">
        <v>23.472190000000001</v>
      </c>
      <c r="X298">
        <v>22.648772999999998</v>
      </c>
      <c r="Y298">
        <v>23.163136999999999</v>
      </c>
      <c r="Z298">
        <v>23.356798000000001</v>
      </c>
      <c r="AA298">
        <v>24.164978000000001</v>
      </c>
      <c r="AB298">
        <v>23.382829999999998</v>
      </c>
      <c r="AC298">
        <v>22.820882999999998</v>
      </c>
      <c r="AD298">
        <v>22.668106000000002</v>
      </c>
      <c r="AE298">
        <v>24.374825000000001</v>
      </c>
      <c r="AF298">
        <v>22.937719999999999</v>
      </c>
      <c r="AG298">
        <v>24.200737</v>
      </c>
    </row>
    <row r="299" spans="1:33" x14ac:dyDescent="0.25">
      <c r="A299" s="1">
        <v>44350</v>
      </c>
      <c r="B299">
        <v>20.297536999999998</v>
      </c>
      <c r="C299">
        <v>20.568659</v>
      </c>
      <c r="D299">
        <v>19.765245</v>
      </c>
      <c r="E299">
        <v>19.866800000000001</v>
      </c>
      <c r="F299">
        <v>20.041906000000001</v>
      </c>
      <c r="G299">
        <v>19.965412000000001</v>
      </c>
      <c r="H299">
        <v>18.684822</v>
      </c>
      <c r="I299">
        <v>19.85774</v>
      </c>
      <c r="J299">
        <v>23.491506999999999</v>
      </c>
      <c r="K299">
        <v>22.061150000000001</v>
      </c>
      <c r="L299">
        <v>22.891082999999998</v>
      </c>
      <c r="M299">
        <v>20.212033999999999</v>
      </c>
      <c r="N299">
        <v>20.959990000000001</v>
      </c>
      <c r="O299">
        <v>22.563535999999999</v>
      </c>
      <c r="P299">
        <v>21.902021000000001</v>
      </c>
      <c r="Q299">
        <v>20.342732999999999</v>
      </c>
      <c r="R299">
        <v>22.424555000000002</v>
      </c>
      <c r="S299">
        <v>19.777875999999999</v>
      </c>
      <c r="T299">
        <v>21.974508</v>
      </c>
      <c r="U299">
        <v>23.519003000000001</v>
      </c>
      <c r="V299">
        <v>22.694732999999999</v>
      </c>
      <c r="W299">
        <v>23.955483999999998</v>
      </c>
      <c r="X299">
        <v>23.055917999999998</v>
      </c>
      <c r="Y299">
        <v>23.538754999999998</v>
      </c>
      <c r="Z299">
        <v>23.66018</v>
      </c>
      <c r="AA299">
        <v>24.579184999999999</v>
      </c>
      <c r="AB299">
        <v>23.803184999999999</v>
      </c>
      <c r="AC299">
        <v>23.277353000000002</v>
      </c>
      <c r="AD299">
        <v>23.026924000000001</v>
      </c>
      <c r="AE299">
        <v>24.246096000000001</v>
      </c>
      <c r="AF299">
        <v>23.340910000000001</v>
      </c>
      <c r="AG299">
        <v>24.653803</v>
      </c>
    </row>
    <row r="300" spans="1:33" x14ac:dyDescent="0.25">
      <c r="A300" s="1">
        <v>44351</v>
      </c>
      <c r="B300">
        <v>20.862805999999999</v>
      </c>
      <c r="C300">
        <v>20.951816999999998</v>
      </c>
      <c r="D300">
        <v>20.074491999999999</v>
      </c>
      <c r="E300">
        <v>20.229696000000001</v>
      </c>
      <c r="F300">
        <v>20.312007999999999</v>
      </c>
      <c r="G300">
        <v>20.15889</v>
      </c>
      <c r="H300">
        <v>18.905588000000002</v>
      </c>
      <c r="I300">
        <v>20.154281999999998</v>
      </c>
      <c r="J300">
        <v>23.966166000000001</v>
      </c>
      <c r="K300">
        <v>22.393549</v>
      </c>
      <c r="L300">
        <v>23.211542000000001</v>
      </c>
      <c r="M300">
        <v>20.438389999999998</v>
      </c>
      <c r="N300">
        <v>21.210373000000001</v>
      </c>
      <c r="O300">
        <v>22.848661</v>
      </c>
      <c r="P300">
        <v>22.264486000000002</v>
      </c>
      <c r="Q300">
        <v>20.616510000000002</v>
      </c>
      <c r="R300">
        <v>22.691655999999998</v>
      </c>
      <c r="S300">
        <v>20.593298000000001</v>
      </c>
      <c r="T300">
        <v>22.350974999999998</v>
      </c>
      <c r="U300">
        <v>24.029150000000001</v>
      </c>
      <c r="V300">
        <v>22.918555999999999</v>
      </c>
      <c r="W300">
        <v>24.406237000000001</v>
      </c>
      <c r="X300">
        <v>23.334028</v>
      </c>
      <c r="Y300">
        <v>23.459928999999999</v>
      </c>
      <c r="Z300">
        <v>23.960823000000001</v>
      </c>
      <c r="AA300">
        <v>24.888483000000001</v>
      </c>
      <c r="AB300">
        <v>23.825579000000001</v>
      </c>
      <c r="AC300">
        <v>23.541542</v>
      </c>
      <c r="AD300">
        <v>23.349423999999999</v>
      </c>
      <c r="AE300">
        <v>23.737214999999999</v>
      </c>
      <c r="AF300">
        <v>23.655092</v>
      </c>
      <c r="AG300">
        <v>24.483370000000001</v>
      </c>
    </row>
    <row r="301" spans="1:33" x14ac:dyDescent="0.25">
      <c r="A301" s="1">
        <v>44352</v>
      </c>
      <c r="B301">
        <v>21.046597999999999</v>
      </c>
      <c r="C301">
        <v>21.064668999999999</v>
      </c>
      <c r="D301">
        <v>20.188389000000001</v>
      </c>
      <c r="E301">
        <v>20.337855999999999</v>
      </c>
      <c r="F301">
        <v>20.305959999999999</v>
      </c>
      <c r="G301">
        <v>20.1981</v>
      </c>
      <c r="H301">
        <v>19.067</v>
      </c>
      <c r="I301">
        <v>19.832339999999999</v>
      </c>
      <c r="J301">
        <v>24.130106000000001</v>
      </c>
      <c r="K301">
        <v>22.656079999999999</v>
      </c>
      <c r="L301">
        <v>23.435295</v>
      </c>
      <c r="M301">
        <v>20.566217000000002</v>
      </c>
      <c r="N301">
        <v>21.448371999999999</v>
      </c>
      <c r="O301">
        <v>23.085885999999999</v>
      </c>
      <c r="P301">
        <v>22.518806000000001</v>
      </c>
      <c r="Q301">
        <v>20.727533000000001</v>
      </c>
      <c r="R301">
        <v>22.907012999999999</v>
      </c>
      <c r="S301">
        <v>20.418371</v>
      </c>
      <c r="T301">
        <v>22.523046000000001</v>
      </c>
      <c r="U301">
        <v>24.373819999999998</v>
      </c>
      <c r="V301">
        <v>23.044436000000001</v>
      </c>
      <c r="W301">
        <v>24.512357999999999</v>
      </c>
      <c r="X301">
        <v>23.514074000000001</v>
      </c>
      <c r="Y301">
        <v>23.329236999999999</v>
      </c>
      <c r="Z301">
        <v>24.105421</v>
      </c>
      <c r="AA301">
        <v>25.054161000000001</v>
      </c>
      <c r="AB301">
        <v>23.653196000000001</v>
      </c>
      <c r="AC301">
        <v>23.364104999999999</v>
      </c>
      <c r="AD301">
        <v>23.597885000000002</v>
      </c>
      <c r="AE301">
        <v>22.843596000000002</v>
      </c>
      <c r="AF301">
        <v>23.855689999999999</v>
      </c>
      <c r="AG301">
        <v>24.347549999999998</v>
      </c>
    </row>
    <row r="302" spans="1:33" x14ac:dyDescent="0.25">
      <c r="A302" s="1">
        <v>44353</v>
      </c>
      <c r="B302">
        <v>21.073253999999999</v>
      </c>
      <c r="C302">
        <v>21.149260999999999</v>
      </c>
      <c r="D302">
        <v>20.318113</v>
      </c>
      <c r="E302">
        <v>20.423157</v>
      </c>
      <c r="F302">
        <v>20.350075</v>
      </c>
      <c r="G302">
        <v>20.344325999999999</v>
      </c>
      <c r="H302">
        <v>18.969563000000001</v>
      </c>
      <c r="I302">
        <v>19.807221999999999</v>
      </c>
      <c r="J302">
        <v>23.969567999999999</v>
      </c>
      <c r="K302">
        <v>22.759636</v>
      </c>
      <c r="L302">
        <v>23.472403</v>
      </c>
      <c r="M302">
        <v>20.642323000000001</v>
      </c>
      <c r="N302">
        <v>21.45844</v>
      </c>
      <c r="O302">
        <v>23.112570000000002</v>
      </c>
      <c r="P302">
        <v>22.682230000000001</v>
      </c>
      <c r="Q302">
        <v>20.793505</v>
      </c>
      <c r="R302">
        <v>22.954391000000001</v>
      </c>
      <c r="S302">
        <v>20.546747</v>
      </c>
      <c r="T302">
        <v>22.510286000000001</v>
      </c>
      <c r="U302">
        <v>24.509916</v>
      </c>
      <c r="V302">
        <v>23.003515</v>
      </c>
      <c r="W302">
        <v>24.618925000000001</v>
      </c>
      <c r="X302">
        <v>23.503648999999999</v>
      </c>
      <c r="Y302">
        <v>23.262070000000001</v>
      </c>
      <c r="Z302">
        <v>24.150939999999999</v>
      </c>
      <c r="AA302">
        <v>25.110289000000002</v>
      </c>
      <c r="AB302">
        <v>23.672716000000001</v>
      </c>
      <c r="AC302">
        <v>23.165900000000001</v>
      </c>
      <c r="AD302">
        <v>23.696120000000001</v>
      </c>
      <c r="AE302">
        <v>22.769539000000002</v>
      </c>
      <c r="AF302">
        <v>24.001633000000002</v>
      </c>
      <c r="AG302">
        <v>24.276624999999999</v>
      </c>
    </row>
    <row r="303" spans="1:33" x14ac:dyDescent="0.25">
      <c r="A303" s="1">
        <v>44354</v>
      </c>
      <c r="B303">
        <v>20.123186</v>
      </c>
      <c r="C303">
        <v>20.610932999999999</v>
      </c>
      <c r="D303">
        <v>19.986818</v>
      </c>
      <c r="E303">
        <v>19.984784999999999</v>
      </c>
      <c r="F303">
        <v>19.708849000000001</v>
      </c>
      <c r="G303">
        <v>20.111217</v>
      </c>
      <c r="H303">
        <v>18.538982000000001</v>
      </c>
      <c r="I303">
        <v>18.775639999999999</v>
      </c>
      <c r="J303">
        <v>22.638258</v>
      </c>
      <c r="K303">
        <v>22.224350000000001</v>
      </c>
      <c r="L303">
        <v>22.841196</v>
      </c>
      <c r="M303">
        <v>20.27692</v>
      </c>
      <c r="N303">
        <v>20.93299</v>
      </c>
      <c r="O303">
        <v>22.433562999999999</v>
      </c>
      <c r="P303">
        <v>22.183678</v>
      </c>
      <c r="Q303">
        <v>20.420442999999999</v>
      </c>
      <c r="R303">
        <v>22.363793999999999</v>
      </c>
      <c r="S303">
        <v>19.547865000000002</v>
      </c>
      <c r="T303">
        <v>21.816513</v>
      </c>
      <c r="U303">
        <v>24.130631999999999</v>
      </c>
      <c r="V303">
        <v>22.286570000000001</v>
      </c>
      <c r="W303">
        <v>24.097252000000001</v>
      </c>
      <c r="X303">
        <v>22.857115</v>
      </c>
      <c r="Y303">
        <v>22.403075999999999</v>
      </c>
      <c r="Z303">
        <v>23.393991</v>
      </c>
      <c r="AA303">
        <v>24.494764</v>
      </c>
      <c r="AB303">
        <v>22.839174</v>
      </c>
      <c r="AC303">
        <v>22.045777999999999</v>
      </c>
      <c r="AD303">
        <v>23.219294000000001</v>
      </c>
      <c r="AE303">
        <v>21.754286</v>
      </c>
      <c r="AF303">
        <v>23.663171999999999</v>
      </c>
      <c r="AG303">
        <v>23.041834000000001</v>
      </c>
    </row>
    <row r="304" spans="1:33" x14ac:dyDescent="0.25">
      <c r="A304" s="1">
        <v>44355</v>
      </c>
      <c r="B304">
        <v>18.764164000000001</v>
      </c>
      <c r="C304">
        <v>19.850203</v>
      </c>
      <c r="D304">
        <v>19.202576000000001</v>
      </c>
      <c r="E304">
        <v>19.017565000000001</v>
      </c>
      <c r="F304">
        <v>19.083988000000002</v>
      </c>
      <c r="G304">
        <v>19.570080000000001</v>
      </c>
      <c r="H304">
        <v>18.095189999999999</v>
      </c>
      <c r="I304">
        <v>17.563707000000001</v>
      </c>
      <c r="J304">
        <v>20.694714000000001</v>
      </c>
      <c r="K304">
        <v>21.384253999999999</v>
      </c>
      <c r="L304">
        <v>21.908912999999998</v>
      </c>
      <c r="M304">
        <v>19.750060000000001</v>
      </c>
      <c r="N304">
        <v>20.277028999999999</v>
      </c>
      <c r="O304">
        <v>21.687235000000001</v>
      </c>
      <c r="P304">
        <v>21.396566</v>
      </c>
      <c r="Q304">
        <v>19.809752</v>
      </c>
      <c r="R304">
        <v>21.684286</v>
      </c>
      <c r="S304">
        <v>17.811205000000001</v>
      </c>
      <c r="T304">
        <v>20.817178999999999</v>
      </c>
      <c r="U304">
        <v>23.267790000000002</v>
      </c>
      <c r="V304">
        <v>21.571494999999999</v>
      </c>
      <c r="W304">
        <v>23.2133</v>
      </c>
      <c r="X304">
        <v>22.155783</v>
      </c>
      <c r="Y304">
        <v>21.07301</v>
      </c>
      <c r="Z304">
        <v>22.356552000000001</v>
      </c>
      <c r="AA304">
        <v>23.601500000000001</v>
      </c>
      <c r="AB304">
        <v>21.492830000000001</v>
      </c>
      <c r="AC304">
        <v>20.536058000000001</v>
      </c>
      <c r="AD304">
        <v>22.463915</v>
      </c>
      <c r="AE304">
        <v>20.489832</v>
      </c>
      <c r="AF304">
        <v>23.152391000000001</v>
      </c>
      <c r="AG304">
        <v>21.861166000000001</v>
      </c>
    </row>
    <row r="305" spans="1:33" x14ac:dyDescent="0.25">
      <c r="A305" s="1">
        <v>44356</v>
      </c>
      <c r="B305">
        <v>18.051307999999999</v>
      </c>
      <c r="C305">
        <v>19.331054999999999</v>
      </c>
      <c r="D305">
        <v>18.581757</v>
      </c>
      <c r="E305">
        <v>18.321297000000001</v>
      </c>
      <c r="F305">
        <v>18.79871</v>
      </c>
      <c r="G305">
        <v>19.29524</v>
      </c>
      <c r="H305">
        <v>17.811814999999999</v>
      </c>
      <c r="I305">
        <v>17.072306000000001</v>
      </c>
      <c r="J305">
        <v>19.694814999999998</v>
      </c>
      <c r="K305">
        <v>20.807478</v>
      </c>
      <c r="L305">
        <v>21.316011</v>
      </c>
      <c r="M305">
        <v>19.401533000000001</v>
      </c>
      <c r="N305">
        <v>19.879266999999999</v>
      </c>
      <c r="O305">
        <v>21.204305999999999</v>
      </c>
      <c r="P305">
        <v>20.805584</v>
      </c>
      <c r="Q305">
        <v>19.397036</v>
      </c>
      <c r="R305">
        <v>21.222425000000001</v>
      </c>
      <c r="S305">
        <v>16.617895000000001</v>
      </c>
      <c r="T305">
        <v>20.216132999999999</v>
      </c>
      <c r="U305">
        <v>22.255739999999999</v>
      </c>
      <c r="V305">
        <v>21.096496999999999</v>
      </c>
      <c r="W305">
        <v>22.586556999999999</v>
      </c>
      <c r="X305">
        <v>21.855501</v>
      </c>
      <c r="Y305">
        <v>20.338797</v>
      </c>
      <c r="Z305">
        <v>21.498169999999998</v>
      </c>
      <c r="AA305">
        <v>22.838395999999999</v>
      </c>
      <c r="AB305">
        <v>20.701635</v>
      </c>
      <c r="AC305">
        <v>19.163473</v>
      </c>
      <c r="AD305">
        <v>21.836781999999999</v>
      </c>
      <c r="AE305">
        <v>18.149249999999999</v>
      </c>
      <c r="AF305">
        <v>22.625765000000001</v>
      </c>
      <c r="AG305">
        <v>21.180264000000001</v>
      </c>
    </row>
    <row r="306" spans="1:33" x14ac:dyDescent="0.25">
      <c r="A306" s="1">
        <v>44357</v>
      </c>
      <c r="B306">
        <v>17.683783999999999</v>
      </c>
      <c r="C306">
        <v>18.991415</v>
      </c>
      <c r="D306">
        <v>18.083131999999999</v>
      </c>
      <c r="E306">
        <v>17.839642999999999</v>
      </c>
      <c r="F306">
        <v>18.467998999999999</v>
      </c>
      <c r="G306">
        <v>18.947652999999999</v>
      </c>
      <c r="H306">
        <v>17.54543</v>
      </c>
      <c r="I306">
        <v>16.989409999999999</v>
      </c>
      <c r="J306">
        <v>19.214835999999998</v>
      </c>
      <c r="K306">
        <v>20.300621</v>
      </c>
      <c r="L306">
        <v>20.858187000000001</v>
      </c>
      <c r="M306">
        <v>19.049354999999998</v>
      </c>
      <c r="N306">
        <v>19.497066</v>
      </c>
      <c r="O306">
        <v>20.846063999999998</v>
      </c>
      <c r="P306">
        <v>20.315035000000002</v>
      </c>
      <c r="Q306">
        <v>19.059875000000002</v>
      </c>
      <c r="R306">
        <v>20.834879000000001</v>
      </c>
      <c r="S306">
        <v>16.092355999999999</v>
      </c>
      <c r="T306">
        <v>19.760628000000001</v>
      </c>
      <c r="U306">
        <v>21.663533999999999</v>
      </c>
      <c r="V306">
        <v>20.802182999999999</v>
      </c>
      <c r="W306">
        <v>21.670988000000001</v>
      </c>
      <c r="X306">
        <v>21.575066</v>
      </c>
      <c r="Y306">
        <v>19.616841999999998</v>
      </c>
      <c r="Z306">
        <v>20.97533</v>
      </c>
      <c r="AA306">
        <v>22.19774</v>
      </c>
      <c r="AB306">
        <v>19.974997999999999</v>
      </c>
      <c r="AC306">
        <v>17.755704999999999</v>
      </c>
      <c r="AD306">
        <v>21.357004</v>
      </c>
      <c r="AE306">
        <v>17.476603000000001</v>
      </c>
      <c r="AF306">
        <v>22.115500000000001</v>
      </c>
      <c r="AG306">
        <v>20.752393999999999</v>
      </c>
    </row>
    <row r="307" spans="1:33" x14ac:dyDescent="0.25">
      <c r="A307" s="1">
        <v>44358</v>
      </c>
      <c r="B307">
        <v>17.788278999999999</v>
      </c>
      <c r="C307">
        <v>18.990341000000001</v>
      </c>
      <c r="D307">
        <v>17.898422</v>
      </c>
      <c r="E307">
        <v>17.734373000000001</v>
      </c>
      <c r="F307">
        <v>18.449228000000002</v>
      </c>
      <c r="G307">
        <v>18.744246</v>
      </c>
      <c r="H307">
        <v>17.49203</v>
      </c>
      <c r="I307">
        <v>17.370996000000002</v>
      </c>
      <c r="J307">
        <v>19.247479999999999</v>
      </c>
      <c r="K307">
        <v>20.009201000000001</v>
      </c>
      <c r="L307">
        <v>20.62556</v>
      </c>
      <c r="M307">
        <v>18.848759999999999</v>
      </c>
      <c r="N307">
        <v>19.227250000000002</v>
      </c>
      <c r="O307">
        <v>20.634947</v>
      </c>
      <c r="P307">
        <v>20.002876000000001</v>
      </c>
      <c r="Q307">
        <v>18.847534</v>
      </c>
      <c r="R307">
        <v>20.595231999999999</v>
      </c>
      <c r="S307">
        <v>16.386769999999999</v>
      </c>
      <c r="T307">
        <v>19.611965000000001</v>
      </c>
      <c r="U307">
        <v>21.503778000000001</v>
      </c>
      <c r="V307">
        <v>20.594738</v>
      </c>
      <c r="W307">
        <v>20.970469000000001</v>
      </c>
      <c r="X307">
        <v>21.410208000000001</v>
      </c>
      <c r="Y307">
        <v>19.570464999999999</v>
      </c>
      <c r="Z307">
        <v>20.777574999999999</v>
      </c>
      <c r="AA307">
        <v>21.973671</v>
      </c>
      <c r="AB307">
        <v>19.901572999999999</v>
      </c>
      <c r="AC307">
        <v>16.885458</v>
      </c>
      <c r="AD307">
        <v>21.047280000000001</v>
      </c>
      <c r="AE307">
        <v>17.470089000000002</v>
      </c>
      <c r="AF307">
        <v>21.792877000000001</v>
      </c>
      <c r="AG307">
        <v>20.794733000000001</v>
      </c>
    </row>
    <row r="308" spans="1:33" x14ac:dyDescent="0.25">
      <c r="A308" s="1">
        <v>44359</v>
      </c>
      <c r="B308">
        <v>18.680754</v>
      </c>
      <c r="C308">
        <v>19.513628000000001</v>
      </c>
      <c r="D308">
        <v>18.210830000000001</v>
      </c>
      <c r="E308">
        <v>18.257733999999999</v>
      </c>
      <c r="F308">
        <v>19.034617999999998</v>
      </c>
      <c r="G308">
        <v>18.91507</v>
      </c>
      <c r="H308">
        <v>17.845407000000002</v>
      </c>
      <c r="I308">
        <v>18.717146</v>
      </c>
      <c r="J308">
        <v>20.18939</v>
      </c>
      <c r="K308">
        <v>20.209389999999999</v>
      </c>
      <c r="L308">
        <v>20.904523999999999</v>
      </c>
      <c r="M308">
        <v>19.074705000000002</v>
      </c>
      <c r="N308">
        <v>19.438261000000001</v>
      </c>
      <c r="O308">
        <v>20.896788000000001</v>
      </c>
      <c r="P308">
        <v>20.127770999999999</v>
      </c>
      <c r="Q308">
        <v>19.038435</v>
      </c>
      <c r="R308">
        <v>20.790789</v>
      </c>
      <c r="S308">
        <v>17.601486000000001</v>
      </c>
      <c r="T308">
        <v>20.017537999999998</v>
      </c>
      <c r="U308">
        <v>21.813171000000001</v>
      </c>
      <c r="V308">
        <v>20.906616</v>
      </c>
      <c r="W308">
        <v>20.911016</v>
      </c>
      <c r="X308">
        <v>21.535467000000001</v>
      </c>
      <c r="Y308">
        <v>20.187646999999998</v>
      </c>
      <c r="Z308">
        <v>21.071508000000001</v>
      </c>
      <c r="AA308">
        <v>22.230336999999999</v>
      </c>
      <c r="AB308">
        <v>20.447803</v>
      </c>
      <c r="AC308">
        <v>17.469609999999999</v>
      </c>
      <c r="AD308">
        <v>21.163247999999999</v>
      </c>
      <c r="AE308">
        <v>18.499652999999999</v>
      </c>
      <c r="AF308">
        <v>21.729485</v>
      </c>
      <c r="AG308">
        <v>21.562684999999998</v>
      </c>
    </row>
    <row r="309" spans="1:33" x14ac:dyDescent="0.25">
      <c r="A309" s="1">
        <v>44360</v>
      </c>
      <c r="B309">
        <v>19.489988</v>
      </c>
      <c r="C309">
        <v>20.090399999999999</v>
      </c>
      <c r="D309">
        <v>18.765879000000002</v>
      </c>
      <c r="E309">
        <v>18.982068999999999</v>
      </c>
      <c r="F309">
        <v>19.575054000000002</v>
      </c>
      <c r="G309">
        <v>19.300370999999998</v>
      </c>
      <c r="H309">
        <v>18.300203</v>
      </c>
      <c r="I309">
        <v>19.952074</v>
      </c>
      <c r="J309">
        <v>21.293941</v>
      </c>
      <c r="K309">
        <v>20.622713000000001</v>
      </c>
      <c r="L309">
        <v>21.288423999999999</v>
      </c>
      <c r="M309">
        <v>19.454453999999998</v>
      </c>
      <c r="N309">
        <v>19.807507000000001</v>
      </c>
      <c r="O309">
        <v>21.170615999999999</v>
      </c>
      <c r="P309">
        <v>20.517655999999999</v>
      </c>
      <c r="Q309">
        <v>19.427772999999998</v>
      </c>
      <c r="R309">
        <v>21.051103999999999</v>
      </c>
      <c r="S309">
        <v>19.235474</v>
      </c>
      <c r="T309">
        <v>20.564747000000001</v>
      </c>
      <c r="U309">
        <v>22.253409999999999</v>
      </c>
      <c r="V309">
        <v>21.125399999999999</v>
      </c>
      <c r="W309">
        <v>21.471603000000002</v>
      </c>
      <c r="X309">
        <v>21.632524</v>
      </c>
      <c r="Y309">
        <v>21.064798</v>
      </c>
      <c r="Z309">
        <v>21.616568000000001</v>
      </c>
      <c r="AA309">
        <v>22.794540000000001</v>
      </c>
      <c r="AB309">
        <v>21.261430000000001</v>
      </c>
      <c r="AC309">
        <v>18.890367999999999</v>
      </c>
      <c r="AD309">
        <v>21.474218</v>
      </c>
      <c r="AE309">
        <v>19.319451999999998</v>
      </c>
      <c r="AF309">
        <v>21.877770000000002</v>
      </c>
      <c r="AG309">
        <v>22.248995000000001</v>
      </c>
    </row>
    <row r="310" spans="1:33" x14ac:dyDescent="0.25">
      <c r="A310" s="1">
        <v>44361</v>
      </c>
      <c r="B310">
        <v>19.911836999999998</v>
      </c>
      <c r="C310">
        <v>20.519178</v>
      </c>
      <c r="D310">
        <v>19.203123000000001</v>
      </c>
      <c r="E310">
        <v>19.495954999999999</v>
      </c>
      <c r="F310">
        <v>19.869620000000001</v>
      </c>
      <c r="G310">
        <v>19.713761999999999</v>
      </c>
      <c r="H310">
        <v>18.756329999999998</v>
      </c>
      <c r="I310">
        <v>20.742011999999999</v>
      </c>
      <c r="J310">
        <v>21.691673000000002</v>
      </c>
      <c r="K310">
        <v>20.952373999999999</v>
      </c>
      <c r="L310">
        <v>21.574196000000001</v>
      </c>
      <c r="M310">
        <v>19.820087000000001</v>
      </c>
      <c r="N310">
        <v>20.231031000000002</v>
      </c>
      <c r="O310">
        <v>21.425058</v>
      </c>
      <c r="P310">
        <v>20.846305999999998</v>
      </c>
      <c r="Q310">
        <v>19.822962</v>
      </c>
      <c r="R310">
        <v>21.307230000000001</v>
      </c>
      <c r="S310">
        <v>20.033937000000002</v>
      </c>
      <c r="T310">
        <v>21.002483000000002</v>
      </c>
      <c r="U310">
        <v>22.505516</v>
      </c>
      <c r="V310">
        <v>21.397316</v>
      </c>
      <c r="W310">
        <v>22.358719000000001</v>
      </c>
      <c r="X310">
        <v>21.797663</v>
      </c>
      <c r="Y310">
        <v>21.637824999999999</v>
      </c>
      <c r="Z310">
        <v>22.062011999999999</v>
      </c>
      <c r="AA310">
        <v>23.126989999999999</v>
      </c>
      <c r="AB310">
        <v>21.809280000000001</v>
      </c>
      <c r="AC310">
        <v>20.237186000000001</v>
      </c>
      <c r="AD310">
        <v>21.775456999999999</v>
      </c>
      <c r="AE310">
        <v>19.60342</v>
      </c>
      <c r="AF310">
        <v>21.834143000000001</v>
      </c>
      <c r="AG310">
        <v>22.719152000000001</v>
      </c>
    </row>
    <row r="311" spans="1:33" x14ac:dyDescent="0.25">
      <c r="A311" s="1">
        <v>44362</v>
      </c>
      <c r="B311">
        <v>19.585584999999998</v>
      </c>
      <c r="C311">
        <v>20.450354000000001</v>
      </c>
      <c r="D311">
        <v>19.258436</v>
      </c>
      <c r="E311">
        <v>19.519129</v>
      </c>
      <c r="F311">
        <v>19.666640000000001</v>
      </c>
      <c r="G311">
        <v>19.808029999999999</v>
      </c>
      <c r="H311">
        <v>18.874753999999999</v>
      </c>
      <c r="I311">
        <v>20.341799000000002</v>
      </c>
      <c r="J311">
        <v>21.247437999999999</v>
      </c>
      <c r="K311">
        <v>20.913927000000001</v>
      </c>
      <c r="L311">
        <v>21.580421000000001</v>
      </c>
      <c r="M311">
        <v>19.862576000000001</v>
      </c>
      <c r="N311">
        <v>20.237376999999999</v>
      </c>
      <c r="O311">
        <v>21.461054000000001</v>
      </c>
      <c r="P311">
        <v>20.849989999999998</v>
      </c>
      <c r="Q311">
        <v>19.860910000000001</v>
      </c>
      <c r="R311">
        <v>21.35472</v>
      </c>
      <c r="S311">
        <v>19.852509999999999</v>
      </c>
      <c r="T311">
        <v>21.111613999999999</v>
      </c>
      <c r="U311">
        <v>22.539359999999999</v>
      </c>
      <c r="V311">
        <v>21.350386</v>
      </c>
      <c r="W311">
        <v>22.769915000000001</v>
      </c>
      <c r="X311">
        <v>21.700890999999999</v>
      </c>
      <c r="Y311">
        <v>21.574791000000001</v>
      </c>
      <c r="Z311">
        <v>22.152802999999999</v>
      </c>
      <c r="AA311">
        <v>23.079252</v>
      </c>
      <c r="AB311">
        <v>21.782872999999999</v>
      </c>
      <c r="AC311">
        <v>20.403734</v>
      </c>
      <c r="AD311">
        <v>21.859625000000001</v>
      </c>
      <c r="AE311">
        <v>19.074549999999999</v>
      </c>
      <c r="AF311">
        <v>21.604752999999999</v>
      </c>
      <c r="AG311">
        <v>22.655972999999999</v>
      </c>
    </row>
    <row r="312" spans="1:33" x14ac:dyDescent="0.25">
      <c r="A312" s="1">
        <v>44363</v>
      </c>
      <c r="B312">
        <v>20.300927999999999</v>
      </c>
      <c r="C312">
        <v>20.863008000000001</v>
      </c>
      <c r="D312">
        <v>19.723655999999998</v>
      </c>
      <c r="E312">
        <v>19.989364999999999</v>
      </c>
      <c r="F312">
        <v>20.197182000000002</v>
      </c>
      <c r="G312">
        <v>20.095410000000001</v>
      </c>
      <c r="H312">
        <v>19.269103999999999</v>
      </c>
      <c r="I312">
        <v>20.835854000000001</v>
      </c>
      <c r="J312">
        <v>21.756546</v>
      </c>
      <c r="K312">
        <v>21.286231999999998</v>
      </c>
      <c r="L312">
        <v>21.95917</v>
      </c>
      <c r="M312">
        <v>20.182928</v>
      </c>
      <c r="N312">
        <v>20.683078999999999</v>
      </c>
      <c r="O312">
        <v>21.831064000000001</v>
      </c>
      <c r="P312">
        <v>21.159071000000001</v>
      </c>
      <c r="Q312">
        <v>20.195596999999999</v>
      </c>
      <c r="R312">
        <v>21.748816999999999</v>
      </c>
      <c r="S312">
        <v>20.382518999999998</v>
      </c>
      <c r="T312">
        <v>21.604285999999998</v>
      </c>
      <c r="U312">
        <v>23.02168</v>
      </c>
      <c r="V312">
        <v>22.059585999999999</v>
      </c>
      <c r="W312">
        <v>23.301043</v>
      </c>
      <c r="X312">
        <v>22.372488000000001</v>
      </c>
      <c r="Y312">
        <v>21.919333000000002</v>
      </c>
      <c r="Z312">
        <v>22.543343</v>
      </c>
      <c r="AA312">
        <v>23.291014000000001</v>
      </c>
      <c r="AB312">
        <v>22.168856000000002</v>
      </c>
      <c r="AC312">
        <v>20.824703</v>
      </c>
      <c r="AD312">
        <v>22.167463000000001</v>
      </c>
      <c r="AE312">
        <v>18.804507999999998</v>
      </c>
      <c r="AF312">
        <v>21.572113000000002</v>
      </c>
      <c r="AG312">
        <v>23.069046</v>
      </c>
    </row>
    <row r="313" spans="1:33" x14ac:dyDescent="0.25">
      <c r="A313" s="1">
        <v>44364</v>
      </c>
      <c r="B313">
        <v>21.253416000000001</v>
      </c>
      <c r="C313">
        <v>21.596039000000001</v>
      </c>
      <c r="D313">
        <v>20.480371000000002</v>
      </c>
      <c r="E313">
        <v>20.814335</v>
      </c>
      <c r="F313">
        <v>20.877703</v>
      </c>
      <c r="G313">
        <v>20.547272</v>
      </c>
      <c r="H313">
        <v>19.736681000000001</v>
      </c>
      <c r="I313">
        <v>21.828672000000001</v>
      </c>
      <c r="J313">
        <v>22.717447</v>
      </c>
      <c r="K313">
        <v>21.847677000000001</v>
      </c>
      <c r="L313">
        <v>22.506520999999999</v>
      </c>
      <c r="M313">
        <v>20.67633</v>
      </c>
      <c r="N313">
        <v>21.242556</v>
      </c>
      <c r="O313">
        <v>22.399190000000001</v>
      </c>
      <c r="P313">
        <v>21.682493000000001</v>
      </c>
      <c r="Q313">
        <v>20.708556999999999</v>
      </c>
      <c r="R313">
        <v>22.269044999999998</v>
      </c>
      <c r="S313">
        <v>21.515250000000002</v>
      </c>
      <c r="T313">
        <v>22.310293000000001</v>
      </c>
      <c r="U313">
        <v>23.754082</v>
      </c>
      <c r="V313">
        <v>22.611433000000002</v>
      </c>
      <c r="W313">
        <v>23.642209999999999</v>
      </c>
      <c r="X313">
        <v>22.948706000000001</v>
      </c>
      <c r="Y313">
        <v>22.738472000000002</v>
      </c>
      <c r="Z313">
        <v>23.246935000000001</v>
      </c>
      <c r="AA313">
        <v>23.823013</v>
      </c>
      <c r="AB313">
        <v>22.911581000000002</v>
      </c>
      <c r="AC313">
        <v>22.012053000000002</v>
      </c>
      <c r="AD313">
        <v>22.639381</v>
      </c>
      <c r="AE313">
        <v>18.840181000000001</v>
      </c>
      <c r="AF313">
        <v>21.969080000000002</v>
      </c>
      <c r="AG313">
        <v>23.73752</v>
      </c>
    </row>
    <row r="314" spans="1:33" x14ac:dyDescent="0.25">
      <c r="A314" s="1">
        <v>44365</v>
      </c>
      <c r="B314">
        <v>22.147919999999999</v>
      </c>
      <c r="C314">
        <v>22.366129000000001</v>
      </c>
      <c r="D314">
        <v>21.281877999999999</v>
      </c>
      <c r="E314">
        <v>21.680418</v>
      </c>
      <c r="F314">
        <v>21.412064000000001</v>
      </c>
      <c r="G314">
        <v>20.986774</v>
      </c>
      <c r="H314">
        <v>20.104198</v>
      </c>
      <c r="I314">
        <v>22.667833000000002</v>
      </c>
      <c r="J314">
        <v>23.733915</v>
      </c>
      <c r="K314">
        <v>22.464478</v>
      </c>
      <c r="L314">
        <v>23.123075</v>
      </c>
      <c r="M314">
        <v>21.163367999999998</v>
      </c>
      <c r="N314">
        <v>21.815062999999999</v>
      </c>
      <c r="O314">
        <v>22.974518</v>
      </c>
      <c r="P314">
        <v>22.275321999999999</v>
      </c>
      <c r="Q314">
        <v>21.208463999999999</v>
      </c>
      <c r="R314">
        <v>22.807327000000001</v>
      </c>
      <c r="S314">
        <v>22.903282000000001</v>
      </c>
      <c r="T314">
        <v>23.037275000000001</v>
      </c>
      <c r="U314">
        <v>24.173323</v>
      </c>
      <c r="V314">
        <v>23.264672999999998</v>
      </c>
      <c r="W314">
        <v>24.169090000000001</v>
      </c>
      <c r="X314">
        <v>23.672080000000001</v>
      </c>
      <c r="Y314">
        <v>23.599015999999999</v>
      </c>
      <c r="Z314">
        <v>23.953306000000001</v>
      </c>
      <c r="AA314">
        <v>24.447469999999999</v>
      </c>
      <c r="AB314">
        <v>23.801306</v>
      </c>
      <c r="AC314">
        <v>23.120702999999999</v>
      </c>
      <c r="AD314">
        <v>23.199155999999999</v>
      </c>
      <c r="AE314">
        <v>19.485627999999998</v>
      </c>
      <c r="AF314">
        <v>22.549185000000001</v>
      </c>
      <c r="AG314">
        <v>24.472549999999998</v>
      </c>
    </row>
    <row r="315" spans="1:33" x14ac:dyDescent="0.25">
      <c r="A315" s="1">
        <v>44366</v>
      </c>
      <c r="B315">
        <v>22.487798999999999</v>
      </c>
      <c r="C315">
        <v>22.60971</v>
      </c>
      <c r="D315">
        <v>21.724267999999999</v>
      </c>
      <c r="E315">
        <v>22.077224999999999</v>
      </c>
      <c r="F315">
        <v>21.406649000000002</v>
      </c>
      <c r="G315">
        <v>21.22186</v>
      </c>
      <c r="H315">
        <v>20.070036000000002</v>
      </c>
      <c r="I315">
        <v>22.4375</v>
      </c>
      <c r="J315">
        <v>24.263945</v>
      </c>
      <c r="K315">
        <v>22.893830999999999</v>
      </c>
      <c r="L315">
        <v>23.578949999999999</v>
      </c>
      <c r="M315">
        <v>21.415655000000001</v>
      </c>
      <c r="N315">
        <v>22.087890000000002</v>
      </c>
      <c r="O315">
        <v>23.351906</v>
      </c>
      <c r="P315">
        <v>22.719605999999999</v>
      </c>
      <c r="Q315">
        <v>21.490713</v>
      </c>
      <c r="R315">
        <v>23.186197</v>
      </c>
      <c r="S315">
        <v>23.005223999999998</v>
      </c>
      <c r="T315">
        <v>23.314285000000002</v>
      </c>
      <c r="U315">
        <v>24.512215000000001</v>
      </c>
      <c r="V315">
        <v>23.598082999999999</v>
      </c>
      <c r="W315">
        <v>24.503698</v>
      </c>
      <c r="X315">
        <v>24.11289</v>
      </c>
      <c r="Y315">
        <v>24.549645999999999</v>
      </c>
      <c r="Z315">
        <v>24.533884</v>
      </c>
      <c r="AA315">
        <v>25.006796000000001</v>
      </c>
      <c r="AB315">
        <v>24.736387000000001</v>
      </c>
      <c r="AC315">
        <v>24.226873000000001</v>
      </c>
      <c r="AD315">
        <v>23.669428</v>
      </c>
      <c r="AE315">
        <v>19.932465000000001</v>
      </c>
      <c r="AF315">
        <v>23.136396000000001</v>
      </c>
      <c r="AG315">
        <v>25.101896</v>
      </c>
    </row>
    <row r="316" spans="1:33" x14ac:dyDescent="0.25">
      <c r="A316" s="1">
        <v>44367</v>
      </c>
      <c r="B316">
        <v>22.077341000000001</v>
      </c>
      <c r="C316">
        <v>22.278808999999999</v>
      </c>
      <c r="D316">
        <v>21.574179000000001</v>
      </c>
      <c r="E316">
        <v>21.714378</v>
      </c>
      <c r="F316">
        <v>21.115036</v>
      </c>
      <c r="G316">
        <v>21.151330000000002</v>
      </c>
      <c r="H316">
        <v>19.989457999999999</v>
      </c>
      <c r="I316">
        <v>21.118206000000001</v>
      </c>
      <c r="J316">
        <v>23.805357000000001</v>
      </c>
      <c r="K316">
        <v>22.945017</v>
      </c>
      <c r="L316">
        <v>23.631637999999999</v>
      </c>
      <c r="M316">
        <v>21.388425999999999</v>
      </c>
      <c r="N316">
        <v>21.994084999999998</v>
      </c>
      <c r="O316">
        <v>23.422868999999999</v>
      </c>
      <c r="P316">
        <v>22.795266999999999</v>
      </c>
      <c r="Q316">
        <v>21.483871000000001</v>
      </c>
      <c r="R316">
        <v>23.277906000000002</v>
      </c>
      <c r="S316">
        <v>21.927885</v>
      </c>
      <c r="T316">
        <v>23.139982</v>
      </c>
      <c r="U316">
        <v>24.508326</v>
      </c>
      <c r="V316">
        <v>23.564727999999999</v>
      </c>
      <c r="W316">
        <v>24.584371999999998</v>
      </c>
      <c r="X316">
        <v>24.083883</v>
      </c>
      <c r="Y316">
        <v>25.245874000000001</v>
      </c>
      <c r="Z316">
        <v>24.79054</v>
      </c>
      <c r="AA316">
        <v>25.368760999999999</v>
      </c>
      <c r="AB316">
        <v>25.33061</v>
      </c>
      <c r="AC316">
        <v>24.832581999999999</v>
      </c>
      <c r="AD316">
        <v>23.886092999999999</v>
      </c>
      <c r="AE316">
        <v>20.246319</v>
      </c>
      <c r="AF316">
        <v>23.605974</v>
      </c>
      <c r="AG316">
        <v>25.533684000000001</v>
      </c>
    </row>
    <row r="317" spans="1:33" x14ac:dyDescent="0.25">
      <c r="A317" s="1">
        <v>44368</v>
      </c>
      <c r="B317">
        <v>21.408394000000001</v>
      </c>
      <c r="C317">
        <v>21.856660000000002</v>
      </c>
      <c r="D317">
        <v>21.102741000000002</v>
      </c>
      <c r="E317">
        <v>20.956244000000002</v>
      </c>
      <c r="F317">
        <v>20.907522</v>
      </c>
      <c r="G317">
        <v>20.993501999999999</v>
      </c>
      <c r="H317">
        <v>19.862928</v>
      </c>
      <c r="I317">
        <v>20.526486999999999</v>
      </c>
      <c r="J317">
        <v>23.116150000000001</v>
      </c>
      <c r="K317">
        <v>22.801804000000001</v>
      </c>
      <c r="L317">
        <v>23.412459999999999</v>
      </c>
      <c r="M317">
        <v>21.221305999999998</v>
      </c>
      <c r="N317">
        <v>21.790499000000001</v>
      </c>
      <c r="O317">
        <v>23.227882000000001</v>
      </c>
      <c r="P317">
        <v>22.698540000000001</v>
      </c>
      <c r="Q317">
        <v>21.298466000000001</v>
      </c>
      <c r="R317">
        <v>23.1005</v>
      </c>
      <c r="S317">
        <v>20.930246</v>
      </c>
      <c r="T317">
        <v>22.688096999999999</v>
      </c>
      <c r="U317">
        <v>24.272179999999999</v>
      </c>
      <c r="V317">
        <v>23.122820000000001</v>
      </c>
      <c r="W317">
        <v>24.627248999999999</v>
      </c>
      <c r="X317">
        <v>23.527788000000001</v>
      </c>
      <c r="Y317">
        <v>25.636679999999998</v>
      </c>
      <c r="Z317">
        <v>24.470924</v>
      </c>
      <c r="AA317">
        <v>25.487883</v>
      </c>
      <c r="AB317">
        <v>25.631907000000002</v>
      </c>
      <c r="AC317">
        <v>24.684296</v>
      </c>
      <c r="AD317">
        <v>23.755193999999999</v>
      </c>
      <c r="AE317">
        <v>20.085428</v>
      </c>
      <c r="AF317">
        <v>24.018018999999999</v>
      </c>
      <c r="AG317">
        <v>25.647390000000001</v>
      </c>
    </row>
    <row r="318" spans="1:33" x14ac:dyDescent="0.25">
      <c r="A318" s="1">
        <v>44369</v>
      </c>
      <c r="B318">
        <v>20.930147000000002</v>
      </c>
      <c r="C318">
        <v>21.64575</v>
      </c>
      <c r="D318">
        <v>20.767168000000002</v>
      </c>
      <c r="E318">
        <v>20.503176</v>
      </c>
      <c r="F318">
        <v>20.86787</v>
      </c>
      <c r="G318">
        <v>20.944368000000001</v>
      </c>
      <c r="H318">
        <v>19.765008999999999</v>
      </c>
      <c r="I318">
        <v>20.484423</v>
      </c>
      <c r="J318">
        <v>22.716405999999999</v>
      </c>
      <c r="K318">
        <v>22.651695</v>
      </c>
      <c r="L318">
        <v>23.256615</v>
      </c>
      <c r="M318">
        <v>21.119688</v>
      </c>
      <c r="N318">
        <v>21.66413</v>
      </c>
      <c r="O318">
        <v>23.184239999999999</v>
      </c>
      <c r="P318">
        <v>22.591242000000001</v>
      </c>
      <c r="Q318">
        <v>21.157869999999999</v>
      </c>
      <c r="R318">
        <v>23.026978</v>
      </c>
      <c r="S318">
        <v>20.504367999999999</v>
      </c>
      <c r="T318">
        <v>22.432074</v>
      </c>
      <c r="U318">
        <v>24.397393999999998</v>
      </c>
      <c r="V318">
        <v>22.880776999999998</v>
      </c>
      <c r="W318">
        <v>24.516472</v>
      </c>
      <c r="X318">
        <v>23.25543</v>
      </c>
      <c r="Y318">
        <v>25.581572000000001</v>
      </c>
      <c r="Z318">
        <v>24.204542</v>
      </c>
      <c r="AA318">
        <v>25.409352999999999</v>
      </c>
      <c r="AB318">
        <v>25.598074</v>
      </c>
      <c r="AC318">
        <v>24.070587</v>
      </c>
      <c r="AD318">
        <v>23.645074999999999</v>
      </c>
      <c r="AE318">
        <v>19.549536</v>
      </c>
      <c r="AF318">
        <v>24.361968999999998</v>
      </c>
      <c r="AG318">
        <v>25.487425000000002</v>
      </c>
    </row>
    <row r="319" spans="1:33" x14ac:dyDescent="0.25">
      <c r="A319" s="1">
        <v>44370</v>
      </c>
      <c r="B319">
        <v>20.517668</v>
      </c>
      <c r="C319">
        <v>21.515205000000002</v>
      </c>
      <c r="D319">
        <v>20.439057999999999</v>
      </c>
      <c r="E319">
        <v>20.118134999999999</v>
      </c>
      <c r="F319">
        <v>20.777574999999999</v>
      </c>
      <c r="G319">
        <v>20.853247</v>
      </c>
      <c r="H319">
        <v>19.661919999999999</v>
      </c>
      <c r="I319">
        <v>20.439492999999999</v>
      </c>
      <c r="J319">
        <v>22.490335000000002</v>
      </c>
      <c r="K319">
        <v>22.642492000000001</v>
      </c>
      <c r="L319">
        <v>23.047899999999998</v>
      </c>
      <c r="M319">
        <v>21.022276000000002</v>
      </c>
      <c r="N319">
        <v>21.492851000000002</v>
      </c>
      <c r="O319">
        <v>23.040731000000001</v>
      </c>
      <c r="P319">
        <v>22.459688</v>
      </c>
      <c r="Q319">
        <v>21.024923000000001</v>
      </c>
      <c r="R319">
        <v>22.870438</v>
      </c>
      <c r="S319">
        <v>20.295382</v>
      </c>
      <c r="T319">
        <v>22.172892000000001</v>
      </c>
      <c r="U319">
        <v>24.336013999999999</v>
      </c>
      <c r="V319">
        <v>22.673079999999999</v>
      </c>
      <c r="W319">
        <v>24.280062000000001</v>
      </c>
      <c r="X319">
        <v>23.092188</v>
      </c>
      <c r="Y319">
        <v>25.450533</v>
      </c>
      <c r="Z319">
        <v>24.127587999999999</v>
      </c>
      <c r="AA319">
        <v>25.303764000000001</v>
      </c>
      <c r="AB319">
        <v>25.48583</v>
      </c>
      <c r="AC319">
        <v>23.66114</v>
      </c>
      <c r="AD319">
        <v>23.482116999999999</v>
      </c>
      <c r="AE319">
        <v>19.327864000000002</v>
      </c>
      <c r="AF319">
        <v>24.600565</v>
      </c>
      <c r="AG319">
        <v>25.289826999999999</v>
      </c>
    </row>
    <row r="320" spans="1:33" x14ac:dyDescent="0.25">
      <c r="A320" s="1">
        <v>44371</v>
      </c>
      <c r="B320">
        <v>20.240196000000001</v>
      </c>
      <c r="C320">
        <v>21.390775999999999</v>
      </c>
      <c r="D320">
        <v>20.201741999999999</v>
      </c>
      <c r="E320">
        <v>19.924803000000001</v>
      </c>
      <c r="F320">
        <v>20.711511999999999</v>
      </c>
      <c r="G320">
        <v>20.808606999999999</v>
      </c>
      <c r="H320">
        <v>19.636241999999999</v>
      </c>
      <c r="I320">
        <v>20.279157999999999</v>
      </c>
      <c r="J320">
        <v>22.441305</v>
      </c>
      <c r="K320">
        <v>22.605039999999999</v>
      </c>
      <c r="L320">
        <v>22.895536</v>
      </c>
      <c r="M320">
        <v>20.956330000000001</v>
      </c>
      <c r="N320">
        <v>21.332315000000001</v>
      </c>
      <c r="O320">
        <v>22.849222000000001</v>
      </c>
      <c r="P320">
        <v>22.337809</v>
      </c>
      <c r="Q320">
        <v>20.947365000000001</v>
      </c>
      <c r="R320">
        <v>22.705642999999998</v>
      </c>
      <c r="S320">
        <v>20.138762</v>
      </c>
      <c r="T320">
        <v>21.950814999999999</v>
      </c>
      <c r="U320">
        <v>23.986183</v>
      </c>
      <c r="V320">
        <v>22.509530999999999</v>
      </c>
      <c r="W320">
        <v>23.986979000000002</v>
      </c>
      <c r="X320">
        <v>22.965456</v>
      </c>
      <c r="Y320">
        <v>25.082557999999999</v>
      </c>
      <c r="Z320">
        <v>24.035936</v>
      </c>
      <c r="AA320">
        <v>25.348355999999999</v>
      </c>
      <c r="AB320">
        <v>25.1858</v>
      </c>
      <c r="AC320">
        <v>23.403559000000001</v>
      </c>
      <c r="AD320">
        <v>23.351666999999999</v>
      </c>
      <c r="AE320">
        <v>19.332740000000001</v>
      </c>
      <c r="AF320">
        <v>24.850266000000001</v>
      </c>
      <c r="AG320">
        <v>25.121310000000001</v>
      </c>
    </row>
    <row r="321" spans="1:33" x14ac:dyDescent="0.25">
      <c r="A321" s="1">
        <v>44372</v>
      </c>
      <c r="B321">
        <v>20.04271</v>
      </c>
      <c r="C321">
        <v>21.269566999999999</v>
      </c>
      <c r="D321">
        <v>19.950368999999998</v>
      </c>
      <c r="E321">
        <v>19.756817000000002</v>
      </c>
      <c r="F321">
        <v>20.614280000000001</v>
      </c>
      <c r="G321">
        <v>20.728247</v>
      </c>
      <c r="H321">
        <v>19.581544999999998</v>
      </c>
      <c r="I321">
        <v>20.03614</v>
      </c>
      <c r="J321">
        <v>22.485405</v>
      </c>
      <c r="K321">
        <v>22.560312</v>
      </c>
      <c r="L321">
        <v>22.803229999999999</v>
      </c>
      <c r="M321">
        <v>20.859052999999999</v>
      </c>
      <c r="N321">
        <v>21.159554</v>
      </c>
      <c r="O321">
        <v>22.726662000000001</v>
      </c>
      <c r="P321">
        <v>22.205154</v>
      </c>
      <c r="Q321">
        <v>20.850373999999999</v>
      </c>
      <c r="R321">
        <v>22.604074000000001</v>
      </c>
      <c r="S321">
        <v>19.827107999999999</v>
      </c>
      <c r="T321">
        <v>21.71367</v>
      </c>
      <c r="U321">
        <v>23.706344999999999</v>
      </c>
      <c r="V321">
        <v>22.265447999999999</v>
      </c>
      <c r="W321">
        <v>23.871939999999999</v>
      </c>
      <c r="X321">
        <v>22.6905</v>
      </c>
      <c r="Y321">
        <v>24.769311999999999</v>
      </c>
      <c r="Z321">
        <v>23.865539999999999</v>
      </c>
      <c r="AA321">
        <v>25.42801</v>
      </c>
      <c r="AB321">
        <v>24.921011</v>
      </c>
      <c r="AC321">
        <v>23.107298</v>
      </c>
      <c r="AD321">
        <v>23.226880999999999</v>
      </c>
      <c r="AE321">
        <v>19.348513000000001</v>
      </c>
      <c r="AF321">
        <v>25.083932999999998</v>
      </c>
      <c r="AG321">
        <v>25.122161999999999</v>
      </c>
    </row>
    <row r="322" spans="1:33" x14ac:dyDescent="0.25">
      <c r="A322" s="1">
        <v>44373</v>
      </c>
      <c r="B322">
        <v>20.279427999999999</v>
      </c>
      <c r="C322">
        <v>21.425529999999998</v>
      </c>
      <c r="D322">
        <v>19.978117000000001</v>
      </c>
      <c r="E322">
        <v>19.93064</v>
      </c>
      <c r="F322">
        <v>20.830030000000001</v>
      </c>
      <c r="G322">
        <v>20.829699000000002</v>
      </c>
      <c r="H322">
        <v>19.718107</v>
      </c>
      <c r="I322">
        <v>20.360524999999999</v>
      </c>
      <c r="J322">
        <v>23.056795000000001</v>
      </c>
      <c r="K322">
        <v>22.700116999999999</v>
      </c>
      <c r="L322">
        <v>23.049330000000001</v>
      </c>
      <c r="M322">
        <v>20.999127999999999</v>
      </c>
      <c r="N322">
        <v>21.286203</v>
      </c>
      <c r="O322">
        <v>22.943964000000001</v>
      </c>
      <c r="P322">
        <v>22.32546</v>
      </c>
      <c r="Q322">
        <v>20.967006999999999</v>
      </c>
      <c r="R322">
        <v>22.791741999999999</v>
      </c>
      <c r="S322">
        <v>20.290516</v>
      </c>
      <c r="T322">
        <v>21.856719999999999</v>
      </c>
      <c r="U322">
        <v>23.914345000000001</v>
      </c>
      <c r="V322">
        <v>22.407876999999999</v>
      </c>
      <c r="W322">
        <v>24.152632000000001</v>
      </c>
      <c r="X322">
        <v>22.817886000000001</v>
      </c>
      <c r="Y322">
        <v>24.726084</v>
      </c>
      <c r="Z322">
        <v>24.025541</v>
      </c>
      <c r="AA322">
        <v>25.733468999999999</v>
      </c>
      <c r="AB322">
        <v>24.940147</v>
      </c>
      <c r="AC322">
        <v>23.149370000000001</v>
      </c>
      <c r="AD322">
        <v>23.410043999999999</v>
      </c>
      <c r="AE322">
        <v>19.822956000000001</v>
      </c>
      <c r="AF322">
        <v>25.376455</v>
      </c>
      <c r="AG322">
        <v>25.471277000000001</v>
      </c>
    </row>
    <row r="323" spans="1:33" x14ac:dyDescent="0.25">
      <c r="A323" s="1">
        <v>44374</v>
      </c>
      <c r="B323">
        <v>20.465208000000001</v>
      </c>
      <c r="C323">
        <v>21.615487999999999</v>
      </c>
      <c r="D323">
        <v>20.092092999999998</v>
      </c>
      <c r="E323">
        <v>20.173653000000002</v>
      </c>
      <c r="F323">
        <v>21.003056999999998</v>
      </c>
      <c r="G323">
        <v>21.028727</v>
      </c>
      <c r="H323">
        <v>19.830988000000001</v>
      </c>
      <c r="I323">
        <v>20.622423000000001</v>
      </c>
      <c r="J323">
        <v>23.752683999999999</v>
      </c>
      <c r="K323">
        <v>22.929216</v>
      </c>
      <c r="L323">
        <v>23.486450000000001</v>
      </c>
      <c r="M323">
        <v>21.198336000000001</v>
      </c>
      <c r="N323">
        <v>21.454205999999999</v>
      </c>
      <c r="O323">
        <v>23.292788000000002</v>
      </c>
      <c r="P323">
        <v>22.564374999999998</v>
      </c>
      <c r="Q323">
        <v>21.178688000000001</v>
      </c>
      <c r="R323">
        <v>23.093938999999999</v>
      </c>
      <c r="S323">
        <v>20.842756000000001</v>
      </c>
      <c r="T323">
        <v>22.083825999999998</v>
      </c>
      <c r="U323">
        <v>24.237998999999999</v>
      </c>
      <c r="V323">
        <v>22.578797999999999</v>
      </c>
      <c r="W323">
        <v>24.362729999999999</v>
      </c>
      <c r="X323">
        <v>23.012995</v>
      </c>
      <c r="Y323">
        <v>24.710335000000001</v>
      </c>
      <c r="Z323">
        <v>24.380704999999999</v>
      </c>
      <c r="AA323">
        <v>26.117813000000002</v>
      </c>
      <c r="AB323">
        <v>24.973103999999999</v>
      </c>
      <c r="AC323">
        <v>23.534939999999999</v>
      </c>
      <c r="AD323">
        <v>23.747313999999999</v>
      </c>
      <c r="AE323">
        <v>20.079487</v>
      </c>
      <c r="AF323">
        <v>25.621084</v>
      </c>
      <c r="AG323">
        <v>25.534825999999999</v>
      </c>
    </row>
    <row r="324" spans="1:33" x14ac:dyDescent="0.25">
      <c r="A324" s="1">
        <v>44375</v>
      </c>
      <c r="B324">
        <v>20.718025000000001</v>
      </c>
      <c r="C324">
        <v>21.681401999999999</v>
      </c>
      <c r="D324">
        <v>20.214012</v>
      </c>
      <c r="E324">
        <v>20.42775</v>
      </c>
      <c r="F324">
        <v>21.079391000000001</v>
      </c>
      <c r="G324">
        <v>21.166955999999999</v>
      </c>
      <c r="H324">
        <v>19.987755</v>
      </c>
      <c r="I324">
        <v>20.820229999999999</v>
      </c>
      <c r="J324">
        <v>23.810312</v>
      </c>
      <c r="K324">
        <v>22.997931999999999</v>
      </c>
      <c r="L324">
        <v>23.579955999999999</v>
      </c>
      <c r="M324">
        <v>21.313839000000002</v>
      </c>
      <c r="N324">
        <v>21.557444</v>
      </c>
      <c r="O324">
        <v>23.329865999999999</v>
      </c>
      <c r="P324">
        <v>22.648202999999999</v>
      </c>
      <c r="Q324">
        <v>21.294180000000001</v>
      </c>
      <c r="R324">
        <v>23.197209999999998</v>
      </c>
      <c r="S324">
        <v>21.077345000000001</v>
      </c>
      <c r="T324">
        <v>22.272863000000001</v>
      </c>
      <c r="U324">
        <v>24.290486999999999</v>
      </c>
      <c r="V324">
        <v>22.644463999999999</v>
      </c>
      <c r="W324">
        <v>24.480374999999999</v>
      </c>
      <c r="X324">
        <v>23.074891999999998</v>
      </c>
      <c r="Y324">
        <v>24.392309999999998</v>
      </c>
      <c r="Z324">
        <v>24.422505999999998</v>
      </c>
      <c r="AA324">
        <v>26.354782</v>
      </c>
      <c r="AB324">
        <v>24.715944</v>
      </c>
      <c r="AC324">
        <v>23.601976000000001</v>
      </c>
      <c r="AD324">
        <v>23.919644999999999</v>
      </c>
      <c r="AE324">
        <v>20.16168</v>
      </c>
      <c r="AF324">
        <v>25.707564999999999</v>
      </c>
      <c r="AG324">
        <v>25.354088000000001</v>
      </c>
    </row>
    <row r="325" spans="1:33" x14ac:dyDescent="0.25">
      <c r="A325" s="1">
        <v>44376</v>
      </c>
      <c r="B325">
        <v>21.056726000000001</v>
      </c>
      <c r="C325">
        <v>21.888372</v>
      </c>
      <c r="D325">
        <v>20.425722</v>
      </c>
      <c r="E325">
        <v>20.740122</v>
      </c>
      <c r="F325">
        <v>21.281649999999999</v>
      </c>
      <c r="G325">
        <v>21.362638</v>
      </c>
      <c r="H325">
        <v>20.239015999999999</v>
      </c>
      <c r="I325">
        <v>21.074862</v>
      </c>
      <c r="J325">
        <v>24.116624999999999</v>
      </c>
      <c r="K325">
        <v>23.147478</v>
      </c>
      <c r="L325">
        <v>23.866392000000001</v>
      </c>
      <c r="M325">
        <v>21.510368</v>
      </c>
      <c r="N325">
        <v>21.759535</v>
      </c>
      <c r="O325">
        <v>23.651914999999999</v>
      </c>
      <c r="P325">
        <v>22.800865000000002</v>
      </c>
      <c r="Q325">
        <v>21.493296000000001</v>
      </c>
      <c r="R325">
        <v>23.490915000000001</v>
      </c>
      <c r="S325">
        <v>21.294516000000002</v>
      </c>
      <c r="T325">
        <v>22.551842000000001</v>
      </c>
      <c r="U325">
        <v>24.627313999999998</v>
      </c>
      <c r="V325">
        <v>23.029807999999999</v>
      </c>
      <c r="W325">
        <v>24.782330999999999</v>
      </c>
      <c r="X325">
        <v>23.507555</v>
      </c>
      <c r="Y325">
        <v>24.11805</v>
      </c>
      <c r="Z325">
        <v>24.543467</v>
      </c>
      <c r="AA325">
        <v>26.51651</v>
      </c>
      <c r="AB325">
        <v>24.484425999999999</v>
      </c>
      <c r="AC325">
        <v>23.541359</v>
      </c>
      <c r="AD325">
        <v>24.190353000000002</v>
      </c>
      <c r="AE325">
        <v>19.976202000000001</v>
      </c>
      <c r="AF325">
        <v>25.724909</v>
      </c>
      <c r="AG325">
        <v>25.381589999999999</v>
      </c>
    </row>
    <row r="326" spans="1:33" x14ac:dyDescent="0.25">
      <c r="A326" s="1">
        <v>44377</v>
      </c>
      <c r="B326">
        <v>21.49249</v>
      </c>
      <c r="C326">
        <v>22.162911999999999</v>
      </c>
      <c r="D326">
        <v>20.750485999999999</v>
      </c>
      <c r="E326">
        <v>21.083466999999999</v>
      </c>
      <c r="F326">
        <v>21.583252000000002</v>
      </c>
      <c r="G326">
        <v>21.645189999999999</v>
      </c>
      <c r="H326">
        <v>20.507062999999999</v>
      </c>
      <c r="I326">
        <v>21.399816999999999</v>
      </c>
      <c r="J326">
        <v>24.726762999999998</v>
      </c>
      <c r="K326">
        <v>23.454134</v>
      </c>
      <c r="L326">
        <v>24.336324999999999</v>
      </c>
      <c r="M326">
        <v>21.784523</v>
      </c>
      <c r="N326">
        <v>22.166001999999999</v>
      </c>
      <c r="O326">
        <v>24.041702000000001</v>
      </c>
      <c r="P326">
        <v>23.141352000000001</v>
      </c>
      <c r="Q326">
        <v>21.825018</v>
      </c>
      <c r="R326">
        <v>23.896125999999999</v>
      </c>
      <c r="S326">
        <v>21.767143000000001</v>
      </c>
      <c r="T326">
        <v>23.007943999999998</v>
      </c>
      <c r="U326">
        <v>24.967424000000001</v>
      </c>
      <c r="V326">
        <v>23.786356000000001</v>
      </c>
      <c r="W326">
        <v>24.791338</v>
      </c>
      <c r="X326">
        <v>24.403169999999999</v>
      </c>
      <c r="Y326">
        <v>24.256806999999998</v>
      </c>
      <c r="Z326">
        <v>24.961075000000001</v>
      </c>
      <c r="AA326">
        <v>26.857717999999998</v>
      </c>
      <c r="AB326">
        <v>24.627426</v>
      </c>
      <c r="AC326">
        <v>23.987829999999999</v>
      </c>
      <c r="AD326">
        <v>24.572127999999999</v>
      </c>
      <c r="AE326">
        <v>19.793717999999998</v>
      </c>
      <c r="AF326">
        <v>25.772238000000002</v>
      </c>
      <c r="AG326">
        <v>25.573326000000002</v>
      </c>
    </row>
    <row r="327" spans="1:33" x14ac:dyDescent="0.25">
      <c r="A327" s="1">
        <v>44378</v>
      </c>
      <c r="B327">
        <v>21.579111000000001</v>
      </c>
      <c r="C327">
        <v>22.217188</v>
      </c>
      <c r="D327">
        <v>20.923285</v>
      </c>
      <c r="E327">
        <v>21.211348000000001</v>
      </c>
      <c r="F327">
        <v>21.570900000000002</v>
      </c>
      <c r="G327">
        <v>21.728819999999999</v>
      </c>
      <c r="H327">
        <v>20.610882</v>
      </c>
      <c r="I327">
        <v>21.199862</v>
      </c>
      <c r="J327">
        <v>24.867996000000002</v>
      </c>
      <c r="K327">
        <v>23.678446000000001</v>
      </c>
      <c r="L327">
        <v>24.604009999999999</v>
      </c>
      <c r="M327">
        <v>21.903473000000002</v>
      </c>
      <c r="N327">
        <v>22.386939999999999</v>
      </c>
      <c r="O327">
        <v>24.278890000000001</v>
      </c>
      <c r="P327">
        <v>23.334185000000002</v>
      </c>
      <c r="Q327">
        <v>21.997961</v>
      </c>
      <c r="R327">
        <v>24.142073</v>
      </c>
      <c r="S327">
        <v>21.328946999999999</v>
      </c>
      <c r="T327">
        <v>23.235748000000001</v>
      </c>
      <c r="U327">
        <v>25.003855000000001</v>
      </c>
      <c r="V327">
        <v>24.103643000000002</v>
      </c>
      <c r="W327">
        <v>24.677902</v>
      </c>
      <c r="X327">
        <v>24.510286000000001</v>
      </c>
      <c r="Y327">
        <v>24.362078</v>
      </c>
      <c r="Z327">
        <v>25.199922999999998</v>
      </c>
      <c r="AA327">
        <v>27.106017999999999</v>
      </c>
      <c r="AB327">
        <v>24.815498000000002</v>
      </c>
      <c r="AC327">
        <v>24.545577999999999</v>
      </c>
      <c r="AD327">
        <v>24.850079999999998</v>
      </c>
      <c r="AE327">
        <v>19.616109999999999</v>
      </c>
      <c r="AF327">
        <v>25.807310000000001</v>
      </c>
      <c r="AG327">
        <v>25.774754999999999</v>
      </c>
    </row>
    <row r="328" spans="1:33" x14ac:dyDescent="0.25">
      <c r="A328" s="1">
        <v>44379</v>
      </c>
      <c r="B328">
        <v>21.812809999999999</v>
      </c>
      <c r="C328">
        <v>22.286280000000001</v>
      </c>
      <c r="D328">
        <v>21.051931</v>
      </c>
      <c r="E328">
        <v>21.334607999999999</v>
      </c>
      <c r="F328">
        <v>21.69622</v>
      </c>
      <c r="G328">
        <v>21.756155</v>
      </c>
      <c r="H328">
        <v>20.688189000000001</v>
      </c>
      <c r="I328">
        <v>21.086656999999999</v>
      </c>
      <c r="J328">
        <v>24.755479999999999</v>
      </c>
      <c r="K328">
        <v>23.825735000000002</v>
      </c>
      <c r="L328">
        <v>24.723452000000002</v>
      </c>
      <c r="M328">
        <v>21.995246999999999</v>
      </c>
      <c r="N328">
        <v>22.551682</v>
      </c>
      <c r="O328">
        <v>24.426970000000001</v>
      </c>
      <c r="P328">
        <v>23.492547999999999</v>
      </c>
      <c r="Q328">
        <v>22.088615000000001</v>
      </c>
      <c r="R328">
        <v>24.287668</v>
      </c>
      <c r="S328">
        <v>21.191578</v>
      </c>
      <c r="T328">
        <v>23.388580000000001</v>
      </c>
      <c r="U328">
        <v>24.806090000000001</v>
      </c>
      <c r="V328">
        <v>24.251303</v>
      </c>
      <c r="W328">
        <v>24.691579999999998</v>
      </c>
      <c r="X328">
        <v>24.512343999999999</v>
      </c>
      <c r="Y328">
        <v>24.703527000000001</v>
      </c>
      <c r="Z328">
        <v>25.265297</v>
      </c>
      <c r="AA328">
        <v>27.206372999999999</v>
      </c>
      <c r="AB328">
        <v>25.180496000000002</v>
      </c>
      <c r="AC328">
        <v>25.157705</v>
      </c>
      <c r="AD328">
        <v>25.013586</v>
      </c>
      <c r="AE328">
        <v>19.79175</v>
      </c>
      <c r="AF328">
        <v>25.883946999999999</v>
      </c>
      <c r="AG328">
        <v>26.226526</v>
      </c>
    </row>
    <row r="329" spans="1:33" x14ac:dyDescent="0.25">
      <c r="A329" s="1">
        <v>44380</v>
      </c>
      <c r="B329">
        <v>21.713456999999998</v>
      </c>
      <c r="C329">
        <v>22.174479000000002</v>
      </c>
      <c r="D329">
        <v>21.054151999999998</v>
      </c>
      <c r="E329">
        <v>21.288091999999999</v>
      </c>
      <c r="F329">
        <v>21.626515999999999</v>
      </c>
      <c r="G329">
        <v>21.673971000000002</v>
      </c>
      <c r="H329">
        <v>20.601120000000002</v>
      </c>
      <c r="I329">
        <v>20.656336</v>
      </c>
      <c r="J329">
        <v>24.328361999999998</v>
      </c>
      <c r="K329">
        <v>23.804940999999999</v>
      </c>
      <c r="L329">
        <v>24.557801999999999</v>
      </c>
      <c r="M329">
        <v>21.932365000000001</v>
      </c>
      <c r="N329">
        <v>22.424005999999999</v>
      </c>
      <c r="O329">
        <v>24.335836</v>
      </c>
      <c r="P329">
        <v>23.472650000000002</v>
      </c>
      <c r="Q329">
        <v>22.031486999999998</v>
      </c>
      <c r="R329">
        <v>24.193619000000002</v>
      </c>
      <c r="S329">
        <v>20.92144</v>
      </c>
      <c r="T329">
        <v>23.212492000000001</v>
      </c>
      <c r="U329">
        <v>24.579782000000002</v>
      </c>
      <c r="V329">
        <v>23.765726000000001</v>
      </c>
      <c r="W329">
        <v>24.596115000000001</v>
      </c>
      <c r="X329">
        <v>24.163996000000001</v>
      </c>
      <c r="Y329">
        <v>25.033434</v>
      </c>
      <c r="Z329">
        <v>25.117867</v>
      </c>
      <c r="AA329">
        <v>27.220511999999999</v>
      </c>
      <c r="AB329">
        <v>25.728065000000001</v>
      </c>
      <c r="AC329">
        <v>25.045614</v>
      </c>
      <c r="AD329">
        <v>24.962845000000002</v>
      </c>
      <c r="AE329">
        <v>19.679241000000001</v>
      </c>
      <c r="AF329">
        <v>25.961379999999998</v>
      </c>
      <c r="AG329">
        <v>26.63635</v>
      </c>
    </row>
    <row r="330" spans="1:33" x14ac:dyDescent="0.25">
      <c r="A330" s="1">
        <v>44381</v>
      </c>
      <c r="B330">
        <v>21.570765000000002</v>
      </c>
      <c r="C330">
        <v>22.00093</v>
      </c>
      <c r="D330">
        <v>21.000118000000001</v>
      </c>
      <c r="E330">
        <v>21.197868</v>
      </c>
      <c r="F330">
        <v>21.504852</v>
      </c>
      <c r="G330">
        <v>21.556000000000001</v>
      </c>
      <c r="H330">
        <v>20.436743</v>
      </c>
      <c r="I330">
        <v>20.270005999999999</v>
      </c>
      <c r="J330">
        <v>23.812692999999999</v>
      </c>
      <c r="K330">
        <v>23.693247</v>
      </c>
      <c r="L330">
        <v>24.292824</v>
      </c>
      <c r="M330">
        <v>21.83634</v>
      </c>
      <c r="N330">
        <v>22.206181999999998</v>
      </c>
      <c r="O330">
        <v>24.121134000000001</v>
      </c>
      <c r="P330">
        <v>23.341507</v>
      </c>
      <c r="Q330">
        <v>21.889686999999999</v>
      </c>
      <c r="R330">
        <v>23.959066</v>
      </c>
      <c r="S330">
        <v>20.693413</v>
      </c>
      <c r="T330">
        <v>22.889727000000001</v>
      </c>
      <c r="U330">
        <v>24.421133000000001</v>
      </c>
      <c r="V330">
        <v>23.443449999999999</v>
      </c>
      <c r="W330">
        <v>24.549942000000001</v>
      </c>
      <c r="X330">
        <v>23.909085999999999</v>
      </c>
      <c r="Y330">
        <v>25.423974999999999</v>
      </c>
      <c r="Z330">
        <v>24.896729000000001</v>
      </c>
      <c r="AA330">
        <v>27.152699999999999</v>
      </c>
      <c r="AB330">
        <v>25.962059</v>
      </c>
      <c r="AC330">
        <v>24.677917000000001</v>
      </c>
      <c r="AD330">
        <v>24.764153</v>
      </c>
      <c r="AE330">
        <v>19.754663000000001</v>
      </c>
      <c r="AF330">
        <v>26.008659999999999</v>
      </c>
      <c r="AG330">
        <v>26.938074</v>
      </c>
    </row>
    <row r="331" spans="1:33" x14ac:dyDescent="0.25">
      <c r="A331" s="1">
        <v>44382</v>
      </c>
      <c r="B331">
        <v>21.458528999999999</v>
      </c>
      <c r="C331">
        <v>21.850075</v>
      </c>
      <c r="D331">
        <v>20.89705</v>
      </c>
      <c r="E331">
        <v>21.047143999999999</v>
      </c>
      <c r="F331">
        <v>21.395026999999999</v>
      </c>
      <c r="G331">
        <v>21.450281</v>
      </c>
      <c r="H331">
        <v>20.296506999999998</v>
      </c>
      <c r="I331">
        <v>20.039038000000001</v>
      </c>
      <c r="J331">
        <v>23.352226000000002</v>
      </c>
      <c r="K331">
        <v>23.538933</v>
      </c>
      <c r="L331">
        <v>23.914293000000001</v>
      </c>
      <c r="M331">
        <v>21.663404</v>
      </c>
      <c r="N331">
        <v>21.976044000000002</v>
      </c>
      <c r="O331">
        <v>23.799852000000001</v>
      </c>
      <c r="P331">
        <v>23.154866999999999</v>
      </c>
      <c r="Q331">
        <v>21.711030999999998</v>
      </c>
      <c r="R331">
        <v>23.660875000000001</v>
      </c>
      <c r="S331">
        <v>20.456931999999998</v>
      </c>
      <c r="T331">
        <v>22.545486</v>
      </c>
      <c r="U331">
        <v>24.334045</v>
      </c>
      <c r="V331">
        <v>23.104604999999999</v>
      </c>
      <c r="W331">
        <v>24.576494</v>
      </c>
      <c r="X331">
        <v>23.568490000000001</v>
      </c>
      <c r="Y331">
        <v>25.498933999999998</v>
      </c>
      <c r="Z331">
        <v>24.648271999999999</v>
      </c>
      <c r="AA331">
        <v>27.016836000000001</v>
      </c>
      <c r="AB331">
        <v>25.991582999999999</v>
      </c>
      <c r="AC331">
        <v>24.239270999999999</v>
      </c>
      <c r="AD331">
        <v>24.467507999999999</v>
      </c>
      <c r="AE331">
        <v>19.887789000000001</v>
      </c>
      <c r="AF331">
        <v>26.043976000000001</v>
      </c>
      <c r="AG331">
        <v>26.865781999999999</v>
      </c>
    </row>
    <row r="332" spans="1:33" x14ac:dyDescent="0.25">
      <c r="A332" s="1">
        <v>44383</v>
      </c>
      <c r="B332">
        <v>21.157475999999999</v>
      </c>
      <c r="C332">
        <v>21.622879999999999</v>
      </c>
      <c r="D332">
        <v>20.620943</v>
      </c>
      <c r="E332">
        <v>20.719864000000001</v>
      </c>
      <c r="F332">
        <v>21.155169000000001</v>
      </c>
      <c r="G332">
        <v>21.319368000000001</v>
      </c>
      <c r="H332">
        <v>20.153894000000001</v>
      </c>
      <c r="I332">
        <v>19.735496999999999</v>
      </c>
      <c r="J332">
        <v>23.159174</v>
      </c>
      <c r="K332">
        <v>23.378786000000002</v>
      </c>
      <c r="L332">
        <v>23.661425000000001</v>
      </c>
      <c r="M332">
        <v>21.505417000000001</v>
      </c>
      <c r="N332">
        <v>21.733422999999998</v>
      </c>
      <c r="O332">
        <v>23.533297000000001</v>
      </c>
      <c r="P332">
        <v>22.956296999999999</v>
      </c>
      <c r="Q332">
        <v>21.514441999999999</v>
      </c>
      <c r="R332">
        <v>23.389343</v>
      </c>
      <c r="S332">
        <v>20.042518999999999</v>
      </c>
      <c r="T332">
        <v>22.178598000000001</v>
      </c>
      <c r="U332">
        <v>24.388062000000001</v>
      </c>
      <c r="V332">
        <v>22.789680000000001</v>
      </c>
      <c r="W332">
        <v>24.631219999999999</v>
      </c>
      <c r="X332">
        <v>23.261984000000002</v>
      </c>
      <c r="Y332">
        <v>25.087662000000002</v>
      </c>
      <c r="Z332">
        <v>24.381177999999998</v>
      </c>
      <c r="AA332">
        <v>26.882116</v>
      </c>
      <c r="AB332">
        <v>25.559618</v>
      </c>
      <c r="AC332">
        <v>23.459612</v>
      </c>
      <c r="AD332">
        <v>24.241540000000001</v>
      </c>
      <c r="AE332">
        <v>19.591737999999999</v>
      </c>
      <c r="AF332">
        <v>26.091398000000002</v>
      </c>
      <c r="AG332">
        <v>26.376694000000001</v>
      </c>
    </row>
    <row r="333" spans="1:33" x14ac:dyDescent="0.25">
      <c r="A333" s="1">
        <v>44384</v>
      </c>
      <c r="B333">
        <v>21.051487000000002</v>
      </c>
      <c r="C333">
        <v>21.494406000000001</v>
      </c>
      <c r="D333">
        <v>20.394566999999999</v>
      </c>
      <c r="E333">
        <v>20.487504999999999</v>
      </c>
      <c r="F333">
        <v>21.007574000000002</v>
      </c>
      <c r="G333">
        <v>21.201065</v>
      </c>
      <c r="H333">
        <v>20.100210000000001</v>
      </c>
      <c r="I333">
        <v>19.77336</v>
      </c>
      <c r="J333">
        <v>23.427399999999999</v>
      </c>
      <c r="K333">
        <v>23.379179000000001</v>
      </c>
      <c r="L333">
        <v>23.641113000000001</v>
      </c>
      <c r="M333">
        <v>21.387696999999999</v>
      </c>
      <c r="N333">
        <v>21.606383999999998</v>
      </c>
      <c r="O333">
        <v>23.484643999999999</v>
      </c>
      <c r="P333">
        <v>22.904492999999999</v>
      </c>
      <c r="Q333">
        <v>21.3565</v>
      </c>
      <c r="R333">
        <v>23.343163000000001</v>
      </c>
      <c r="S333">
        <v>19.869039999999998</v>
      </c>
      <c r="T333">
        <v>21.982536</v>
      </c>
      <c r="U333">
        <v>24.489037</v>
      </c>
      <c r="V333">
        <v>22.69258</v>
      </c>
      <c r="W333">
        <v>24.730087000000001</v>
      </c>
      <c r="X333">
        <v>23.172139999999999</v>
      </c>
      <c r="Y333">
        <v>24.094843000000001</v>
      </c>
      <c r="Z333">
        <v>24.247651999999999</v>
      </c>
      <c r="AA333">
        <v>26.668340000000001</v>
      </c>
      <c r="AB333">
        <v>24.568504000000001</v>
      </c>
      <c r="AC333">
        <v>22.491109999999999</v>
      </c>
      <c r="AD333">
        <v>24.143944000000001</v>
      </c>
      <c r="AE333">
        <v>19.249617000000001</v>
      </c>
      <c r="AF333">
        <v>25.899635</v>
      </c>
      <c r="AG333">
        <v>25.355993000000002</v>
      </c>
    </row>
    <row r="334" spans="1:33" x14ac:dyDescent="0.25">
      <c r="A334" s="1">
        <v>44385</v>
      </c>
      <c r="B334">
        <v>21.259264000000002</v>
      </c>
      <c r="C334">
        <v>21.69725</v>
      </c>
      <c r="D334">
        <v>20.426317000000001</v>
      </c>
      <c r="E334">
        <v>20.542145000000001</v>
      </c>
      <c r="F334">
        <v>21.249455999999999</v>
      </c>
      <c r="G334">
        <v>21.283434</v>
      </c>
      <c r="H334">
        <v>20.146287999999998</v>
      </c>
      <c r="I334">
        <v>20.279964</v>
      </c>
      <c r="J334">
        <v>23.941483000000002</v>
      </c>
      <c r="K334">
        <v>23.538214</v>
      </c>
      <c r="L334">
        <v>23.823239999999998</v>
      </c>
      <c r="M334">
        <v>21.499289999999998</v>
      </c>
      <c r="N334">
        <v>21.753354999999999</v>
      </c>
      <c r="O334">
        <v>23.682725999999999</v>
      </c>
      <c r="P334">
        <v>23.025870000000001</v>
      </c>
      <c r="Q334">
        <v>21.417313</v>
      </c>
      <c r="R334">
        <v>23.511420000000001</v>
      </c>
      <c r="S334">
        <v>20.101655999999998</v>
      </c>
      <c r="T334">
        <v>22.169504</v>
      </c>
      <c r="U334">
        <v>24.684653999999998</v>
      </c>
      <c r="V334">
        <v>22.973993</v>
      </c>
      <c r="W334">
        <v>24.747076</v>
      </c>
      <c r="X334">
        <v>23.470552000000001</v>
      </c>
      <c r="Y334">
        <v>23.897306</v>
      </c>
      <c r="Z334">
        <v>24.431557000000002</v>
      </c>
      <c r="AA334">
        <v>26.817174999999999</v>
      </c>
      <c r="AB334">
        <v>24.374856999999999</v>
      </c>
      <c r="AC334">
        <v>22.461404999999999</v>
      </c>
      <c r="AD334">
        <v>24.244284</v>
      </c>
      <c r="AE334">
        <v>19.293015</v>
      </c>
      <c r="AF334">
        <v>25.877718000000002</v>
      </c>
      <c r="AG334">
        <v>25.378164000000002</v>
      </c>
    </row>
    <row r="335" spans="1:33" x14ac:dyDescent="0.25">
      <c r="A335" s="1">
        <v>44386</v>
      </c>
      <c r="B335">
        <v>21.644362999999998</v>
      </c>
      <c r="C335">
        <v>22.318739999999998</v>
      </c>
      <c r="D335">
        <v>20.846499999999999</v>
      </c>
      <c r="E335">
        <v>20.956143999999998</v>
      </c>
      <c r="F335">
        <v>21.861170000000001</v>
      </c>
      <c r="G335">
        <v>21.624146</v>
      </c>
      <c r="H335">
        <v>20.458286000000001</v>
      </c>
      <c r="I335">
        <v>21.431374000000002</v>
      </c>
      <c r="J335">
        <v>24.729897999999999</v>
      </c>
      <c r="K335">
        <v>23.904634000000001</v>
      </c>
      <c r="L335">
        <v>24.304480000000002</v>
      </c>
      <c r="M335">
        <v>21.869509000000001</v>
      </c>
      <c r="N335">
        <v>22.20655</v>
      </c>
      <c r="O335">
        <v>24.16038</v>
      </c>
      <c r="P335">
        <v>23.404153999999998</v>
      </c>
      <c r="Q335">
        <v>21.781182999999999</v>
      </c>
      <c r="R335">
        <v>23.939909</v>
      </c>
      <c r="S335">
        <v>21.352042999999998</v>
      </c>
      <c r="T335">
        <v>22.794699000000001</v>
      </c>
      <c r="U335">
        <v>24.982444999999998</v>
      </c>
      <c r="V335">
        <v>23.620232000000001</v>
      </c>
      <c r="W335">
        <v>24.857793999999998</v>
      </c>
      <c r="X335">
        <v>24.051544</v>
      </c>
      <c r="Y335">
        <v>24.746725000000001</v>
      </c>
      <c r="Z335">
        <v>24.991361999999999</v>
      </c>
      <c r="AA335">
        <v>27.212744000000001</v>
      </c>
      <c r="AB335">
        <v>25.167442000000001</v>
      </c>
      <c r="AC335">
        <v>23.324518000000001</v>
      </c>
      <c r="AD335">
        <v>24.611498000000001</v>
      </c>
      <c r="AE335">
        <v>19.589089999999999</v>
      </c>
      <c r="AF335">
        <v>26.048919999999999</v>
      </c>
      <c r="AG335">
        <v>26.222367999999999</v>
      </c>
    </row>
    <row r="336" spans="1:33" x14ac:dyDescent="0.25">
      <c r="A336" s="1">
        <v>44387</v>
      </c>
      <c r="B336">
        <v>22.140726000000001</v>
      </c>
      <c r="C336">
        <v>22.847116</v>
      </c>
      <c r="D336">
        <v>21.263933000000002</v>
      </c>
      <c r="E336">
        <v>21.47138</v>
      </c>
      <c r="F336">
        <v>22.254572</v>
      </c>
      <c r="G336">
        <v>21.968277</v>
      </c>
      <c r="H336">
        <v>20.775151999999999</v>
      </c>
      <c r="I336">
        <v>22.071562</v>
      </c>
      <c r="J336">
        <v>25.473344999999998</v>
      </c>
      <c r="K336">
        <v>24.218060999999999</v>
      </c>
      <c r="L336">
        <v>24.800165</v>
      </c>
      <c r="M336">
        <v>22.223572000000001</v>
      </c>
      <c r="N336">
        <v>22.543234000000002</v>
      </c>
      <c r="O336">
        <v>24.620301999999999</v>
      </c>
      <c r="P336">
        <v>23.779215000000001</v>
      </c>
      <c r="Q336">
        <v>22.126825</v>
      </c>
      <c r="R336">
        <v>24.372350000000001</v>
      </c>
      <c r="S336">
        <v>22.623826999999999</v>
      </c>
      <c r="T336">
        <v>23.395052</v>
      </c>
      <c r="U336">
        <v>25.203156</v>
      </c>
      <c r="V336">
        <v>24.129975999999999</v>
      </c>
      <c r="W336">
        <v>25.185151999999999</v>
      </c>
      <c r="X336">
        <v>24.587302999999999</v>
      </c>
      <c r="Y336">
        <v>25.650473000000002</v>
      </c>
      <c r="Z336">
        <v>25.588875000000002</v>
      </c>
      <c r="AA336">
        <v>27.670355000000001</v>
      </c>
      <c r="AB336">
        <v>26.034624000000001</v>
      </c>
      <c r="AC336">
        <v>24.364104999999999</v>
      </c>
      <c r="AD336">
        <v>25.038506999999999</v>
      </c>
      <c r="AE336">
        <v>20.112644</v>
      </c>
      <c r="AF336">
        <v>26.286042999999999</v>
      </c>
      <c r="AG336">
        <v>26.970407000000002</v>
      </c>
    </row>
    <row r="337" spans="1:33" x14ac:dyDescent="0.25">
      <c r="A337" s="1">
        <v>44388</v>
      </c>
      <c r="B337">
        <v>22.25881</v>
      </c>
      <c r="C337">
        <v>23.169039000000001</v>
      </c>
      <c r="D337">
        <v>21.552278999999999</v>
      </c>
      <c r="E337">
        <v>21.755697000000001</v>
      </c>
      <c r="F337">
        <v>22.437635</v>
      </c>
      <c r="G337">
        <v>22.323801</v>
      </c>
      <c r="H337">
        <v>21.011251000000001</v>
      </c>
      <c r="I337">
        <v>22.290710000000001</v>
      </c>
      <c r="J337">
        <v>25.825559999999999</v>
      </c>
      <c r="K337">
        <v>24.481515999999999</v>
      </c>
      <c r="L337">
        <v>25.152132000000002</v>
      </c>
      <c r="M337">
        <v>22.556312999999999</v>
      </c>
      <c r="N337">
        <v>22.851389000000001</v>
      </c>
      <c r="O337">
        <v>24.919350000000001</v>
      </c>
      <c r="P337">
        <v>24.079687</v>
      </c>
      <c r="Q337">
        <v>22.477530999999999</v>
      </c>
      <c r="R337">
        <v>24.652037</v>
      </c>
      <c r="S337">
        <v>23.221474000000001</v>
      </c>
      <c r="T337">
        <v>23.782564000000001</v>
      </c>
      <c r="U337">
        <v>25.472059999999999</v>
      </c>
      <c r="V337">
        <v>24.376601999999998</v>
      </c>
      <c r="W337">
        <v>25.683316999999999</v>
      </c>
      <c r="X337">
        <v>24.868904000000001</v>
      </c>
      <c r="Y337">
        <v>26.093819</v>
      </c>
      <c r="Z337">
        <v>26.078050000000001</v>
      </c>
      <c r="AA337">
        <v>28.035378000000001</v>
      </c>
      <c r="AB337">
        <v>26.469390000000001</v>
      </c>
      <c r="AC337">
        <v>25.013445000000001</v>
      </c>
      <c r="AD337">
        <v>25.411225999999999</v>
      </c>
      <c r="AE337">
        <v>20.346710000000002</v>
      </c>
      <c r="AF337">
        <v>26.501854000000002</v>
      </c>
      <c r="AG337">
        <v>27.291649</v>
      </c>
    </row>
    <row r="338" spans="1:33" x14ac:dyDescent="0.25">
      <c r="A338" s="1">
        <v>44389</v>
      </c>
      <c r="B338">
        <v>21.759046999999999</v>
      </c>
      <c r="C338">
        <v>22.991827000000001</v>
      </c>
      <c r="D338">
        <v>21.353777000000001</v>
      </c>
      <c r="E338">
        <v>21.458506</v>
      </c>
      <c r="F338">
        <v>22.085566</v>
      </c>
      <c r="G338">
        <v>22.337071999999999</v>
      </c>
      <c r="H338">
        <v>20.84825</v>
      </c>
      <c r="I338">
        <v>21.62763</v>
      </c>
      <c r="J338">
        <v>25.660506999999999</v>
      </c>
      <c r="K338">
        <v>24.521446000000001</v>
      </c>
      <c r="L338">
        <v>25.207346000000001</v>
      </c>
      <c r="M338">
        <v>22.50714</v>
      </c>
      <c r="N338">
        <v>22.743483000000001</v>
      </c>
      <c r="O338">
        <v>24.919487</v>
      </c>
      <c r="P338">
        <v>24.126373000000001</v>
      </c>
      <c r="Q338">
        <v>22.483332000000001</v>
      </c>
      <c r="R338">
        <v>24.691192999999998</v>
      </c>
      <c r="S338">
        <v>22.187774999999998</v>
      </c>
      <c r="T338">
        <v>23.568045000000001</v>
      </c>
      <c r="U338">
        <v>25.550492999999999</v>
      </c>
      <c r="V338">
        <v>24.041837999999998</v>
      </c>
      <c r="W338">
        <v>25.830369999999998</v>
      </c>
      <c r="X338">
        <v>24.502013999999999</v>
      </c>
      <c r="Y338">
        <v>26.030296</v>
      </c>
      <c r="Z338">
        <v>26.143340999999999</v>
      </c>
      <c r="AA338">
        <v>28.170286000000001</v>
      </c>
      <c r="AB338">
        <v>26.456398</v>
      </c>
      <c r="AC338">
        <v>24.688455999999999</v>
      </c>
      <c r="AD338">
        <v>25.537683000000001</v>
      </c>
      <c r="AE338">
        <v>20.069513000000001</v>
      </c>
      <c r="AF338">
        <v>26.577883</v>
      </c>
      <c r="AG338">
        <v>27.128267000000001</v>
      </c>
    </row>
    <row r="339" spans="1:33" x14ac:dyDescent="0.25">
      <c r="A339" s="1">
        <v>44390</v>
      </c>
      <c r="B339">
        <v>21.409285000000001</v>
      </c>
      <c r="C339">
        <v>22.593895</v>
      </c>
      <c r="D339">
        <v>21.016193000000001</v>
      </c>
      <c r="E339">
        <v>21.249483000000001</v>
      </c>
      <c r="F339">
        <v>21.714829999999999</v>
      </c>
      <c r="G339">
        <v>22.187477000000001</v>
      </c>
      <c r="H339">
        <v>20.569852999999998</v>
      </c>
      <c r="I339">
        <v>20.905794</v>
      </c>
      <c r="J339">
        <v>25.197997999999998</v>
      </c>
      <c r="K339">
        <v>24.413664000000001</v>
      </c>
      <c r="L339">
        <v>25.090154999999999</v>
      </c>
      <c r="M339">
        <v>22.318289</v>
      </c>
      <c r="N339">
        <v>22.559473000000001</v>
      </c>
      <c r="O339">
        <v>24.80275</v>
      </c>
      <c r="P339">
        <v>23.975006</v>
      </c>
      <c r="Q339">
        <v>22.323907999999999</v>
      </c>
      <c r="R339">
        <v>24.60913</v>
      </c>
      <c r="S339">
        <v>20.996127999999999</v>
      </c>
      <c r="T339">
        <v>23.185661</v>
      </c>
      <c r="U339">
        <v>25.518545</v>
      </c>
      <c r="V339">
        <v>23.681699999999999</v>
      </c>
      <c r="W339">
        <v>25.470075999999999</v>
      </c>
      <c r="X339">
        <v>24.149605000000001</v>
      </c>
      <c r="Y339">
        <v>25.752234999999999</v>
      </c>
      <c r="Z339">
        <v>25.892084000000001</v>
      </c>
      <c r="AA339">
        <v>28.169533000000001</v>
      </c>
      <c r="AB339">
        <v>26.222653999999999</v>
      </c>
      <c r="AC339">
        <v>24.305643</v>
      </c>
      <c r="AD339">
        <v>25.53134</v>
      </c>
      <c r="AE339">
        <v>19.66452</v>
      </c>
      <c r="AF339">
        <v>26.545393000000001</v>
      </c>
      <c r="AG339">
        <v>26.945578000000001</v>
      </c>
    </row>
    <row r="340" spans="1:33" x14ac:dyDescent="0.25">
      <c r="A340" s="1">
        <v>44391</v>
      </c>
      <c r="B340">
        <v>21.002472000000001</v>
      </c>
      <c r="C340">
        <v>22.257186999999998</v>
      </c>
      <c r="D340">
        <v>20.737728000000001</v>
      </c>
      <c r="E340">
        <v>20.945012999999999</v>
      </c>
      <c r="F340">
        <v>21.524927000000002</v>
      </c>
      <c r="G340">
        <v>21.981870000000001</v>
      </c>
      <c r="H340">
        <v>20.298697000000001</v>
      </c>
      <c r="I340">
        <v>20.320257000000002</v>
      </c>
      <c r="J340">
        <v>24.501776</v>
      </c>
      <c r="K340">
        <v>24.260849</v>
      </c>
      <c r="L340">
        <v>24.846803999999999</v>
      </c>
      <c r="M340">
        <v>22.105377000000001</v>
      </c>
      <c r="N340">
        <v>22.374669999999998</v>
      </c>
      <c r="O340">
        <v>24.599295000000001</v>
      </c>
      <c r="P340">
        <v>23.768839</v>
      </c>
      <c r="Q340">
        <v>22.134943</v>
      </c>
      <c r="R340">
        <v>24.480271999999999</v>
      </c>
      <c r="S340">
        <v>20.200610999999999</v>
      </c>
      <c r="T340">
        <v>22.899286</v>
      </c>
      <c r="U340">
        <v>25.118986</v>
      </c>
      <c r="V340">
        <v>23.462752999999999</v>
      </c>
      <c r="W340">
        <v>24.793427999999999</v>
      </c>
      <c r="X340">
        <v>23.927458000000001</v>
      </c>
      <c r="Y340">
        <v>25.67</v>
      </c>
      <c r="Z340">
        <v>25.557234000000001</v>
      </c>
      <c r="AA340">
        <v>27.983978</v>
      </c>
      <c r="AB340">
        <v>26.153645999999998</v>
      </c>
      <c r="AC340">
        <v>24.291665999999999</v>
      </c>
      <c r="AD340">
        <v>25.394524000000001</v>
      </c>
      <c r="AE340">
        <v>19.432856000000001</v>
      </c>
      <c r="AF340">
        <v>26.461914</v>
      </c>
      <c r="AG340">
        <v>26.946878000000002</v>
      </c>
    </row>
    <row r="341" spans="1:33" x14ac:dyDescent="0.25">
      <c r="A341" s="1">
        <v>44392</v>
      </c>
      <c r="B341">
        <v>20.934294000000001</v>
      </c>
      <c r="C341">
        <v>22.057417000000001</v>
      </c>
      <c r="D341">
        <v>20.572431999999999</v>
      </c>
      <c r="E341">
        <v>20.806978000000001</v>
      </c>
      <c r="F341">
        <v>21.416937000000001</v>
      </c>
      <c r="G341">
        <v>21.845597999999999</v>
      </c>
      <c r="H341">
        <v>20.147192</v>
      </c>
      <c r="I341">
        <v>20.209441999999999</v>
      </c>
      <c r="J341">
        <v>24.173331999999998</v>
      </c>
      <c r="K341">
        <v>24.177315</v>
      </c>
      <c r="L341">
        <v>24.803505000000001</v>
      </c>
      <c r="M341">
        <v>21.958970999999998</v>
      </c>
      <c r="N341">
        <v>22.243835000000001</v>
      </c>
      <c r="O341">
        <v>24.589646999999999</v>
      </c>
      <c r="P341">
        <v>23.661221999999999</v>
      </c>
      <c r="Q341">
        <v>22.024426999999999</v>
      </c>
      <c r="R341">
        <v>24.492775000000002</v>
      </c>
      <c r="S341">
        <v>19.948286</v>
      </c>
      <c r="T341">
        <v>22.716443999999999</v>
      </c>
      <c r="U341">
        <v>24.600763000000001</v>
      </c>
      <c r="V341">
        <v>23.346364999999999</v>
      </c>
      <c r="W341">
        <v>24.098977999999999</v>
      </c>
      <c r="X341">
        <v>23.865079999999999</v>
      </c>
      <c r="Y341">
        <v>25.467600000000001</v>
      </c>
      <c r="Z341">
        <v>25.337562999999999</v>
      </c>
      <c r="AA341">
        <v>27.659706</v>
      </c>
      <c r="AB341">
        <v>25.992065</v>
      </c>
      <c r="AC341">
        <v>24.394635999999998</v>
      </c>
      <c r="AD341">
        <v>25.322088000000001</v>
      </c>
      <c r="AE341">
        <v>19.142845000000001</v>
      </c>
      <c r="AF341">
        <v>26.369871</v>
      </c>
      <c r="AG341">
        <v>26.688177</v>
      </c>
    </row>
    <row r="342" spans="1:33" x14ac:dyDescent="0.25">
      <c r="A342" s="1">
        <v>44393</v>
      </c>
      <c r="B342">
        <v>21.042227</v>
      </c>
      <c r="C342">
        <v>21.966750999999999</v>
      </c>
      <c r="D342">
        <v>20.504148000000001</v>
      </c>
      <c r="E342">
        <v>20.753934999999998</v>
      </c>
      <c r="F342">
        <v>21.323732</v>
      </c>
      <c r="G342">
        <v>21.698072</v>
      </c>
      <c r="H342">
        <v>20.198816000000001</v>
      </c>
      <c r="I342">
        <v>20.226233000000001</v>
      </c>
      <c r="J342">
        <v>24.095758</v>
      </c>
      <c r="K342">
        <v>24.146128000000001</v>
      </c>
      <c r="L342">
        <v>24.809225000000001</v>
      </c>
      <c r="M342">
        <v>21.864992000000001</v>
      </c>
      <c r="N342">
        <v>22.210260000000002</v>
      </c>
      <c r="O342">
        <v>24.599678000000001</v>
      </c>
      <c r="P342">
        <v>23.647138999999999</v>
      </c>
      <c r="Q342">
        <v>21.977</v>
      </c>
      <c r="R342">
        <v>24.541578000000001</v>
      </c>
      <c r="S342">
        <v>19.621963999999998</v>
      </c>
      <c r="T342">
        <v>22.639130000000002</v>
      </c>
      <c r="U342">
        <v>23.959275999999999</v>
      </c>
      <c r="V342">
        <v>23.470403999999998</v>
      </c>
      <c r="W342">
        <v>23.621846999999999</v>
      </c>
      <c r="X342">
        <v>24.032309000000001</v>
      </c>
      <c r="Y342">
        <v>24.988688</v>
      </c>
      <c r="Z342">
        <v>25.062460000000002</v>
      </c>
      <c r="AA342">
        <v>27.417624</v>
      </c>
      <c r="AB342">
        <v>25.590102999999999</v>
      </c>
      <c r="AC342">
        <v>24.058578000000001</v>
      </c>
      <c r="AD342">
        <v>25.300630000000002</v>
      </c>
      <c r="AE342">
        <v>18.98556</v>
      </c>
      <c r="AF342">
        <v>26.226395</v>
      </c>
      <c r="AG342">
        <v>26.350088</v>
      </c>
    </row>
    <row r="343" spans="1:33" x14ac:dyDescent="0.25">
      <c r="A343" s="1">
        <v>44394</v>
      </c>
      <c r="B343">
        <v>21.513199</v>
      </c>
      <c r="C343">
        <v>22.301007999999999</v>
      </c>
      <c r="D343">
        <v>20.705926999999999</v>
      </c>
      <c r="E343">
        <v>21.009212000000002</v>
      </c>
      <c r="F343">
        <v>21.713125000000002</v>
      </c>
      <c r="G343">
        <v>21.74531</v>
      </c>
      <c r="H343">
        <v>20.363659999999999</v>
      </c>
      <c r="I343">
        <v>20.922338</v>
      </c>
      <c r="J343">
        <v>24.421233999999998</v>
      </c>
      <c r="K343">
        <v>24.340906</v>
      </c>
      <c r="L343">
        <v>25.043337000000001</v>
      </c>
      <c r="M343">
        <v>22.042214999999999</v>
      </c>
      <c r="N343">
        <v>22.518239999999999</v>
      </c>
      <c r="O343">
        <v>24.850807</v>
      </c>
      <c r="P343">
        <v>23.845200999999999</v>
      </c>
      <c r="Q343">
        <v>22.121179999999999</v>
      </c>
      <c r="R343">
        <v>24.755468</v>
      </c>
      <c r="S343">
        <v>20.142372000000002</v>
      </c>
      <c r="T343">
        <v>22.949583000000001</v>
      </c>
      <c r="U343">
        <v>23.796347000000001</v>
      </c>
      <c r="V343">
        <v>23.730233999999999</v>
      </c>
      <c r="W343">
        <v>23.643681999999998</v>
      </c>
      <c r="X343">
        <v>24.205873</v>
      </c>
      <c r="Y343">
        <v>25.000268999999999</v>
      </c>
      <c r="Z343">
        <v>25.197775</v>
      </c>
      <c r="AA343">
        <v>27.349138</v>
      </c>
      <c r="AB343">
        <v>25.625036000000001</v>
      </c>
      <c r="AC343">
        <v>24.340789999999998</v>
      </c>
      <c r="AD343">
        <v>25.439405000000001</v>
      </c>
      <c r="AE343">
        <v>19.183496000000002</v>
      </c>
      <c r="AF343">
        <v>26.168129</v>
      </c>
      <c r="AG343">
        <v>26.507494000000001</v>
      </c>
    </row>
    <row r="344" spans="1:33" x14ac:dyDescent="0.25">
      <c r="A344" s="1">
        <v>44395</v>
      </c>
      <c r="B344">
        <v>21.851288</v>
      </c>
      <c r="C344">
        <v>22.587263</v>
      </c>
      <c r="D344">
        <v>20.974869999999999</v>
      </c>
      <c r="E344">
        <v>21.249865</v>
      </c>
      <c r="F344">
        <v>21.896034</v>
      </c>
      <c r="G344">
        <v>21.805578000000001</v>
      </c>
      <c r="H344">
        <v>20.470255000000002</v>
      </c>
      <c r="I344">
        <v>21.209956999999999</v>
      </c>
      <c r="J344">
        <v>24.612798999999999</v>
      </c>
      <c r="K344">
        <v>24.491472000000002</v>
      </c>
      <c r="L344">
        <v>25.190725</v>
      </c>
      <c r="M344">
        <v>22.158928</v>
      </c>
      <c r="N344">
        <v>22.715112999999999</v>
      </c>
      <c r="O344">
        <v>24.998611</v>
      </c>
      <c r="P344">
        <v>24.022223</v>
      </c>
      <c r="Q344">
        <v>22.237831</v>
      </c>
      <c r="R344">
        <v>24.867377999999999</v>
      </c>
      <c r="S344">
        <v>20.723673000000002</v>
      </c>
      <c r="T344">
        <v>23.224937000000001</v>
      </c>
      <c r="U344">
        <v>23.856552000000001</v>
      </c>
      <c r="V344">
        <v>23.849011999999998</v>
      </c>
      <c r="W344">
        <v>23.823404</v>
      </c>
      <c r="X344">
        <v>24.226868</v>
      </c>
      <c r="Y344">
        <v>25.436872000000001</v>
      </c>
      <c r="Z344">
        <v>25.414321999999999</v>
      </c>
      <c r="AA344">
        <v>27.362335000000002</v>
      </c>
      <c r="AB344">
        <v>26.128305000000001</v>
      </c>
      <c r="AC344">
        <v>24.751214999999998</v>
      </c>
      <c r="AD344">
        <v>25.543419</v>
      </c>
      <c r="AE344">
        <v>19.227395999999999</v>
      </c>
      <c r="AF344">
        <v>26.192292999999999</v>
      </c>
      <c r="AG344">
        <v>26.861571999999999</v>
      </c>
    </row>
    <row r="345" spans="1:33" x14ac:dyDescent="0.25">
      <c r="A345" s="1">
        <v>44396</v>
      </c>
      <c r="B345">
        <v>22.054030999999998</v>
      </c>
      <c r="C345">
        <v>22.774007999999998</v>
      </c>
      <c r="D345">
        <v>21.227941999999999</v>
      </c>
      <c r="E345">
        <v>21.394938</v>
      </c>
      <c r="F345">
        <v>22.055902</v>
      </c>
      <c r="G345">
        <v>21.879217000000001</v>
      </c>
      <c r="H345">
        <v>20.52027</v>
      </c>
      <c r="I345">
        <v>21.253363</v>
      </c>
      <c r="J345">
        <v>24.84375</v>
      </c>
      <c r="K345">
        <v>24.599129000000001</v>
      </c>
      <c r="L345">
        <v>25.316230000000001</v>
      </c>
      <c r="M345">
        <v>22.235619</v>
      </c>
      <c r="N345">
        <v>22.803277999999999</v>
      </c>
      <c r="O345">
        <v>25.186392000000001</v>
      </c>
      <c r="P345">
        <v>24.177465000000002</v>
      </c>
      <c r="Q345">
        <v>22.292013000000001</v>
      </c>
      <c r="R345">
        <v>25.014250000000001</v>
      </c>
      <c r="S345">
        <v>21.283337</v>
      </c>
      <c r="T345">
        <v>23.412012000000001</v>
      </c>
      <c r="U345">
        <v>24.106413</v>
      </c>
      <c r="V345">
        <v>23.988659999999999</v>
      </c>
      <c r="W345">
        <v>24.234690000000001</v>
      </c>
      <c r="X345">
        <v>24.317931999999999</v>
      </c>
      <c r="Y345">
        <v>25.965502000000001</v>
      </c>
      <c r="Z345">
        <v>25.71077</v>
      </c>
      <c r="AA345">
        <v>27.517469999999999</v>
      </c>
      <c r="AB345">
        <v>26.561083</v>
      </c>
      <c r="AC345">
        <v>24.908453000000002</v>
      </c>
      <c r="AD345">
        <v>25.661149999999999</v>
      </c>
      <c r="AE345">
        <v>19.463282</v>
      </c>
      <c r="AF345">
        <v>26.277384000000001</v>
      </c>
      <c r="AG345">
        <v>27.233118000000001</v>
      </c>
    </row>
    <row r="346" spans="1:33" x14ac:dyDescent="0.25">
      <c r="A346" s="1">
        <v>44397</v>
      </c>
      <c r="B346">
        <v>22.025331000000001</v>
      </c>
      <c r="C346">
        <v>22.763283000000001</v>
      </c>
      <c r="D346">
        <v>21.317034</v>
      </c>
      <c r="E346">
        <v>21.362638</v>
      </c>
      <c r="F346">
        <v>22.051017999999999</v>
      </c>
      <c r="G346">
        <v>21.971496999999999</v>
      </c>
      <c r="H346">
        <v>20.571795999999999</v>
      </c>
      <c r="I346">
        <v>21.355367999999999</v>
      </c>
      <c r="J346">
        <v>25.132926999999999</v>
      </c>
      <c r="K346">
        <v>24.741178999999999</v>
      </c>
      <c r="L346">
        <v>25.410318</v>
      </c>
      <c r="M346">
        <v>22.268941999999999</v>
      </c>
      <c r="N346">
        <v>22.875753</v>
      </c>
      <c r="O346">
        <v>25.214279999999999</v>
      </c>
      <c r="P346">
        <v>24.301966</v>
      </c>
      <c r="Q346">
        <v>22.346053999999999</v>
      </c>
      <c r="R346">
        <v>25.050850000000001</v>
      </c>
      <c r="S346">
        <v>21.385681000000002</v>
      </c>
      <c r="T346">
        <v>23.424135</v>
      </c>
      <c r="U346">
        <v>24.376374999999999</v>
      </c>
      <c r="V346">
        <v>23.968657</v>
      </c>
      <c r="W346">
        <v>24.47325</v>
      </c>
      <c r="X346">
        <v>24.280360000000002</v>
      </c>
      <c r="Y346">
        <v>26.072357</v>
      </c>
      <c r="Z346">
        <v>25.910920000000001</v>
      </c>
      <c r="AA346">
        <v>27.651575000000001</v>
      </c>
      <c r="AB346">
        <v>26.555807000000001</v>
      </c>
      <c r="AC346">
        <v>24.635802999999999</v>
      </c>
      <c r="AD346">
        <v>25.741419</v>
      </c>
      <c r="AE346">
        <v>19.387370000000001</v>
      </c>
      <c r="AF346">
        <v>26.334199999999999</v>
      </c>
      <c r="AG346">
        <v>27.044664000000001</v>
      </c>
    </row>
    <row r="347" spans="1:33" x14ac:dyDescent="0.25">
      <c r="A347" s="1">
        <v>44398</v>
      </c>
      <c r="B347">
        <v>21.826817999999999</v>
      </c>
      <c r="C347">
        <v>22.682729999999999</v>
      </c>
      <c r="D347">
        <v>21.205473000000001</v>
      </c>
      <c r="E347">
        <v>21.209779999999999</v>
      </c>
      <c r="F347">
        <v>21.884115000000001</v>
      </c>
      <c r="G347">
        <v>21.956265999999999</v>
      </c>
      <c r="H347">
        <v>20.456661</v>
      </c>
      <c r="I347">
        <v>21.098623</v>
      </c>
      <c r="J347">
        <v>25.048705999999999</v>
      </c>
      <c r="K347">
        <v>24.720423</v>
      </c>
      <c r="L347">
        <v>25.24952</v>
      </c>
      <c r="M347">
        <v>22.220780999999999</v>
      </c>
      <c r="N347">
        <v>22.759920000000001</v>
      </c>
      <c r="O347">
        <v>25.021512999999999</v>
      </c>
      <c r="P347">
        <v>24.261479999999999</v>
      </c>
      <c r="Q347">
        <v>22.269196000000001</v>
      </c>
      <c r="R347">
        <v>24.885619999999999</v>
      </c>
      <c r="S347">
        <v>21.168133000000001</v>
      </c>
      <c r="T347">
        <v>23.239502000000002</v>
      </c>
      <c r="U347">
        <v>24.447340000000001</v>
      </c>
      <c r="V347">
        <v>23.758278000000001</v>
      </c>
      <c r="W347">
        <v>24.502130000000001</v>
      </c>
      <c r="X347">
        <v>24.069735000000001</v>
      </c>
      <c r="Y347">
        <v>25.31662</v>
      </c>
      <c r="Z347">
        <v>25.7913</v>
      </c>
      <c r="AA347">
        <v>27.500803000000001</v>
      </c>
      <c r="AB347">
        <v>25.749666000000001</v>
      </c>
      <c r="AC347">
        <v>23.913558999999999</v>
      </c>
      <c r="AD347">
        <v>25.61431</v>
      </c>
      <c r="AE347">
        <v>19.120526999999999</v>
      </c>
      <c r="AF347">
        <v>26.206903000000001</v>
      </c>
      <c r="AG347">
        <v>26.145883999999999</v>
      </c>
    </row>
    <row r="348" spans="1:33" x14ac:dyDescent="0.25">
      <c r="A348" s="1">
        <v>44399</v>
      </c>
      <c r="B348">
        <v>21.615023000000001</v>
      </c>
      <c r="C348">
        <v>22.718187</v>
      </c>
      <c r="D348">
        <v>21.138287999999999</v>
      </c>
      <c r="E348">
        <v>21.052681</v>
      </c>
      <c r="F348">
        <v>21.918638000000001</v>
      </c>
      <c r="G348">
        <v>21.968409000000001</v>
      </c>
      <c r="H348">
        <v>20.447298</v>
      </c>
      <c r="I348">
        <v>21.162281</v>
      </c>
      <c r="J348">
        <v>24.994806000000001</v>
      </c>
      <c r="K348">
        <v>24.766522999999999</v>
      </c>
      <c r="L348">
        <v>25.178825</v>
      </c>
      <c r="M348">
        <v>22.236265</v>
      </c>
      <c r="N348">
        <v>22.748552</v>
      </c>
      <c r="O348">
        <v>24.937002</v>
      </c>
      <c r="P348">
        <v>24.218836</v>
      </c>
      <c r="Q348">
        <v>22.251619999999999</v>
      </c>
      <c r="R348">
        <v>24.817564000000001</v>
      </c>
      <c r="S348">
        <v>21.126068</v>
      </c>
      <c r="T348">
        <v>23.196814</v>
      </c>
      <c r="U348">
        <v>24.464697000000001</v>
      </c>
      <c r="V348">
        <v>23.744719</v>
      </c>
      <c r="W348">
        <v>24.337744000000001</v>
      </c>
      <c r="X348">
        <v>24.067471999999999</v>
      </c>
      <c r="Y348">
        <v>24.990120000000001</v>
      </c>
      <c r="Z348">
        <v>25.684494000000001</v>
      </c>
      <c r="AA348">
        <v>27.483536000000001</v>
      </c>
      <c r="AB348">
        <v>25.374642999999999</v>
      </c>
      <c r="AC348">
        <v>23.418897999999999</v>
      </c>
      <c r="AD348">
        <v>25.529938000000001</v>
      </c>
      <c r="AE348">
        <v>18.922039000000002</v>
      </c>
      <c r="AF348">
        <v>26.195871</v>
      </c>
      <c r="AG348">
        <v>26.034003999999999</v>
      </c>
    </row>
    <row r="349" spans="1:33" x14ac:dyDescent="0.25">
      <c r="A349" s="1">
        <v>44400</v>
      </c>
      <c r="B349">
        <v>21.346346</v>
      </c>
      <c r="C349">
        <v>22.742964000000001</v>
      </c>
      <c r="D349">
        <v>21.061223999999999</v>
      </c>
      <c r="E349">
        <v>20.953019999999999</v>
      </c>
      <c r="F349">
        <v>21.941331999999999</v>
      </c>
      <c r="G349">
        <v>22.010597000000001</v>
      </c>
      <c r="H349">
        <v>20.456296999999999</v>
      </c>
      <c r="I349">
        <v>21.348199999999999</v>
      </c>
      <c r="J349">
        <v>24.956015000000001</v>
      </c>
      <c r="K349">
        <v>24.837033999999999</v>
      </c>
      <c r="L349">
        <v>25.169250000000002</v>
      </c>
      <c r="M349">
        <v>22.272741</v>
      </c>
      <c r="N349">
        <v>22.793700000000001</v>
      </c>
      <c r="O349">
        <v>24.954336000000001</v>
      </c>
      <c r="P349">
        <v>24.253885</v>
      </c>
      <c r="Q349">
        <v>22.278112</v>
      </c>
      <c r="R349">
        <v>24.849304</v>
      </c>
      <c r="S349">
        <v>21.027967</v>
      </c>
      <c r="T349">
        <v>23.210833000000001</v>
      </c>
      <c r="U349">
        <v>24.357102999999999</v>
      </c>
      <c r="V349">
        <v>23.828984999999999</v>
      </c>
      <c r="W349">
        <v>24.08953</v>
      </c>
      <c r="X349">
        <v>24.150649999999999</v>
      </c>
      <c r="Y349">
        <v>25.078588</v>
      </c>
      <c r="Z349">
        <v>25.65316</v>
      </c>
      <c r="AA349">
        <v>27.470839999999999</v>
      </c>
      <c r="AB349">
        <v>25.483460000000001</v>
      </c>
      <c r="AC349">
        <v>23.517775</v>
      </c>
      <c r="AD349">
        <v>25.512224</v>
      </c>
      <c r="AE349">
        <v>18.987943999999999</v>
      </c>
      <c r="AF349">
        <v>26.198430999999999</v>
      </c>
      <c r="AG349">
        <v>26.267230000000001</v>
      </c>
    </row>
    <row r="350" spans="1:33" x14ac:dyDescent="0.25">
      <c r="A350" s="1">
        <v>44401</v>
      </c>
      <c r="B350">
        <v>21.124296000000001</v>
      </c>
      <c r="C350">
        <v>22.703928000000001</v>
      </c>
      <c r="D350">
        <v>20.954906000000001</v>
      </c>
      <c r="E350">
        <v>20.880873000000001</v>
      </c>
      <c r="F350">
        <v>21.860907000000001</v>
      </c>
      <c r="G350">
        <v>22.001068</v>
      </c>
      <c r="H350">
        <v>20.287924</v>
      </c>
      <c r="I350">
        <v>21.107689000000001</v>
      </c>
      <c r="J350">
        <v>24.921396000000001</v>
      </c>
      <c r="K350">
        <v>24.825849999999999</v>
      </c>
      <c r="L350">
        <v>25.149529000000001</v>
      </c>
      <c r="M350">
        <v>22.230713000000002</v>
      </c>
      <c r="N350">
        <v>22.683769999999999</v>
      </c>
      <c r="O350">
        <v>24.925992999999998</v>
      </c>
      <c r="P350">
        <v>24.213327</v>
      </c>
      <c r="Q350">
        <v>22.249566999999999</v>
      </c>
      <c r="R350">
        <v>24.833548</v>
      </c>
      <c r="S350">
        <v>21.001107999999999</v>
      </c>
      <c r="T350">
        <v>23.152918</v>
      </c>
      <c r="U350">
        <v>24.123654999999999</v>
      </c>
      <c r="V350">
        <v>23.759679999999999</v>
      </c>
      <c r="W350">
        <v>23.996796</v>
      </c>
      <c r="X350">
        <v>24.110036999999998</v>
      </c>
      <c r="Y350">
        <v>25.560064000000001</v>
      </c>
      <c r="Z350">
        <v>25.605215000000001</v>
      </c>
      <c r="AA350">
        <v>27.505075000000001</v>
      </c>
      <c r="AB350">
        <v>25.974927999999998</v>
      </c>
      <c r="AC350">
        <v>24.256224</v>
      </c>
      <c r="AD350">
        <v>25.464516</v>
      </c>
      <c r="AE350">
        <v>19.21902</v>
      </c>
      <c r="AF350">
        <v>26.238465999999999</v>
      </c>
      <c r="AG350">
        <v>26.713353999999999</v>
      </c>
    </row>
    <row r="351" spans="1:33" x14ac:dyDescent="0.25">
      <c r="A351" s="1">
        <v>44402</v>
      </c>
      <c r="B351">
        <v>20.881084000000001</v>
      </c>
      <c r="C351">
        <v>22.389434999999999</v>
      </c>
      <c r="D351">
        <v>20.752642000000002</v>
      </c>
      <c r="E351">
        <v>20.714943000000002</v>
      </c>
      <c r="F351">
        <v>21.568266000000001</v>
      </c>
      <c r="G351">
        <v>21.848479999999999</v>
      </c>
      <c r="H351">
        <v>20.079393</v>
      </c>
      <c r="I351">
        <v>20.656023000000001</v>
      </c>
      <c r="J351">
        <v>24.364077000000002</v>
      </c>
      <c r="K351">
        <v>24.610959999999999</v>
      </c>
      <c r="L351">
        <v>24.83004</v>
      </c>
      <c r="M351">
        <v>22.026040999999999</v>
      </c>
      <c r="N351">
        <v>22.415282999999999</v>
      </c>
      <c r="O351">
        <v>24.633717999999998</v>
      </c>
      <c r="P351">
        <v>23.962595</v>
      </c>
      <c r="Q351">
        <v>22.064261999999999</v>
      </c>
      <c r="R351">
        <v>24.568297999999999</v>
      </c>
      <c r="S351">
        <v>20.752890000000001</v>
      </c>
      <c r="T351">
        <v>22.864397</v>
      </c>
      <c r="U351">
        <v>23.936865000000001</v>
      </c>
      <c r="V351">
        <v>23.364138000000001</v>
      </c>
      <c r="W351">
        <v>23.995314</v>
      </c>
      <c r="X351">
        <v>23.720231999999999</v>
      </c>
      <c r="Y351">
        <v>25.880345999999999</v>
      </c>
      <c r="Z351">
        <v>25.292292</v>
      </c>
      <c r="AA351">
        <v>27.476469999999999</v>
      </c>
      <c r="AB351">
        <v>26.276655000000002</v>
      </c>
      <c r="AC351">
        <v>24.750069</v>
      </c>
      <c r="AD351">
        <v>25.231638</v>
      </c>
      <c r="AE351">
        <v>19.421496999999999</v>
      </c>
      <c r="AF351">
        <v>26.26548</v>
      </c>
      <c r="AG351">
        <v>27.058534999999999</v>
      </c>
    </row>
    <row r="352" spans="1:33" x14ac:dyDescent="0.25">
      <c r="A352" s="1">
        <v>44403</v>
      </c>
      <c r="B352">
        <v>20.356853000000001</v>
      </c>
      <c r="C352">
        <v>22.036836999999998</v>
      </c>
      <c r="D352">
        <v>20.406051999999999</v>
      </c>
      <c r="E352">
        <v>20.381933</v>
      </c>
      <c r="F352">
        <v>21.324998999999998</v>
      </c>
      <c r="G352">
        <v>21.659683000000001</v>
      </c>
      <c r="H352">
        <v>19.845606</v>
      </c>
      <c r="I352">
        <v>20.268332999999998</v>
      </c>
      <c r="J352">
        <v>23.953009000000002</v>
      </c>
      <c r="K352">
        <v>24.339409</v>
      </c>
      <c r="L352">
        <v>24.506294</v>
      </c>
      <c r="M352">
        <v>21.812874000000001</v>
      </c>
      <c r="N352">
        <v>22.146851999999999</v>
      </c>
      <c r="O352">
        <v>24.316652000000001</v>
      </c>
      <c r="P352">
        <v>23.683481</v>
      </c>
      <c r="Q352">
        <v>21.859597999999998</v>
      </c>
      <c r="R352">
        <v>24.284341999999999</v>
      </c>
      <c r="S352">
        <v>20.241555999999999</v>
      </c>
      <c r="T352">
        <v>22.492775000000002</v>
      </c>
      <c r="U352">
        <v>23.762815</v>
      </c>
      <c r="V352">
        <v>22.940194999999999</v>
      </c>
      <c r="W352">
        <v>23.865697999999998</v>
      </c>
      <c r="X352">
        <v>23.254110000000001</v>
      </c>
      <c r="Y352">
        <v>25.919350000000001</v>
      </c>
      <c r="Z352">
        <v>24.858689999999999</v>
      </c>
      <c r="AA352">
        <v>27.305204</v>
      </c>
      <c r="AB352">
        <v>26.334215</v>
      </c>
      <c r="AC352">
        <v>24.643234</v>
      </c>
      <c r="AD352">
        <v>24.969187000000002</v>
      </c>
      <c r="AE352">
        <v>19.345918999999999</v>
      </c>
      <c r="AF352">
        <v>26.205107000000002</v>
      </c>
      <c r="AG352">
        <v>27.124063</v>
      </c>
    </row>
    <row r="353" spans="1:33" x14ac:dyDescent="0.25">
      <c r="A353" s="1">
        <v>44404</v>
      </c>
      <c r="B353">
        <v>20.402328000000001</v>
      </c>
      <c r="C353">
        <v>22.046728000000002</v>
      </c>
      <c r="D353">
        <v>20.241720000000001</v>
      </c>
      <c r="E353">
        <v>20.272465</v>
      </c>
      <c r="F353">
        <v>21.402193</v>
      </c>
      <c r="G353">
        <v>21.632393</v>
      </c>
      <c r="H353">
        <v>19.891697000000001</v>
      </c>
      <c r="I353">
        <v>20.365911000000001</v>
      </c>
      <c r="J353">
        <v>23.925979999999999</v>
      </c>
      <c r="K353">
        <v>24.254189</v>
      </c>
      <c r="L353">
        <v>24.560994999999998</v>
      </c>
      <c r="M353">
        <v>21.816642999999999</v>
      </c>
      <c r="N353">
        <v>22.157941999999998</v>
      </c>
      <c r="O353">
        <v>24.429307999999999</v>
      </c>
      <c r="P353">
        <v>23.642945999999998</v>
      </c>
      <c r="Q353">
        <v>21.822098</v>
      </c>
      <c r="R353">
        <v>24.376204000000001</v>
      </c>
      <c r="S353">
        <v>20.332560999999998</v>
      </c>
      <c r="T353">
        <v>22.514600000000002</v>
      </c>
      <c r="U353">
        <v>23.933721999999999</v>
      </c>
      <c r="V353">
        <v>23.126417</v>
      </c>
      <c r="W353">
        <v>23.975784000000001</v>
      </c>
      <c r="X353">
        <v>23.418818000000002</v>
      </c>
      <c r="Y353">
        <v>26.026399999999999</v>
      </c>
      <c r="Z353">
        <v>24.817812</v>
      </c>
      <c r="AA353">
        <v>27.171610000000001</v>
      </c>
      <c r="AB353">
        <v>26.455055000000002</v>
      </c>
      <c r="AC353">
        <v>24.838587</v>
      </c>
      <c r="AD353">
        <v>25.013397000000001</v>
      </c>
      <c r="AE353">
        <v>19.139064999999999</v>
      </c>
      <c r="AF353">
        <v>26.112725999999999</v>
      </c>
      <c r="AG353">
        <v>27.083432999999999</v>
      </c>
    </row>
    <row r="354" spans="1:33" x14ac:dyDescent="0.25">
      <c r="A354" s="1">
        <v>44405</v>
      </c>
      <c r="B354">
        <v>21.017149</v>
      </c>
      <c r="C354">
        <v>22.332186</v>
      </c>
      <c r="D354">
        <v>20.579592000000002</v>
      </c>
      <c r="E354">
        <v>20.72785</v>
      </c>
      <c r="F354">
        <v>21.762830000000001</v>
      </c>
      <c r="G354">
        <v>21.769928</v>
      </c>
      <c r="H354">
        <v>20.04457</v>
      </c>
      <c r="I354">
        <v>21.129073999999999</v>
      </c>
      <c r="J354">
        <v>24.181287999999999</v>
      </c>
      <c r="K354">
        <v>24.300753</v>
      </c>
      <c r="L354">
        <v>24.69239</v>
      </c>
      <c r="M354">
        <v>21.974088999999999</v>
      </c>
      <c r="N354">
        <v>22.358709999999999</v>
      </c>
      <c r="O354">
        <v>24.524609999999999</v>
      </c>
      <c r="P354">
        <v>23.775258999999998</v>
      </c>
      <c r="Q354">
        <v>22.010812999999999</v>
      </c>
      <c r="R354">
        <v>24.477447999999999</v>
      </c>
      <c r="S354">
        <v>21.235119999999998</v>
      </c>
      <c r="T354">
        <v>22.859034000000001</v>
      </c>
      <c r="U354">
        <v>24.221319999999999</v>
      </c>
      <c r="V354">
        <v>23.405950000000001</v>
      </c>
      <c r="W354">
        <v>24.001753000000001</v>
      </c>
      <c r="X354">
        <v>23.742899000000001</v>
      </c>
      <c r="Y354">
        <v>26.305876000000001</v>
      </c>
      <c r="Z354">
        <v>24.899576</v>
      </c>
      <c r="AA354">
        <v>27.111647000000001</v>
      </c>
      <c r="AB354">
        <v>26.731974000000001</v>
      </c>
      <c r="AC354">
        <v>25.210459</v>
      </c>
      <c r="AD354">
        <v>25.076162</v>
      </c>
      <c r="AE354">
        <v>19.228982999999999</v>
      </c>
      <c r="AF354">
        <v>26.107261999999999</v>
      </c>
      <c r="AG354">
        <v>27.110932999999999</v>
      </c>
    </row>
    <row r="355" spans="1:33" x14ac:dyDescent="0.25">
      <c r="A355" s="1">
        <v>44406</v>
      </c>
      <c r="B355">
        <v>21.362686</v>
      </c>
      <c r="C355">
        <v>22.409791999999999</v>
      </c>
      <c r="D355">
        <v>20.884803999999999</v>
      </c>
      <c r="E355">
        <v>21.133673000000002</v>
      </c>
      <c r="F355">
        <v>21.818826999999999</v>
      </c>
      <c r="G355">
        <v>21.867875999999999</v>
      </c>
      <c r="H355">
        <v>20.108647999999999</v>
      </c>
      <c r="I355">
        <v>21.212294</v>
      </c>
      <c r="J355">
        <v>24.337067000000001</v>
      </c>
      <c r="K355">
        <v>24.256730000000001</v>
      </c>
      <c r="L355">
        <v>24.681388999999999</v>
      </c>
      <c r="M355">
        <v>22.051924</v>
      </c>
      <c r="N355">
        <v>22.344964999999998</v>
      </c>
      <c r="O355">
        <v>24.511232</v>
      </c>
      <c r="P355">
        <v>23.729247999999998</v>
      </c>
      <c r="Q355">
        <v>22.102277999999998</v>
      </c>
      <c r="R355">
        <v>24.468306999999999</v>
      </c>
      <c r="S355">
        <v>21.590433000000001</v>
      </c>
      <c r="T355">
        <v>22.966055000000001</v>
      </c>
      <c r="U355">
        <v>24.281659999999999</v>
      </c>
      <c r="V355">
        <v>23.46237</v>
      </c>
      <c r="W355">
        <v>23.861280000000001</v>
      </c>
      <c r="X355">
        <v>23.882916999999999</v>
      </c>
      <c r="Y355">
        <v>26.405092</v>
      </c>
      <c r="Z355">
        <v>24.988320999999999</v>
      </c>
      <c r="AA355">
        <v>27.265635</v>
      </c>
      <c r="AB355">
        <v>26.875551000000002</v>
      </c>
      <c r="AC355">
        <v>25.359380000000002</v>
      </c>
      <c r="AD355">
        <v>25.072012000000001</v>
      </c>
      <c r="AE355">
        <v>19.617407</v>
      </c>
      <c r="AF355">
        <v>26.310091</v>
      </c>
      <c r="AG355">
        <v>27.320641999999999</v>
      </c>
    </row>
    <row r="356" spans="1:33" x14ac:dyDescent="0.25">
      <c r="A356" s="1">
        <v>44407</v>
      </c>
      <c r="B356">
        <v>21.921623</v>
      </c>
      <c r="C356">
        <v>22.577005</v>
      </c>
      <c r="D356">
        <v>21.191637</v>
      </c>
      <c r="E356">
        <v>21.476949999999999</v>
      </c>
      <c r="F356">
        <v>21.947379999999999</v>
      </c>
      <c r="G356">
        <v>21.9634</v>
      </c>
      <c r="H356">
        <v>20.277232999999999</v>
      </c>
      <c r="I356">
        <v>21.33887</v>
      </c>
      <c r="J356">
        <v>24.595703</v>
      </c>
      <c r="K356">
        <v>24.259482999999999</v>
      </c>
      <c r="L356">
        <v>24.795836999999999</v>
      </c>
      <c r="M356">
        <v>22.193262000000001</v>
      </c>
      <c r="N356">
        <v>22.461351000000001</v>
      </c>
      <c r="O356">
        <v>24.607600000000001</v>
      </c>
      <c r="P356">
        <v>23.759691</v>
      </c>
      <c r="Q356">
        <v>22.234434</v>
      </c>
      <c r="R356">
        <v>24.540282999999999</v>
      </c>
      <c r="S356">
        <v>22.001138999999998</v>
      </c>
      <c r="T356">
        <v>23.195481999999998</v>
      </c>
      <c r="U356">
        <v>24.114419999999999</v>
      </c>
      <c r="V356">
        <v>23.772814</v>
      </c>
      <c r="W356">
        <v>23.771502000000002</v>
      </c>
      <c r="X356">
        <v>24.296934</v>
      </c>
      <c r="Y356">
        <v>26.459192000000002</v>
      </c>
      <c r="Z356">
        <v>25.13598</v>
      </c>
      <c r="AA356">
        <v>27.471107</v>
      </c>
      <c r="AB356">
        <v>26.99427</v>
      </c>
      <c r="AC356">
        <v>25.911894</v>
      </c>
      <c r="AD356">
        <v>25.173355000000001</v>
      </c>
      <c r="AE356">
        <v>19.728437</v>
      </c>
      <c r="AF356">
        <v>26.573654000000001</v>
      </c>
      <c r="AG356">
        <v>27.613389999999999</v>
      </c>
    </row>
    <row r="357" spans="1:33" x14ac:dyDescent="0.25">
      <c r="A357" s="1">
        <v>44408</v>
      </c>
      <c r="B357">
        <v>21.851690000000001</v>
      </c>
      <c r="C357">
        <v>22.433547999999998</v>
      </c>
      <c r="D357">
        <v>21.231276999999999</v>
      </c>
      <c r="E357">
        <v>21.48771</v>
      </c>
      <c r="F357">
        <v>21.775901999999999</v>
      </c>
      <c r="G357">
        <v>21.941032</v>
      </c>
      <c r="H357">
        <v>20.285097</v>
      </c>
      <c r="I357">
        <v>20.906683000000001</v>
      </c>
      <c r="J357">
        <v>24.354609</v>
      </c>
      <c r="K357">
        <v>24.164739999999998</v>
      </c>
      <c r="L357">
        <v>24.686233999999999</v>
      </c>
      <c r="M357">
        <v>22.165876000000001</v>
      </c>
      <c r="N357">
        <v>22.375961</v>
      </c>
      <c r="O357">
        <v>24.470040000000001</v>
      </c>
      <c r="P357">
        <v>23.658570999999998</v>
      </c>
      <c r="Q357">
        <v>22.237268</v>
      </c>
      <c r="R357">
        <v>24.408453000000002</v>
      </c>
      <c r="S357">
        <v>21.35041</v>
      </c>
      <c r="T357">
        <v>23.086815000000001</v>
      </c>
      <c r="U357">
        <v>23.790082999999999</v>
      </c>
      <c r="V357">
        <v>23.690011999999999</v>
      </c>
      <c r="W357">
        <v>23.711283000000002</v>
      </c>
      <c r="X357">
        <v>24.155992999999999</v>
      </c>
      <c r="Y357">
        <v>26.464196999999999</v>
      </c>
      <c r="Z357">
        <v>24.996137999999998</v>
      </c>
      <c r="AA357">
        <v>27.523565000000001</v>
      </c>
      <c r="AB357">
        <v>27.106356000000002</v>
      </c>
      <c r="AC357">
        <v>26.045195</v>
      </c>
      <c r="AD357">
        <v>25.146139999999999</v>
      </c>
      <c r="AE357">
        <v>19.684607</v>
      </c>
      <c r="AF357">
        <v>26.785882999999998</v>
      </c>
      <c r="AG357">
        <v>27.760535999999998</v>
      </c>
    </row>
    <row r="358" spans="1:33" x14ac:dyDescent="0.25">
      <c r="A358" s="1">
        <v>44409</v>
      </c>
      <c r="B358">
        <v>21.760134000000001</v>
      </c>
      <c r="C358">
        <v>22.249307999999999</v>
      </c>
      <c r="D358">
        <v>21.170801000000001</v>
      </c>
      <c r="E358">
        <v>21.394590000000001</v>
      </c>
      <c r="F358">
        <v>21.638245000000001</v>
      </c>
      <c r="G358">
        <v>21.804735000000001</v>
      </c>
      <c r="H358">
        <v>20.366585000000001</v>
      </c>
      <c r="I358">
        <v>20.522434000000001</v>
      </c>
      <c r="J358">
        <v>23.650154000000001</v>
      </c>
      <c r="K358">
        <v>23.944852999999998</v>
      </c>
      <c r="L358">
        <v>24.347913999999999</v>
      </c>
      <c r="M358">
        <v>22.066210000000002</v>
      </c>
      <c r="N358">
        <v>22.218682999999999</v>
      </c>
      <c r="O358">
        <v>24.195677</v>
      </c>
      <c r="P358">
        <v>23.486511</v>
      </c>
      <c r="Q358">
        <v>22.127108</v>
      </c>
      <c r="R358">
        <v>24.125845000000002</v>
      </c>
      <c r="S358">
        <v>20.828023999999999</v>
      </c>
      <c r="T358">
        <v>22.823671000000001</v>
      </c>
      <c r="U358">
        <v>23.661280000000001</v>
      </c>
      <c r="V358">
        <v>23.385726999999999</v>
      </c>
      <c r="W358">
        <v>23.691305</v>
      </c>
      <c r="X358">
        <v>23.708887000000001</v>
      </c>
      <c r="Y358">
        <v>26.502435999999999</v>
      </c>
      <c r="Z358">
        <v>24.681954999999999</v>
      </c>
      <c r="AA358">
        <v>27.341329999999999</v>
      </c>
      <c r="AB358">
        <v>27.17306</v>
      </c>
      <c r="AC358">
        <v>25.631444999999999</v>
      </c>
      <c r="AD358">
        <v>24.890160000000002</v>
      </c>
      <c r="AE358">
        <v>19.757062999999999</v>
      </c>
      <c r="AF358">
        <v>26.82601</v>
      </c>
      <c r="AG358">
        <v>27.789857999999999</v>
      </c>
    </row>
    <row r="359" spans="1:33" x14ac:dyDescent="0.25">
      <c r="A359" s="1">
        <v>44410</v>
      </c>
      <c r="B359">
        <v>21.560580000000002</v>
      </c>
      <c r="C359">
        <v>22.043952999999998</v>
      </c>
      <c r="D359">
        <v>21.020669999999999</v>
      </c>
      <c r="E359">
        <v>21.230145</v>
      </c>
      <c r="F359">
        <v>21.512705</v>
      </c>
      <c r="G359">
        <v>21.596273</v>
      </c>
      <c r="H359">
        <v>20.342323</v>
      </c>
      <c r="I359">
        <v>20.273534999999999</v>
      </c>
      <c r="J359">
        <v>23.014585</v>
      </c>
      <c r="K359">
        <v>23.700094</v>
      </c>
      <c r="L359">
        <v>23.939696999999999</v>
      </c>
      <c r="M359">
        <v>21.857316999999998</v>
      </c>
      <c r="N359">
        <v>21.989660000000001</v>
      </c>
      <c r="O359">
        <v>23.905232999999999</v>
      </c>
      <c r="P359">
        <v>23.242387999999998</v>
      </c>
      <c r="Q359">
        <v>21.857894999999999</v>
      </c>
      <c r="R359">
        <v>23.818345999999998</v>
      </c>
      <c r="S359">
        <v>20.331486000000002</v>
      </c>
      <c r="T359">
        <v>22.522646000000002</v>
      </c>
      <c r="U359">
        <v>23.651910000000001</v>
      </c>
      <c r="V359">
        <v>23.049149</v>
      </c>
      <c r="W359">
        <v>23.618369999999999</v>
      </c>
      <c r="X359">
        <v>23.356745</v>
      </c>
      <c r="Y359">
        <v>26.399073000000001</v>
      </c>
      <c r="Z359">
        <v>24.338000000000001</v>
      </c>
      <c r="AA359">
        <v>27.037085000000001</v>
      </c>
      <c r="AB359">
        <v>27.025673000000001</v>
      </c>
      <c r="AC359">
        <v>24.747920000000001</v>
      </c>
      <c r="AD359">
        <v>24.541025000000001</v>
      </c>
      <c r="AE359">
        <v>19.44538</v>
      </c>
      <c r="AF359">
        <v>26.752998000000002</v>
      </c>
      <c r="AG359">
        <v>27.510625999999998</v>
      </c>
    </row>
    <row r="360" spans="1:33" x14ac:dyDescent="0.25">
      <c r="A360" s="1">
        <v>44411</v>
      </c>
      <c r="B360">
        <v>21.744913</v>
      </c>
      <c r="C360">
        <v>21.973334999999999</v>
      </c>
      <c r="D360">
        <v>21.058817000000001</v>
      </c>
      <c r="E360">
        <v>21.255724000000001</v>
      </c>
      <c r="F360">
        <v>21.525742999999999</v>
      </c>
      <c r="G360">
        <v>21.512217</v>
      </c>
      <c r="H360">
        <v>20.289524</v>
      </c>
      <c r="I360">
        <v>20.258461</v>
      </c>
      <c r="J360">
        <v>22.981607</v>
      </c>
      <c r="K360">
        <v>23.588049999999999</v>
      </c>
      <c r="L360">
        <v>23.805679999999999</v>
      </c>
      <c r="M360">
        <v>21.717787000000001</v>
      </c>
      <c r="N360">
        <v>21.850995999999999</v>
      </c>
      <c r="O360">
        <v>23.777747999999999</v>
      </c>
      <c r="P360">
        <v>23.108792999999999</v>
      </c>
      <c r="Q360">
        <v>21.684128000000001</v>
      </c>
      <c r="R360">
        <v>23.675498999999999</v>
      </c>
      <c r="S360">
        <v>20.156583999999999</v>
      </c>
      <c r="T360">
        <v>22.396576</v>
      </c>
      <c r="U360">
        <v>23.659737</v>
      </c>
      <c r="V360">
        <v>22.950167</v>
      </c>
      <c r="W360">
        <v>23.568207000000001</v>
      </c>
      <c r="X360">
        <v>23.296686000000001</v>
      </c>
      <c r="Y360">
        <v>26.365967000000001</v>
      </c>
      <c r="Z360">
        <v>24.271415999999999</v>
      </c>
      <c r="AA360">
        <v>26.855180000000001</v>
      </c>
      <c r="AB360">
        <v>26.918220000000002</v>
      </c>
      <c r="AC360">
        <v>23.946009</v>
      </c>
      <c r="AD360">
        <v>24.336967000000001</v>
      </c>
      <c r="AE360">
        <v>19.048462000000001</v>
      </c>
      <c r="AF360">
        <v>26.706403999999999</v>
      </c>
      <c r="AG360">
        <v>27.139852999999999</v>
      </c>
    </row>
    <row r="361" spans="1:33" x14ac:dyDescent="0.25">
      <c r="A361" s="1">
        <v>44412</v>
      </c>
      <c r="B361">
        <v>21.523137999999999</v>
      </c>
      <c r="C361">
        <v>21.733637000000002</v>
      </c>
      <c r="D361">
        <v>20.953472000000001</v>
      </c>
      <c r="E361">
        <v>21.08794</v>
      </c>
      <c r="F361">
        <v>21.241316000000001</v>
      </c>
      <c r="G361">
        <v>21.418303999999999</v>
      </c>
      <c r="H361">
        <v>20.092348000000001</v>
      </c>
      <c r="I361">
        <v>19.927118</v>
      </c>
      <c r="J361">
        <v>23.088173000000001</v>
      </c>
      <c r="K361">
        <v>23.474851999999998</v>
      </c>
      <c r="L361">
        <v>23.690508000000001</v>
      </c>
      <c r="M361">
        <v>21.573651999999999</v>
      </c>
      <c r="N361">
        <v>21.670577999999999</v>
      </c>
      <c r="O361">
        <v>23.583414000000001</v>
      </c>
      <c r="P361">
        <v>22.970801999999999</v>
      </c>
      <c r="Q361">
        <v>21.539010000000001</v>
      </c>
      <c r="R361">
        <v>23.479759999999999</v>
      </c>
      <c r="S361">
        <v>20.015298999999999</v>
      </c>
      <c r="T361">
        <v>22.157257000000001</v>
      </c>
      <c r="U361">
        <v>23.553032000000002</v>
      </c>
      <c r="V361">
        <v>22.726479999999999</v>
      </c>
      <c r="W361">
        <v>23.67042</v>
      </c>
      <c r="X361">
        <v>23.065023</v>
      </c>
      <c r="Y361">
        <v>25.850594000000001</v>
      </c>
      <c r="Z361">
        <v>24.180489000000001</v>
      </c>
      <c r="AA361">
        <v>26.741045</v>
      </c>
      <c r="AB361">
        <v>26.320271999999999</v>
      </c>
      <c r="AC361">
        <v>23.341294999999999</v>
      </c>
      <c r="AD361">
        <v>24.135515000000002</v>
      </c>
      <c r="AE361">
        <v>18.722624</v>
      </c>
      <c r="AF361">
        <v>26.644030000000001</v>
      </c>
      <c r="AG361">
        <v>26.643858000000002</v>
      </c>
    </row>
    <row r="362" spans="1:33" x14ac:dyDescent="0.25">
      <c r="A362" s="1">
        <v>44413</v>
      </c>
      <c r="B362">
        <v>21.157215000000001</v>
      </c>
      <c r="C362">
        <v>21.420739999999999</v>
      </c>
      <c r="D362">
        <v>20.672888</v>
      </c>
      <c r="E362">
        <v>20.762589999999999</v>
      </c>
      <c r="F362">
        <v>20.977585000000001</v>
      </c>
      <c r="G362">
        <v>21.152967</v>
      </c>
      <c r="H362">
        <v>20.042719000000002</v>
      </c>
      <c r="I362">
        <v>19.715899</v>
      </c>
      <c r="J362">
        <v>22.87087</v>
      </c>
      <c r="K362">
        <v>23.250312999999998</v>
      </c>
      <c r="L362">
        <v>23.391770000000001</v>
      </c>
      <c r="M362">
        <v>21.318846000000001</v>
      </c>
      <c r="N362">
        <v>21.457525</v>
      </c>
      <c r="O362">
        <v>23.314734999999999</v>
      </c>
      <c r="P362">
        <v>22.724347999999999</v>
      </c>
      <c r="Q362">
        <v>21.274222999999999</v>
      </c>
      <c r="R362">
        <v>23.219694</v>
      </c>
      <c r="S362">
        <v>19.603594000000001</v>
      </c>
      <c r="T362">
        <v>21.889482000000001</v>
      </c>
      <c r="U362">
        <v>23.441011</v>
      </c>
      <c r="V362">
        <v>22.440308000000002</v>
      </c>
      <c r="W362">
        <v>23.551604999999999</v>
      </c>
      <c r="X362">
        <v>22.800718</v>
      </c>
      <c r="Y362">
        <v>24.960794</v>
      </c>
      <c r="Z362">
        <v>23.860610000000001</v>
      </c>
      <c r="AA362">
        <v>26.541872000000001</v>
      </c>
      <c r="AB362">
        <v>25.524629999999998</v>
      </c>
      <c r="AC362">
        <v>22.400827</v>
      </c>
      <c r="AD362">
        <v>23.914864000000001</v>
      </c>
      <c r="AE362">
        <v>18.774363000000001</v>
      </c>
      <c r="AF362">
        <v>26.472334</v>
      </c>
      <c r="AG362">
        <v>25.965247999999999</v>
      </c>
    </row>
    <row r="363" spans="1:33" x14ac:dyDescent="0.25">
      <c r="A363" s="1">
        <v>44414</v>
      </c>
      <c r="B363">
        <v>21.030365</v>
      </c>
      <c r="C363">
        <v>21.434158</v>
      </c>
      <c r="D363">
        <v>20.544011999999999</v>
      </c>
      <c r="E363">
        <v>20.620588000000001</v>
      </c>
      <c r="F363">
        <v>21.016836000000001</v>
      </c>
      <c r="G363">
        <v>21.113907000000001</v>
      </c>
      <c r="H363">
        <v>20.122454000000001</v>
      </c>
      <c r="I363">
        <v>19.933432</v>
      </c>
      <c r="J363">
        <v>22.882666</v>
      </c>
      <c r="K363">
        <v>23.139379999999999</v>
      </c>
      <c r="L363">
        <v>23.343115000000001</v>
      </c>
      <c r="M363">
        <v>21.275513</v>
      </c>
      <c r="N363">
        <v>21.457846</v>
      </c>
      <c r="O363">
        <v>23.281725000000002</v>
      </c>
      <c r="P363">
        <v>22.657412000000001</v>
      </c>
      <c r="Q363">
        <v>21.202891999999999</v>
      </c>
      <c r="R363">
        <v>23.191877000000002</v>
      </c>
      <c r="S363">
        <v>19.672236999999999</v>
      </c>
      <c r="T363">
        <v>21.84957</v>
      </c>
      <c r="U363">
        <v>23.535276</v>
      </c>
      <c r="V363">
        <v>22.500679999999999</v>
      </c>
      <c r="W363">
        <v>23.575377</v>
      </c>
      <c r="X363">
        <v>22.836058000000001</v>
      </c>
      <c r="Y363">
        <v>24.354158000000002</v>
      </c>
      <c r="Z363">
        <v>23.738958</v>
      </c>
      <c r="AA363">
        <v>26.25432</v>
      </c>
      <c r="AB363">
        <v>24.960640000000001</v>
      </c>
      <c r="AC363">
        <v>21.46414</v>
      </c>
      <c r="AD363">
        <v>23.821276000000001</v>
      </c>
      <c r="AE363">
        <v>18.472116</v>
      </c>
      <c r="AF363">
        <v>26.070710999999999</v>
      </c>
      <c r="AG363">
        <v>25.559004000000002</v>
      </c>
    </row>
    <row r="364" spans="1:33" x14ac:dyDescent="0.25">
      <c r="A364" s="1">
        <v>44415</v>
      </c>
      <c r="B364">
        <v>21.036221999999999</v>
      </c>
      <c r="C364">
        <v>21.617063999999999</v>
      </c>
      <c r="D364">
        <v>20.609690000000001</v>
      </c>
      <c r="E364">
        <v>20.656403999999998</v>
      </c>
      <c r="F364">
        <v>21.186392000000001</v>
      </c>
      <c r="G364">
        <v>21.172605999999998</v>
      </c>
      <c r="H364">
        <v>20.143170999999999</v>
      </c>
      <c r="I364">
        <v>20.42858</v>
      </c>
      <c r="J364">
        <v>23.183306000000002</v>
      </c>
      <c r="K364">
        <v>23.257384999999999</v>
      </c>
      <c r="L364">
        <v>23.455666000000001</v>
      </c>
      <c r="M364">
        <v>21.333822000000001</v>
      </c>
      <c r="N364">
        <v>21.56793</v>
      </c>
      <c r="O364">
        <v>23.362027999999999</v>
      </c>
      <c r="P364">
        <v>22.700983000000001</v>
      </c>
      <c r="Q364">
        <v>21.297986999999999</v>
      </c>
      <c r="R364">
        <v>23.254349000000001</v>
      </c>
      <c r="S364">
        <v>20.068680000000001</v>
      </c>
      <c r="T364">
        <v>21.996376000000001</v>
      </c>
      <c r="U364">
        <v>23.564491</v>
      </c>
      <c r="V364">
        <v>22.592178000000001</v>
      </c>
      <c r="W364">
        <v>23.362074</v>
      </c>
      <c r="X364">
        <v>22.907682000000001</v>
      </c>
      <c r="Y364">
        <v>24.50102</v>
      </c>
      <c r="Z364">
        <v>23.791687</v>
      </c>
      <c r="AA364">
        <v>26.106027999999998</v>
      </c>
      <c r="AB364">
        <v>25.072191</v>
      </c>
      <c r="AC364">
        <v>21.172049999999999</v>
      </c>
      <c r="AD364">
        <v>23.794968000000001</v>
      </c>
      <c r="AE364">
        <v>17.807524000000001</v>
      </c>
      <c r="AF364">
        <v>25.726272999999999</v>
      </c>
      <c r="AG364">
        <v>25.494842999999999</v>
      </c>
    </row>
    <row r="365" spans="1:33" x14ac:dyDescent="0.25">
      <c r="A365" s="1">
        <v>44416</v>
      </c>
      <c r="B365">
        <v>20.941199999999998</v>
      </c>
      <c r="C365">
        <v>21.663263000000001</v>
      </c>
      <c r="D365">
        <v>20.558779000000001</v>
      </c>
      <c r="E365">
        <v>20.646045999999998</v>
      </c>
      <c r="F365">
        <v>21.170603</v>
      </c>
      <c r="G365">
        <v>21.186883999999999</v>
      </c>
      <c r="H365">
        <v>20.093775000000001</v>
      </c>
      <c r="I365">
        <v>20.425058</v>
      </c>
      <c r="J365">
        <v>23.407033999999999</v>
      </c>
      <c r="K365">
        <v>23.303260000000002</v>
      </c>
      <c r="L365">
        <v>23.539466999999998</v>
      </c>
      <c r="M365">
        <v>21.336433</v>
      </c>
      <c r="N365">
        <v>21.571707</v>
      </c>
      <c r="O365">
        <v>23.423296000000001</v>
      </c>
      <c r="P365">
        <v>22.734885999999999</v>
      </c>
      <c r="Q365">
        <v>21.304770999999999</v>
      </c>
      <c r="R365">
        <v>23.296091000000001</v>
      </c>
      <c r="S365">
        <v>20.261488</v>
      </c>
      <c r="T365">
        <v>22.047522000000001</v>
      </c>
      <c r="U365">
        <v>23.404779999999999</v>
      </c>
      <c r="V365">
        <v>22.623514</v>
      </c>
      <c r="W365">
        <v>23.125267000000001</v>
      </c>
      <c r="X365">
        <v>22.980191999999999</v>
      </c>
      <c r="Y365">
        <v>24.870895000000001</v>
      </c>
      <c r="Z365">
        <v>23.984690000000001</v>
      </c>
      <c r="AA365">
        <v>26.185081</v>
      </c>
      <c r="AB365">
        <v>25.399832</v>
      </c>
      <c r="AC365">
        <v>21.586663999999999</v>
      </c>
      <c r="AD365">
        <v>23.847504000000001</v>
      </c>
      <c r="AE365">
        <v>18.16864</v>
      </c>
      <c r="AF365">
        <v>25.592811999999999</v>
      </c>
      <c r="AG365">
        <v>25.754576</v>
      </c>
    </row>
    <row r="366" spans="1:33" x14ac:dyDescent="0.25">
      <c r="A366" s="1">
        <v>44417</v>
      </c>
      <c r="B366">
        <v>21.119050999999999</v>
      </c>
      <c r="C366">
        <v>21.804784999999999</v>
      </c>
      <c r="D366">
        <v>20.576927000000001</v>
      </c>
      <c r="E366">
        <v>20.700258000000002</v>
      </c>
      <c r="F366">
        <v>21.24662</v>
      </c>
      <c r="G366">
        <v>21.271260999999999</v>
      </c>
      <c r="H366">
        <v>20.115701999999999</v>
      </c>
      <c r="I366">
        <v>20.605295000000002</v>
      </c>
      <c r="J366">
        <v>23.750519000000001</v>
      </c>
      <c r="K366">
        <v>23.432198</v>
      </c>
      <c r="L366">
        <v>23.762219999999999</v>
      </c>
      <c r="M366">
        <v>21.428080000000001</v>
      </c>
      <c r="N366">
        <v>21.701844999999999</v>
      </c>
      <c r="O366">
        <v>23.618590999999999</v>
      </c>
      <c r="P366">
        <v>22.885922999999998</v>
      </c>
      <c r="Q366">
        <v>21.393507</v>
      </c>
      <c r="R366">
        <v>23.471817000000001</v>
      </c>
      <c r="S366">
        <v>20.486656</v>
      </c>
      <c r="T366">
        <v>22.187125999999999</v>
      </c>
      <c r="U366">
        <v>23.285499999999999</v>
      </c>
      <c r="V366">
        <v>22.817345</v>
      </c>
      <c r="W366">
        <v>23.09487</v>
      </c>
      <c r="X366">
        <v>23.219018999999999</v>
      </c>
      <c r="Y366">
        <v>25.142382000000001</v>
      </c>
      <c r="Z366">
        <v>24.301600000000001</v>
      </c>
      <c r="AA366">
        <v>26.367239000000001</v>
      </c>
      <c r="AB366">
        <v>25.650670999999999</v>
      </c>
      <c r="AC366">
        <v>22.417946000000001</v>
      </c>
      <c r="AD366">
        <v>24.051850999999999</v>
      </c>
      <c r="AE366">
        <v>18.788588000000001</v>
      </c>
      <c r="AF366">
        <v>25.471674</v>
      </c>
      <c r="AG366">
        <v>26.097581999999999</v>
      </c>
    </row>
    <row r="367" spans="1:33" x14ac:dyDescent="0.25">
      <c r="A367" s="1">
        <v>44418</v>
      </c>
      <c r="B367">
        <v>21.198848999999999</v>
      </c>
      <c r="C367">
        <v>21.913246000000001</v>
      </c>
      <c r="D367">
        <v>20.652270000000001</v>
      </c>
      <c r="E367">
        <v>20.805174000000001</v>
      </c>
      <c r="F367">
        <v>21.287946999999999</v>
      </c>
      <c r="G367">
        <v>21.326875999999999</v>
      </c>
      <c r="H367">
        <v>20.155954000000001</v>
      </c>
      <c r="I367">
        <v>20.690384000000002</v>
      </c>
      <c r="J367">
        <v>23.685967999999999</v>
      </c>
      <c r="K367">
        <v>23.46829</v>
      </c>
      <c r="L367">
        <v>23.825151000000002</v>
      </c>
      <c r="M367">
        <v>21.467001</v>
      </c>
      <c r="N367">
        <v>21.727516000000001</v>
      </c>
      <c r="O367">
        <v>23.697583999999999</v>
      </c>
      <c r="P367">
        <v>22.960356000000001</v>
      </c>
      <c r="Q367">
        <v>21.443628</v>
      </c>
      <c r="R367">
        <v>23.565719999999999</v>
      </c>
      <c r="S367">
        <v>20.699539999999999</v>
      </c>
      <c r="T367">
        <v>22.309640000000002</v>
      </c>
      <c r="U367">
        <v>23.25216</v>
      </c>
      <c r="V367">
        <v>22.903624000000001</v>
      </c>
      <c r="W367">
        <v>23.193998000000001</v>
      </c>
      <c r="X367">
        <v>23.283086999999998</v>
      </c>
      <c r="Y367">
        <v>25.511015</v>
      </c>
      <c r="Z367">
        <v>24.434387000000001</v>
      </c>
      <c r="AA367">
        <v>26.417786</v>
      </c>
      <c r="AB367">
        <v>25.963986999999999</v>
      </c>
      <c r="AC367">
        <v>23.103857000000001</v>
      </c>
      <c r="AD367">
        <v>24.159341999999999</v>
      </c>
      <c r="AE367">
        <v>18.895235</v>
      </c>
      <c r="AF367">
        <v>25.320467000000001</v>
      </c>
      <c r="AG367">
        <v>26.2865</v>
      </c>
    </row>
    <row r="368" spans="1:33" x14ac:dyDescent="0.25">
      <c r="A368" s="1">
        <v>44419</v>
      </c>
      <c r="B368">
        <v>21.434951999999999</v>
      </c>
      <c r="C368">
        <v>22.068413</v>
      </c>
      <c r="D368">
        <v>20.833786</v>
      </c>
      <c r="E368">
        <v>21.030594000000001</v>
      </c>
      <c r="F368">
        <v>21.429914</v>
      </c>
      <c r="G368">
        <v>21.431013</v>
      </c>
      <c r="H368">
        <v>20.261095000000001</v>
      </c>
      <c r="I368">
        <v>21.004732000000001</v>
      </c>
      <c r="J368">
        <v>23.647186000000001</v>
      </c>
      <c r="K368">
        <v>23.478967999999998</v>
      </c>
      <c r="L368">
        <v>23.911595999999999</v>
      </c>
      <c r="M368">
        <v>21.568293000000001</v>
      </c>
      <c r="N368">
        <v>21.826163999999999</v>
      </c>
      <c r="O368">
        <v>23.776534999999999</v>
      </c>
      <c r="P368">
        <v>23.035865999999999</v>
      </c>
      <c r="Q368">
        <v>21.544065</v>
      </c>
      <c r="R368">
        <v>23.648699000000001</v>
      </c>
      <c r="S368">
        <v>21.128487</v>
      </c>
      <c r="T368">
        <v>22.502248999999999</v>
      </c>
      <c r="U368">
        <v>23.407050000000002</v>
      </c>
      <c r="V368">
        <v>23.016500000000001</v>
      </c>
      <c r="W368">
        <v>23.229430000000001</v>
      </c>
      <c r="X368">
        <v>23.359604000000001</v>
      </c>
      <c r="Y368">
        <v>25.838049999999999</v>
      </c>
      <c r="Z368">
        <v>24.536290999999999</v>
      </c>
      <c r="AA368">
        <v>26.457632</v>
      </c>
      <c r="AB368">
        <v>26.259613000000002</v>
      </c>
      <c r="AC368">
        <v>23.764254000000001</v>
      </c>
      <c r="AD368">
        <v>24.234617</v>
      </c>
      <c r="AE368">
        <v>19.024236999999999</v>
      </c>
      <c r="AF368">
        <v>25.215278999999999</v>
      </c>
      <c r="AG368">
        <v>26.466429000000002</v>
      </c>
    </row>
    <row r="369" spans="1:33" x14ac:dyDescent="0.25">
      <c r="A369" s="1">
        <v>44420</v>
      </c>
      <c r="B369">
        <v>21.492113</v>
      </c>
      <c r="C369">
        <v>22.021767000000001</v>
      </c>
      <c r="D369">
        <v>20.897843999999999</v>
      </c>
      <c r="E369">
        <v>21.110551999999998</v>
      </c>
      <c r="F369">
        <v>21.433150999999999</v>
      </c>
      <c r="G369">
        <v>21.520935000000001</v>
      </c>
      <c r="H369">
        <v>20.356607</v>
      </c>
      <c r="I369">
        <v>20.984743000000002</v>
      </c>
      <c r="J369">
        <v>23.676421999999999</v>
      </c>
      <c r="K369">
        <v>23.426984999999998</v>
      </c>
      <c r="L369">
        <v>23.868621999999998</v>
      </c>
      <c r="M369">
        <v>21.641739999999999</v>
      </c>
      <c r="N369">
        <v>21.849882000000001</v>
      </c>
      <c r="O369">
        <v>23.688680000000002</v>
      </c>
      <c r="P369">
        <v>23.052689999999998</v>
      </c>
      <c r="Q369">
        <v>21.616278000000001</v>
      </c>
      <c r="R369">
        <v>23.596039000000001</v>
      </c>
      <c r="S369">
        <v>21.133656999999999</v>
      </c>
      <c r="T369">
        <v>22.539650000000002</v>
      </c>
      <c r="U369">
        <v>23.316849999999999</v>
      </c>
      <c r="V369">
        <v>22.964165000000001</v>
      </c>
      <c r="W369">
        <v>23.209785</v>
      </c>
      <c r="X369">
        <v>23.273125</v>
      </c>
      <c r="Y369">
        <v>25.646512999999999</v>
      </c>
      <c r="Z369">
        <v>24.431146999999999</v>
      </c>
      <c r="AA369">
        <v>26.490297000000002</v>
      </c>
      <c r="AB369">
        <v>26.128852999999999</v>
      </c>
      <c r="AC369">
        <v>24.082384000000001</v>
      </c>
      <c r="AD369">
        <v>24.222875999999999</v>
      </c>
      <c r="AE369">
        <v>19.027837999999999</v>
      </c>
      <c r="AF369">
        <v>25.152322999999999</v>
      </c>
      <c r="AG369">
        <v>26.476769999999998</v>
      </c>
    </row>
    <row r="370" spans="1:33" x14ac:dyDescent="0.25">
      <c r="A370" s="1">
        <v>44421</v>
      </c>
      <c r="B370">
        <v>21.530909000000001</v>
      </c>
      <c r="C370">
        <v>22.012129000000002</v>
      </c>
      <c r="D370">
        <v>20.917572</v>
      </c>
      <c r="E370">
        <v>21.13944</v>
      </c>
      <c r="F370">
        <v>21.47692</v>
      </c>
      <c r="G370">
        <v>21.562735</v>
      </c>
      <c r="H370">
        <v>20.482493999999999</v>
      </c>
      <c r="I370">
        <v>20.96602</v>
      </c>
      <c r="J370">
        <v>23.897753000000002</v>
      </c>
      <c r="K370">
        <v>23.442259</v>
      </c>
      <c r="L370">
        <v>23.949950000000001</v>
      </c>
      <c r="M370">
        <v>21.709951</v>
      </c>
      <c r="N370">
        <v>21.917175</v>
      </c>
      <c r="O370">
        <v>23.747833</v>
      </c>
      <c r="P370">
        <v>23.102399999999999</v>
      </c>
      <c r="Q370">
        <v>21.685880000000001</v>
      </c>
      <c r="R370">
        <v>23.655424</v>
      </c>
      <c r="S370">
        <v>20.846540000000001</v>
      </c>
      <c r="T370">
        <v>22.484100000000002</v>
      </c>
      <c r="U370">
        <v>23.238937</v>
      </c>
      <c r="V370">
        <v>22.897186000000001</v>
      </c>
      <c r="W370">
        <v>23.262743</v>
      </c>
      <c r="X370">
        <v>23.170511000000001</v>
      </c>
      <c r="Y370">
        <v>25.061454999999999</v>
      </c>
      <c r="Z370">
        <v>24.305503999999999</v>
      </c>
      <c r="AA370">
        <v>26.461489</v>
      </c>
      <c r="AB370">
        <v>25.626629999999999</v>
      </c>
      <c r="AC370">
        <v>24.092247</v>
      </c>
      <c r="AD370">
        <v>24.286245000000001</v>
      </c>
      <c r="AE370">
        <v>18.962</v>
      </c>
      <c r="AF370">
        <v>25.079218000000001</v>
      </c>
      <c r="AG370">
        <v>26.196473999999998</v>
      </c>
    </row>
    <row r="371" spans="1:33" x14ac:dyDescent="0.25">
      <c r="A371" s="1">
        <v>44422</v>
      </c>
      <c r="B371">
        <v>21.799969999999998</v>
      </c>
      <c r="C371">
        <v>22.206305</v>
      </c>
      <c r="D371">
        <v>21.101557</v>
      </c>
      <c r="E371">
        <v>21.318954000000002</v>
      </c>
      <c r="F371">
        <v>21.629380000000001</v>
      </c>
      <c r="G371">
        <v>21.661000999999999</v>
      </c>
      <c r="H371">
        <v>20.674154000000001</v>
      </c>
      <c r="I371">
        <v>21.245552</v>
      </c>
      <c r="J371">
        <v>24.229593000000001</v>
      </c>
      <c r="K371">
        <v>23.519333</v>
      </c>
      <c r="L371">
        <v>24.131233000000002</v>
      </c>
      <c r="M371">
        <v>21.862953000000001</v>
      </c>
      <c r="N371">
        <v>22.092196000000001</v>
      </c>
      <c r="O371">
        <v>23.890280000000001</v>
      </c>
      <c r="P371">
        <v>23.196618999999998</v>
      </c>
      <c r="Q371">
        <v>21.854713</v>
      </c>
      <c r="R371">
        <v>23.801786</v>
      </c>
      <c r="S371">
        <v>21.019929999999999</v>
      </c>
      <c r="T371">
        <v>22.583458</v>
      </c>
      <c r="U371">
        <v>23.510459999999998</v>
      </c>
      <c r="V371">
        <v>23.004716999999999</v>
      </c>
      <c r="W371">
        <v>23.599062</v>
      </c>
      <c r="X371">
        <v>23.311631999999999</v>
      </c>
      <c r="Y371">
        <v>24.7502</v>
      </c>
      <c r="Z371">
        <v>24.397576999999998</v>
      </c>
      <c r="AA371">
        <v>26.506067000000002</v>
      </c>
      <c r="AB371">
        <v>25.388617</v>
      </c>
      <c r="AC371">
        <v>24.325415</v>
      </c>
      <c r="AD371">
        <v>24.431974</v>
      </c>
      <c r="AE371">
        <v>18.972981999999998</v>
      </c>
      <c r="AF371">
        <v>25.212927000000001</v>
      </c>
      <c r="AG371">
        <v>26.242037</v>
      </c>
    </row>
    <row r="372" spans="1:33" x14ac:dyDescent="0.25">
      <c r="A372" s="1">
        <v>44423</v>
      </c>
      <c r="B372">
        <v>21.979301</v>
      </c>
      <c r="C372">
        <v>22.332059999999998</v>
      </c>
      <c r="D372">
        <v>21.265135000000001</v>
      </c>
      <c r="E372">
        <v>21.482755999999998</v>
      </c>
      <c r="F372">
        <v>21.724993000000001</v>
      </c>
      <c r="G372">
        <v>21.719457999999999</v>
      </c>
      <c r="H372">
        <v>20.745874000000001</v>
      </c>
      <c r="I372">
        <v>21.157710000000002</v>
      </c>
      <c r="J372">
        <v>24.433385999999999</v>
      </c>
      <c r="K372">
        <v>23.642786000000001</v>
      </c>
      <c r="L372">
        <v>24.276582999999999</v>
      </c>
      <c r="M372">
        <v>21.975807</v>
      </c>
      <c r="N372">
        <v>22.198149000000001</v>
      </c>
      <c r="O372">
        <v>24.042563999999999</v>
      </c>
      <c r="P372">
        <v>23.291632</v>
      </c>
      <c r="Q372">
        <v>21.96724</v>
      </c>
      <c r="R372">
        <v>23.939603999999999</v>
      </c>
      <c r="S372">
        <v>21.235693000000001</v>
      </c>
      <c r="T372">
        <v>22.695627000000002</v>
      </c>
      <c r="U372">
        <v>23.788488000000001</v>
      </c>
      <c r="V372">
        <v>23.112539999999999</v>
      </c>
      <c r="W372">
        <v>23.589856999999999</v>
      </c>
      <c r="X372">
        <v>23.447983000000001</v>
      </c>
      <c r="Y372">
        <v>24.94398</v>
      </c>
      <c r="Z372">
        <v>24.548632000000001</v>
      </c>
      <c r="AA372">
        <v>26.593529</v>
      </c>
      <c r="AB372">
        <v>25.662310000000002</v>
      </c>
      <c r="AC372">
        <v>24.440626000000002</v>
      </c>
      <c r="AD372">
        <v>24.548110999999999</v>
      </c>
      <c r="AE372">
        <v>20.107595</v>
      </c>
      <c r="AF372">
        <v>25.418755000000001</v>
      </c>
      <c r="AG372">
        <v>26.571342000000001</v>
      </c>
    </row>
    <row r="373" spans="1:33" x14ac:dyDescent="0.25">
      <c r="A373" s="1">
        <v>44424</v>
      </c>
      <c r="B373">
        <v>22.356909999999999</v>
      </c>
      <c r="C373">
        <v>22.60924</v>
      </c>
      <c r="D373">
        <v>21.518927000000001</v>
      </c>
      <c r="E373">
        <v>21.691526</v>
      </c>
      <c r="F373">
        <v>22.04204</v>
      </c>
      <c r="G373">
        <v>21.872509999999998</v>
      </c>
      <c r="H373">
        <v>20.881975000000001</v>
      </c>
      <c r="I373">
        <v>21.510701999999998</v>
      </c>
      <c r="J373">
        <v>24.748702999999999</v>
      </c>
      <c r="K373">
        <v>23.825579000000001</v>
      </c>
      <c r="L373">
        <v>24.489509999999999</v>
      </c>
      <c r="M373">
        <v>22.189993000000001</v>
      </c>
      <c r="N373">
        <v>22.420567999999999</v>
      </c>
      <c r="O373">
        <v>24.283258</v>
      </c>
      <c r="P373">
        <v>23.490317999999998</v>
      </c>
      <c r="Q373">
        <v>22.150162000000002</v>
      </c>
      <c r="R373">
        <v>24.141249999999999</v>
      </c>
      <c r="S373">
        <v>21.765291000000001</v>
      </c>
      <c r="T373">
        <v>22.972981999999998</v>
      </c>
      <c r="U373">
        <v>23.858129999999999</v>
      </c>
      <c r="V373">
        <v>23.428255</v>
      </c>
      <c r="W373">
        <v>23.511948</v>
      </c>
      <c r="X373">
        <v>23.778241999999999</v>
      </c>
      <c r="Y373">
        <v>25.275492</v>
      </c>
      <c r="Z373">
        <v>24.756079</v>
      </c>
      <c r="AA373">
        <v>26.692869999999999</v>
      </c>
      <c r="AB373">
        <v>25.968481000000001</v>
      </c>
      <c r="AC373">
        <v>24.53716</v>
      </c>
      <c r="AD373">
        <v>24.71856</v>
      </c>
      <c r="AE373">
        <v>20.722567000000002</v>
      </c>
      <c r="AF373">
        <v>25.597142999999999</v>
      </c>
      <c r="AG373">
        <v>26.656683000000001</v>
      </c>
    </row>
    <row r="374" spans="1:33" x14ac:dyDescent="0.25">
      <c r="A374" s="1">
        <v>44425</v>
      </c>
      <c r="B374">
        <v>22.258597999999999</v>
      </c>
      <c r="C374">
        <v>22.535202000000002</v>
      </c>
      <c r="D374">
        <v>21.580314999999999</v>
      </c>
      <c r="E374">
        <v>21.706216999999999</v>
      </c>
      <c r="F374">
        <v>21.920815000000001</v>
      </c>
      <c r="G374">
        <v>21.90211</v>
      </c>
      <c r="H374">
        <v>20.92999</v>
      </c>
      <c r="I374">
        <v>21.320015000000001</v>
      </c>
      <c r="J374">
        <v>24.729241999999999</v>
      </c>
      <c r="K374">
        <v>23.952670000000001</v>
      </c>
      <c r="L374">
        <v>24.503378000000001</v>
      </c>
      <c r="M374">
        <v>22.113153000000001</v>
      </c>
      <c r="N374">
        <v>22.41113</v>
      </c>
      <c r="O374">
        <v>24.283636000000001</v>
      </c>
      <c r="P374">
        <v>23.585412999999999</v>
      </c>
      <c r="Q374">
        <v>22.147155999999999</v>
      </c>
      <c r="R374">
        <v>24.148026999999999</v>
      </c>
      <c r="S374">
        <v>21.582369</v>
      </c>
      <c r="T374">
        <v>22.982894999999999</v>
      </c>
      <c r="U374">
        <v>23.637464999999999</v>
      </c>
      <c r="V374">
        <v>23.440429999999999</v>
      </c>
      <c r="W374">
        <v>23.613105999999998</v>
      </c>
      <c r="X374">
        <v>23.821325000000002</v>
      </c>
      <c r="Y374">
        <v>24.987660999999999</v>
      </c>
      <c r="Z374">
        <v>24.810628999999999</v>
      </c>
      <c r="AA374">
        <v>26.435676999999998</v>
      </c>
      <c r="AB374">
        <v>25.555282999999999</v>
      </c>
      <c r="AC374">
        <v>24.260232999999999</v>
      </c>
      <c r="AD374">
        <v>24.739557000000001</v>
      </c>
      <c r="AE374">
        <v>20.534300000000002</v>
      </c>
      <c r="AF374">
        <v>25.462911999999999</v>
      </c>
      <c r="AG374">
        <v>25.829813000000001</v>
      </c>
    </row>
    <row r="375" spans="1:33" x14ac:dyDescent="0.25">
      <c r="A375" s="1">
        <v>44426</v>
      </c>
      <c r="B375">
        <v>21.869012999999999</v>
      </c>
      <c r="C375">
        <v>22.348051000000002</v>
      </c>
      <c r="D375">
        <v>21.410744000000001</v>
      </c>
      <c r="E375">
        <v>21.477959999999999</v>
      </c>
      <c r="F375">
        <v>21.704560000000001</v>
      </c>
      <c r="G375">
        <v>21.829397</v>
      </c>
      <c r="H375">
        <v>20.815207999999998</v>
      </c>
      <c r="I375">
        <v>20.968456</v>
      </c>
      <c r="J375">
        <v>24.040939999999999</v>
      </c>
      <c r="K375">
        <v>23.854647</v>
      </c>
      <c r="L375">
        <v>24.210405000000002</v>
      </c>
      <c r="M375">
        <v>22.019393999999998</v>
      </c>
      <c r="N375">
        <v>22.336105</v>
      </c>
      <c r="O375">
        <v>24.061737000000001</v>
      </c>
      <c r="P375">
        <v>23.462461000000001</v>
      </c>
      <c r="Q375">
        <v>22.045946000000001</v>
      </c>
      <c r="R375">
        <v>23.983820000000001</v>
      </c>
      <c r="S375">
        <v>20.859648</v>
      </c>
      <c r="T375">
        <v>22.806612000000001</v>
      </c>
      <c r="U375">
        <v>23.507059999999999</v>
      </c>
      <c r="V375">
        <v>23.228791999999999</v>
      </c>
      <c r="W375">
        <v>23.443587999999998</v>
      </c>
      <c r="X375">
        <v>23.492460000000001</v>
      </c>
      <c r="Y375">
        <v>24.475313</v>
      </c>
      <c r="Z375">
        <v>24.462171999999999</v>
      </c>
      <c r="AA375">
        <v>25.997827999999998</v>
      </c>
      <c r="AB375">
        <v>24.930890999999999</v>
      </c>
      <c r="AC375">
        <v>23.388083000000002</v>
      </c>
      <c r="AD375">
        <v>24.503800999999999</v>
      </c>
      <c r="AE375">
        <v>20.307625000000002</v>
      </c>
      <c r="AF375">
        <v>25.182500000000001</v>
      </c>
      <c r="AG375">
        <v>25.11647</v>
      </c>
    </row>
    <row r="376" spans="1:33" x14ac:dyDescent="0.25">
      <c r="A376" s="1">
        <v>44427</v>
      </c>
      <c r="B376">
        <v>21.220023999999999</v>
      </c>
      <c r="C376">
        <v>22.00656</v>
      </c>
      <c r="D376">
        <v>21.044419999999999</v>
      </c>
      <c r="E376">
        <v>21.054635999999999</v>
      </c>
      <c r="F376">
        <v>21.368181</v>
      </c>
      <c r="G376">
        <v>21.585106</v>
      </c>
      <c r="H376">
        <v>20.521332000000001</v>
      </c>
      <c r="I376">
        <v>20.314741000000001</v>
      </c>
      <c r="J376">
        <v>23.103356999999999</v>
      </c>
      <c r="K376">
        <v>23.547533000000001</v>
      </c>
      <c r="L376">
        <v>23.691369999999999</v>
      </c>
      <c r="M376">
        <v>21.743431000000001</v>
      </c>
      <c r="N376">
        <v>21.952500000000001</v>
      </c>
      <c r="O376">
        <v>23.613606999999998</v>
      </c>
      <c r="P376">
        <v>23.115079999999999</v>
      </c>
      <c r="Q376">
        <v>21.730730000000001</v>
      </c>
      <c r="R376">
        <v>23.532205999999999</v>
      </c>
      <c r="S376">
        <v>20.120049999999999</v>
      </c>
      <c r="T376">
        <v>22.304739000000001</v>
      </c>
      <c r="U376">
        <v>23.264078000000001</v>
      </c>
      <c r="V376">
        <v>22.699601999999999</v>
      </c>
      <c r="W376">
        <v>23.08052</v>
      </c>
      <c r="X376">
        <v>22.945826</v>
      </c>
      <c r="Y376">
        <v>24.228902999999999</v>
      </c>
      <c r="Z376">
        <v>24.049004</v>
      </c>
      <c r="AA376">
        <v>25.527906000000002</v>
      </c>
      <c r="AB376">
        <v>24.664442000000001</v>
      </c>
      <c r="AC376">
        <v>23.069908000000002</v>
      </c>
      <c r="AD376">
        <v>24.115763000000001</v>
      </c>
      <c r="AE376">
        <v>20.745567000000001</v>
      </c>
      <c r="AF376">
        <v>24.958466000000001</v>
      </c>
      <c r="AG376">
        <v>24.682950999999999</v>
      </c>
    </row>
    <row r="377" spans="1:33" x14ac:dyDescent="0.25">
      <c r="A377" s="1">
        <v>44428</v>
      </c>
      <c r="B377">
        <v>20.847515000000001</v>
      </c>
      <c r="C377">
        <v>21.752268000000001</v>
      </c>
      <c r="D377">
        <v>20.751497000000001</v>
      </c>
      <c r="E377">
        <v>20.69293</v>
      </c>
      <c r="F377">
        <v>21.151125</v>
      </c>
      <c r="G377">
        <v>21.408987</v>
      </c>
      <c r="H377">
        <v>20.291360000000001</v>
      </c>
      <c r="I377">
        <v>19.951757000000001</v>
      </c>
      <c r="J377">
        <v>22.813492</v>
      </c>
      <c r="K377">
        <v>23.41761</v>
      </c>
      <c r="L377">
        <v>23.502317000000001</v>
      </c>
      <c r="M377">
        <v>21.550753</v>
      </c>
      <c r="N377">
        <v>21.765502999999999</v>
      </c>
      <c r="O377">
        <v>23.417183000000001</v>
      </c>
      <c r="P377">
        <v>22.89019</v>
      </c>
      <c r="Q377">
        <v>21.533860000000001</v>
      </c>
      <c r="R377">
        <v>23.351220000000001</v>
      </c>
      <c r="S377">
        <v>19.959879999999998</v>
      </c>
      <c r="T377">
        <v>22.0745</v>
      </c>
      <c r="U377">
        <v>22.990739999999999</v>
      </c>
      <c r="V377">
        <v>22.550508000000001</v>
      </c>
      <c r="W377">
        <v>22.787500000000001</v>
      </c>
      <c r="X377">
        <v>22.833818000000001</v>
      </c>
      <c r="Y377">
        <v>24.220915000000002</v>
      </c>
      <c r="Z377">
        <v>23.883603999999998</v>
      </c>
      <c r="AA377">
        <v>25.272314000000001</v>
      </c>
      <c r="AB377">
        <v>24.592469999999999</v>
      </c>
      <c r="AC377">
        <v>22.85331</v>
      </c>
      <c r="AD377">
        <v>23.873418999999998</v>
      </c>
      <c r="AE377">
        <v>21.259108000000001</v>
      </c>
      <c r="AF377">
        <v>24.834402000000001</v>
      </c>
      <c r="AG377">
        <v>24.558737000000001</v>
      </c>
    </row>
    <row r="378" spans="1:33" x14ac:dyDescent="0.25">
      <c r="A378" s="1">
        <v>44429</v>
      </c>
      <c r="B378">
        <v>20.420950000000001</v>
      </c>
      <c r="C378">
        <v>21.482759999999999</v>
      </c>
      <c r="D378">
        <v>20.400362000000001</v>
      </c>
      <c r="E378">
        <v>20.292055000000001</v>
      </c>
      <c r="F378">
        <v>20.934256000000001</v>
      </c>
      <c r="G378">
        <v>21.17623</v>
      </c>
      <c r="H378">
        <v>20.063283999999999</v>
      </c>
      <c r="I378">
        <v>19.809048000000001</v>
      </c>
      <c r="J378">
        <v>22.543710000000001</v>
      </c>
      <c r="K378">
        <v>23.218699000000001</v>
      </c>
      <c r="L378">
        <v>23.201250000000002</v>
      </c>
      <c r="M378">
        <v>21.302626</v>
      </c>
      <c r="N378">
        <v>21.554152999999999</v>
      </c>
      <c r="O378">
        <v>23.140450999999999</v>
      </c>
      <c r="P378">
        <v>22.664681999999999</v>
      </c>
      <c r="Q378">
        <v>21.311340000000001</v>
      </c>
      <c r="R378">
        <v>23.078832999999999</v>
      </c>
      <c r="S378">
        <v>19.695309999999999</v>
      </c>
      <c r="T378">
        <v>21.816877000000002</v>
      </c>
      <c r="U378">
        <v>22.601839999999999</v>
      </c>
      <c r="V378">
        <v>22.321736999999999</v>
      </c>
      <c r="W378">
        <v>22.161524</v>
      </c>
      <c r="X378">
        <v>22.557846000000001</v>
      </c>
      <c r="Y378">
        <v>24.298013999999998</v>
      </c>
      <c r="Z378">
        <v>23.689129999999999</v>
      </c>
      <c r="AA378">
        <v>25.078942999999999</v>
      </c>
      <c r="AB378">
        <v>24.56973</v>
      </c>
      <c r="AC378">
        <v>22.789099</v>
      </c>
      <c r="AD378">
        <v>23.623075</v>
      </c>
      <c r="AE378">
        <v>21.238461999999998</v>
      </c>
      <c r="AF378">
        <v>24.728470000000002</v>
      </c>
      <c r="AG378">
        <v>24.513850000000001</v>
      </c>
    </row>
    <row r="379" spans="1:33" x14ac:dyDescent="0.25">
      <c r="A379" s="1">
        <v>44430</v>
      </c>
      <c r="B379">
        <v>20.191441999999999</v>
      </c>
      <c r="C379">
        <v>21.307116000000001</v>
      </c>
      <c r="D379">
        <v>20.103365</v>
      </c>
      <c r="E379">
        <v>20.051575</v>
      </c>
      <c r="F379">
        <v>20.732458000000001</v>
      </c>
      <c r="G379">
        <v>20.967753999999999</v>
      </c>
      <c r="H379">
        <v>19.865797000000001</v>
      </c>
      <c r="I379">
        <v>19.675951000000001</v>
      </c>
      <c r="J379">
        <v>22.391632000000001</v>
      </c>
      <c r="K379">
        <v>23.090212000000001</v>
      </c>
      <c r="L379">
        <v>23.060120000000001</v>
      </c>
      <c r="M379">
        <v>21.103075</v>
      </c>
      <c r="N379">
        <v>21.339507999999999</v>
      </c>
      <c r="O379">
        <v>23.00234</v>
      </c>
      <c r="P379">
        <v>22.484611999999998</v>
      </c>
      <c r="Q379">
        <v>21.114865999999999</v>
      </c>
      <c r="R379">
        <v>22.93731</v>
      </c>
      <c r="S379">
        <v>19.331119999999999</v>
      </c>
      <c r="T379">
        <v>21.592058000000002</v>
      </c>
      <c r="U379">
        <v>22.050356000000001</v>
      </c>
      <c r="V379">
        <v>22.120833999999999</v>
      </c>
      <c r="W379">
        <v>21.498507</v>
      </c>
      <c r="X379">
        <v>22.362082999999998</v>
      </c>
      <c r="Y379">
        <v>24.165955</v>
      </c>
      <c r="Z379">
        <v>23.491150000000001</v>
      </c>
      <c r="AA379">
        <v>24.927336</v>
      </c>
      <c r="AB379">
        <v>24.422910000000002</v>
      </c>
      <c r="AC379">
        <v>22.769030000000001</v>
      </c>
      <c r="AD379">
        <v>23.432096000000001</v>
      </c>
      <c r="AE379">
        <v>21.329312999999999</v>
      </c>
      <c r="AF379">
        <v>24.655272</v>
      </c>
      <c r="AG379">
        <v>24.420020999999998</v>
      </c>
    </row>
    <row r="380" spans="1:33" x14ac:dyDescent="0.25">
      <c r="A380" s="1">
        <v>44431</v>
      </c>
      <c r="B380">
        <v>20.095839000000002</v>
      </c>
      <c r="C380">
        <v>21.156179999999999</v>
      </c>
      <c r="D380">
        <v>19.934137</v>
      </c>
      <c r="E380">
        <v>19.90859</v>
      </c>
      <c r="F380">
        <v>20.617449000000001</v>
      </c>
      <c r="G380">
        <v>20.833238999999999</v>
      </c>
      <c r="H380">
        <v>19.697863000000002</v>
      </c>
      <c r="I380">
        <v>19.563105</v>
      </c>
      <c r="J380">
        <v>22.234190000000002</v>
      </c>
      <c r="K380">
        <v>22.915490999999999</v>
      </c>
      <c r="L380">
        <v>22.919606999999999</v>
      </c>
      <c r="M380">
        <v>20.953623</v>
      </c>
      <c r="N380">
        <v>21.185614000000001</v>
      </c>
      <c r="O380">
        <v>22.867325000000001</v>
      </c>
      <c r="P380">
        <v>22.343367000000001</v>
      </c>
      <c r="Q380">
        <v>20.971153000000001</v>
      </c>
      <c r="R380">
        <v>22.801186000000001</v>
      </c>
      <c r="S380">
        <v>19.228429999999999</v>
      </c>
      <c r="T380">
        <v>21.430754</v>
      </c>
      <c r="U380">
        <v>21.496803</v>
      </c>
      <c r="V380">
        <v>21.933119999999999</v>
      </c>
      <c r="W380">
        <v>20.931055000000001</v>
      </c>
      <c r="X380">
        <v>22.172177999999999</v>
      </c>
      <c r="Y380">
        <v>24.12988</v>
      </c>
      <c r="Z380">
        <v>23.340668000000001</v>
      </c>
      <c r="AA380">
        <v>24.828420000000001</v>
      </c>
      <c r="AB380">
        <v>24.341522000000001</v>
      </c>
      <c r="AC380">
        <v>22.709105999999998</v>
      </c>
      <c r="AD380">
        <v>23.290780000000002</v>
      </c>
      <c r="AE380">
        <v>21.715807000000002</v>
      </c>
      <c r="AF380">
        <v>24.615279999999998</v>
      </c>
      <c r="AG380">
        <v>24.417784000000001</v>
      </c>
    </row>
    <row r="381" spans="1:33" x14ac:dyDescent="0.25">
      <c r="A381" s="1">
        <v>44432</v>
      </c>
      <c r="B381">
        <v>19.752768</v>
      </c>
      <c r="C381">
        <v>20.908382</v>
      </c>
      <c r="D381">
        <v>19.625775999999998</v>
      </c>
      <c r="E381">
        <v>19.632266999999999</v>
      </c>
      <c r="F381">
        <v>20.372212999999999</v>
      </c>
      <c r="G381">
        <v>20.64678</v>
      </c>
      <c r="H381">
        <v>19.489118999999999</v>
      </c>
      <c r="I381">
        <v>19.180330000000001</v>
      </c>
      <c r="J381">
        <v>21.932268000000001</v>
      </c>
      <c r="K381">
        <v>22.684752</v>
      </c>
      <c r="L381">
        <v>22.708069999999999</v>
      </c>
      <c r="M381">
        <v>20.748425999999998</v>
      </c>
      <c r="N381">
        <v>20.946514000000001</v>
      </c>
      <c r="O381">
        <v>22.631775000000001</v>
      </c>
      <c r="P381">
        <v>22.151564</v>
      </c>
      <c r="Q381">
        <v>20.768115999999999</v>
      </c>
      <c r="R381">
        <v>22.585035000000001</v>
      </c>
      <c r="S381">
        <v>18.853985000000002</v>
      </c>
      <c r="T381">
        <v>21.157641999999999</v>
      </c>
      <c r="U381">
        <v>20.904648000000002</v>
      </c>
      <c r="V381">
        <v>21.586357</v>
      </c>
      <c r="W381">
        <v>20.401789999999998</v>
      </c>
      <c r="X381">
        <v>21.775971999999999</v>
      </c>
      <c r="Y381">
        <v>24.123449999999998</v>
      </c>
      <c r="Z381">
        <v>23.109000999999999</v>
      </c>
      <c r="AA381">
        <v>24.725090000000002</v>
      </c>
      <c r="AB381">
        <v>24.322077</v>
      </c>
      <c r="AC381">
        <v>22.62631</v>
      </c>
      <c r="AD381">
        <v>23.120405000000002</v>
      </c>
      <c r="AE381">
        <v>21.833732999999999</v>
      </c>
      <c r="AF381">
        <v>24.557877000000001</v>
      </c>
      <c r="AG381">
        <v>24.435751</v>
      </c>
    </row>
    <row r="382" spans="1:33" x14ac:dyDescent="0.25">
      <c r="A382" s="1">
        <v>44433</v>
      </c>
      <c r="B382">
        <v>19.535959999999999</v>
      </c>
      <c r="C382">
        <v>20.693403</v>
      </c>
      <c r="D382">
        <v>19.356801999999998</v>
      </c>
      <c r="E382">
        <v>19.38036</v>
      </c>
      <c r="F382">
        <v>20.213804</v>
      </c>
      <c r="G382">
        <v>20.459713000000001</v>
      </c>
      <c r="H382">
        <v>19.331430000000001</v>
      </c>
      <c r="I382">
        <v>18.850556999999998</v>
      </c>
      <c r="J382">
        <v>21.702027999999999</v>
      </c>
      <c r="K382">
        <v>22.486542</v>
      </c>
      <c r="L382">
        <v>22.557596</v>
      </c>
      <c r="M382">
        <v>20.566057000000001</v>
      </c>
      <c r="N382">
        <v>20.724083</v>
      </c>
      <c r="O382">
        <v>22.477781</v>
      </c>
      <c r="P382">
        <v>21.966528</v>
      </c>
      <c r="Q382">
        <v>20.578505</v>
      </c>
      <c r="R382">
        <v>22.437646999999998</v>
      </c>
      <c r="S382">
        <v>18.513726999999999</v>
      </c>
      <c r="T382">
        <v>20.875309999999999</v>
      </c>
      <c r="U382">
        <v>20.520437000000001</v>
      </c>
      <c r="V382">
        <v>21.278905999999999</v>
      </c>
      <c r="W382">
        <v>20.589967999999999</v>
      </c>
      <c r="X382">
        <v>21.432404999999999</v>
      </c>
      <c r="Y382">
        <v>24.132512999999999</v>
      </c>
      <c r="Z382">
        <v>22.965935000000002</v>
      </c>
      <c r="AA382">
        <v>24.647234000000001</v>
      </c>
      <c r="AB382">
        <v>24.329550000000001</v>
      </c>
      <c r="AC382">
        <v>22.496790000000001</v>
      </c>
      <c r="AD382">
        <v>22.995428</v>
      </c>
      <c r="AE382">
        <v>22.012985</v>
      </c>
      <c r="AF382">
        <v>24.515318000000001</v>
      </c>
      <c r="AG382">
        <v>24.438780000000001</v>
      </c>
    </row>
    <row r="383" spans="1:33" x14ac:dyDescent="0.25">
      <c r="A383" s="1">
        <v>44434</v>
      </c>
      <c r="B383">
        <v>19.787113000000002</v>
      </c>
      <c r="C383">
        <v>20.813880000000001</v>
      </c>
      <c r="D383">
        <v>19.402922</v>
      </c>
      <c r="E383">
        <v>19.442533000000001</v>
      </c>
      <c r="F383">
        <v>20.342371</v>
      </c>
      <c r="G383">
        <v>20.444849999999999</v>
      </c>
      <c r="H383">
        <v>19.413553</v>
      </c>
      <c r="I383">
        <v>19.348846000000002</v>
      </c>
      <c r="J383">
        <v>21.939035000000001</v>
      </c>
      <c r="K383">
        <v>22.516783</v>
      </c>
      <c r="L383">
        <v>22.623456999999998</v>
      </c>
      <c r="M383">
        <v>20.579172</v>
      </c>
      <c r="N383">
        <v>20.815054</v>
      </c>
      <c r="O383">
        <v>22.477164999999999</v>
      </c>
      <c r="P383">
        <v>22.03885</v>
      </c>
      <c r="Q383">
        <v>20.587097</v>
      </c>
      <c r="R383">
        <v>22.473203999999999</v>
      </c>
      <c r="S383">
        <v>18.699090000000002</v>
      </c>
      <c r="T383">
        <v>20.876363999999999</v>
      </c>
      <c r="U383">
        <v>20.833141000000001</v>
      </c>
      <c r="V383">
        <v>21.210380000000001</v>
      </c>
      <c r="W383">
        <v>20.992155</v>
      </c>
      <c r="X383">
        <v>21.261448000000001</v>
      </c>
      <c r="Y383">
        <v>24.075882</v>
      </c>
      <c r="Z383">
        <v>22.893636999999998</v>
      </c>
      <c r="AA383">
        <v>24.545197999999999</v>
      </c>
      <c r="AB383">
        <v>24.331938000000001</v>
      </c>
      <c r="AC383">
        <v>22.145116999999999</v>
      </c>
      <c r="AD383">
        <v>23.001303</v>
      </c>
      <c r="AE383">
        <v>22.033539000000001</v>
      </c>
      <c r="AF383">
        <v>24.478539999999999</v>
      </c>
      <c r="AG383">
        <v>24.296616</v>
      </c>
    </row>
    <row r="384" spans="1:33" x14ac:dyDescent="0.25">
      <c r="A384" s="1">
        <v>44435</v>
      </c>
      <c r="B384">
        <v>20.381236999999999</v>
      </c>
      <c r="C384">
        <v>21.201694</v>
      </c>
      <c r="D384">
        <v>19.784502</v>
      </c>
      <c r="E384">
        <v>19.867868000000001</v>
      </c>
      <c r="F384">
        <v>20.708556999999999</v>
      </c>
      <c r="G384">
        <v>20.644742999999998</v>
      </c>
      <c r="H384">
        <v>19.655508000000001</v>
      </c>
      <c r="I384">
        <v>20.293634000000001</v>
      </c>
      <c r="J384">
        <v>22.425222000000002</v>
      </c>
      <c r="K384">
        <v>22.655968000000001</v>
      </c>
      <c r="L384">
        <v>22.846848000000001</v>
      </c>
      <c r="M384">
        <v>20.827662</v>
      </c>
      <c r="N384">
        <v>21.099916</v>
      </c>
      <c r="O384">
        <v>22.634356</v>
      </c>
      <c r="P384">
        <v>22.216895999999998</v>
      </c>
      <c r="Q384">
        <v>20.825468000000001</v>
      </c>
      <c r="R384">
        <v>22.648911999999999</v>
      </c>
      <c r="S384">
        <v>19.483830000000001</v>
      </c>
      <c r="T384">
        <v>21.151797999999999</v>
      </c>
      <c r="U384">
        <v>21.317001000000001</v>
      </c>
      <c r="V384">
        <v>21.31653</v>
      </c>
      <c r="W384">
        <v>21.373944999999999</v>
      </c>
      <c r="X384">
        <v>21.331396000000002</v>
      </c>
      <c r="Y384">
        <v>24.244676999999999</v>
      </c>
      <c r="Z384">
        <v>22.995470000000001</v>
      </c>
      <c r="AA384">
        <v>24.602211</v>
      </c>
      <c r="AB384">
        <v>24.458114999999999</v>
      </c>
      <c r="AC384">
        <v>22.132044</v>
      </c>
      <c r="AD384">
        <v>23.119582999999999</v>
      </c>
      <c r="AE384">
        <v>21.937339999999999</v>
      </c>
      <c r="AF384">
        <v>24.535166</v>
      </c>
      <c r="AG384">
        <v>24.326277000000001</v>
      </c>
    </row>
    <row r="385" spans="1:33" x14ac:dyDescent="0.25">
      <c r="A385" s="1">
        <v>44436</v>
      </c>
      <c r="B385">
        <v>20.9834</v>
      </c>
      <c r="C385">
        <v>21.633102000000001</v>
      </c>
      <c r="D385">
        <v>20.253550000000001</v>
      </c>
      <c r="E385">
        <v>20.374220000000001</v>
      </c>
      <c r="F385">
        <v>21.049835000000002</v>
      </c>
      <c r="G385">
        <v>20.886023000000002</v>
      </c>
      <c r="H385">
        <v>19.923743999999999</v>
      </c>
      <c r="I385">
        <v>21.185289999999998</v>
      </c>
      <c r="J385">
        <v>22.911916999999999</v>
      </c>
      <c r="K385">
        <v>22.87754</v>
      </c>
      <c r="L385">
        <v>23.081871</v>
      </c>
      <c r="M385">
        <v>21.118994000000001</v>
      </c>
      <c r="N385">
        <v>21.441469999999999</v>
      </c>
      <c r="O385">
        <v>22.840965000000001</v>
      </c>
      <c r="P385">
        <v>22.421241999999999</v>
      </c>
      <c r="Q385">
        <v>21.103404999999999</v>
      </c>
      <c r="R385">
        <v>22.855340000000002</v>
      </c>
      <c r="S385">
        <v>20.353231000000001</v>
      </c>
      <c r="T385">
        <v>21.525169999999999</v>
      </c>
      <c r="U385">
        <v>21.733032000000001</v>
      </c>
      <c r="V385">
        <v>21.664635000000001</v>
      </c>
      <c r="W385">
        <v>21.817488000000001</v>
      </c>
      <c r="X385">
        <v>21.7117</v>
      </c>
      <c r="Y385">
        <v>24.558257999999999</v>
      </c>
      <c r="Z385">
        <v>23.116358000000002</v>
      </c>
      <c r="AA385">
        <v>24.725823999999999</v>
      </c>
      <c r="AB385">
        <v>24.691378</v>
      </c>
      <c r="AC385">
        <v>22.413267000000001</v>
      </c>
      <c r="AD385">
        <v>23.281935000000001</v>
      </c>
      <c r="AE385">
        <v>22.407371999999999</v>
      </c>
      <c r="AF385">
        <v>24.658591999999999</v>
      </c>
      <c r="AG385">
        <v>24.522210000000001</v>
      </c>
    </row>
    <row r="386" spans="1:33" x14ac:dyDescent="0.25">
      <c r="A386" s="1">
        <v>44437</v>
      </c>
      <c r="B386">
        <v>21.26811</v>
      </c>
      <c r="C386">
        <v>21.832823000000001</v>
      </c>
      <c r="D386">
        <v>20.610316999999998</v>
      </c>
      <c r="E386">
        <v>20.794274999999999</v>
      </c>
      <c r="F386">
        <v>21.098303000000001</v>
      </c>
      <c r="G386">
        <v>21.029340000000001</v>
      </c>
      <c r="H386">
        <v>19.953355999999999</v>
      </c>
      <c r="I386">
        <v>21.190951999999999</v>
      </c>
      <c r="J386">
        <v>23.036702999999999</v>
      </c>
      <c r="K386">
        <v>22.940058000000001</v>
      </c>
      <c r="L386">
        <v>23.205162000000001</v>
      </c>
      <c r="M386">
        <v>21.237690000000001</v>
      </c>
      <c r="N386">
        <v>21.496752000000001</v>
      </c>
      <c r="O386">
        <v>22.953779999999998</v>
      </c>
      <c r="P386">
        <v>22.484449999999999</v>
      </c>
      <c r="Q386">
        <v>21.274056999999999</v>
      </c>
      <c r="R386">
        <v>22.917760000000001</v>
      </c>
      <c r="S386">
        <v>20.814962000000001</v>
      </c>
      <c r="T386">
        <v>21.762799999999999</v>
      </c>
      <c r="U386">
        <v>22.122758999999999</v>
      </c>
      <c r="V386">
        <v>21.899504</v>
      </c>
      <c r="W386">
        <v>22.223058999999999</v>
      </c>
      <c r="X386">
        <v>22.034323000000001</v>
      </c>
      <c r="Y386">
        <v>24.809761000000002</v>
      </c>
      <c r="Z386">
        <v>23.145910000000001</v>
      </c>
      <c r="AA386">
        <v>24.863973999999999</v>
      </c>
      <c r="AB386">
        <v>24.886026000000001</v>
      </c>
      <c r="AC386">
        <v>22.751982000000002</v>
      </c>
      <c r="AD386">
        <v>23.373574999999999</v>
      </c>
      <c r="AE386">
        <v>22.784690000000001</v>
      </c>
      <c r="AF386">
        <v>24.782914999999999</v>
      </c>
      <c r="AG386">
        <v>24.690023</v>
      </c>
    </row>
    <row r="387" spans="1:33" x14ac:dyDescent="0.25">
      <c r="A387" s="1">
        <v>44438</v>
      </c>
      <c r="B387">
        <v>21.357804999999999</v>
      </c>
      <c r="C387">
        <v>21.82443</v>
      </c>
      <c r="D387">
        <v>20.786497000000001</v>
      </c>
      <c r="E387">
        <v>20.984217000000001</v>
      </c>
      <c r="F387">
        <v>21.141553999999999</v>
      </c>
      <c r="G387">
        <v>21.05031</v>
      </c>
      <c r="H387">
        <v>19.970984000000001</v>
      </c>
      <c r="I387">
        <v>20.776615</v>
      </c>
      <c r="J387">
        <v>23.256891</v>
      </c>
      <c r="K387">
        <v>23.026289999999999</v>
      </c>
      <c r="L387">
        <v>23.301141999999999</v>
      </c>
      <c r="M387">
        <v>21.273693000000002</v>
      </c>
      <c r="N387">
        <v>21.541702000000001</v>
      </c>
      <c r="O387">
        <v>23.011240000000001</v>
      </c>
      <c r="P387">
        <v>22.52693</v>
      </c>
      <c r="Q387">
        <v>21.302229000000001</v>
      </c>
      <c r="R387">
        <v>23.006632</v>
      </c>
      <c r="S387">
        <v>20.657187</v>
      </c>
      <c r="T387">
        <v>21.958185</v>
      </c>
      <c r="U387">
        <v>22.474810000000002</v>
      </c>
      <c r="V387">
        <v>22.200997999999998</v>
      </c>
      <c r="W387">
        <v>22.508749000000002</v>
      </c>
      <c r="X387">
        <v>22.310514000000001</v>
      </c>
      <c r="Y387">
        <v>24.945284000000001</v>
      </c>
      <c r="Z387">
        <v>23.210905</v>
      </c>
      <c r="AA387">
        <v>25.008707000000001</v>
      </c>
      <c r="AB387">
        <v>25.019043</v>
      </c>
      <c r="AC387">
        <v>23.089296000000001</v>
      </c>
      <c r="AD387">
        <v>23.465302999999999</v>
      </c>
      <c r="AE387">
        <v>23.132269000000001</v>
      </c>
      <c r="AF387">
        <v>24.918652999999999</v>
      </c>
      <c r="AG387">
        <v>24.889832999999999</v>
      </c>
    </row>
    <row r="388" spans="1:33" x14ac:dyDescent="0.25">
      <c r="A388" s="1">
        <v>44439</v>
      </c>
      <c r="B388">
        <v>21.287220000000001</v>
      </c>
      <c r="C388">
        <v>21.619323999999999</v>
      </c>
      <c r="D388">
        <v>20.787682</v>
      </c>
      <c r="E388">
        <v>20.931353000000001</v>
      </c>
      <c r="F388">
        <v>21.023256</v>
      </c>
      <c r="G388">
        <v>21.025041999999999</v>
      </c>
      <c r="H388">
        <v>19.790566999999999</v>
      </c>
      <c r="I388">
        <v>20.450078999999999</v>
      </c>
      <c r="J388">
        <v>23.319794000000002</v>
      </c>
      <c r="K388">
        <v>23.088808</v>
      </c>
      <c r="L388">
        <v>23.294954000000001</v>
      </c>
      <c r="M388">
        <v>21.197842000000001</v>
      </c>
      <c r="N388">
        <v>21.524384999999999</v>
      </c>
      <c r="O388">
        <v>22.961013999999999</v>
      </c>
      <c r="P388">
        <v>22.557867000000002</v>
      </c>
      <c r="Q388">
        <v>21.251722000000001</v>
      </c>
      <c r="R388">
        <v>22.968340000000001</v>
      </c>
      <c r="S388">
        <v>20.065750000000001</v>
      </c>
      <c r="T388">
        <v>21.927599000000001</v>
      </c>
      <c r="U388">
        <v>22.583466999999999</v>
      </c>
      <c r="V388">
        <v>22.192688</v>
      </c>
      <c r="W388">
        <v>22.587952000000001</v>
      </c>
      <c r="X388">
        <v>22.312332000000001</v>
      </c>
      <c r="Y388">
        <v>24.697195000000001</v>
      </c>
      <c r="Z388">
        <v>23.110289999999999</v>
      </c>
      <c r="AA388">
        <v>25.062162000000001</v>
      </c>
      <c r="AB388">
        <v>24.820982000000001</v>
      </c>
      <c r="AC388">
        <v>22.977609999999999</v>
      </c>
      <c r="AD388">
        <v>23.457687</v>
      </c>
      <c r="AE388">
        <v>22.628550000000001</v>
      </c>
      <c r="AF388">
        <v>24.983689999999999</v>
      </c>
      <c r="AG388">
        <v>24.683558000000001</v>
      </c>
    </row>
    <row r="389" spans="1:33" x14ac:dyDescent="0.25">
      <c r="A389" s="1">
        <v>44440</v>
      </c>
      <c r="B389">
        <v>20.780539000000001</v>
      </c>
      <c r="C389">
        <v>21.275525999999999</v>
      </c>
      <c r="D389">
        <v>20.479095000000001</v>
      </c>
      <c r="E389">
        <v>20.464200999999999</v>
      </c>
      <c r="F389">
        <v>20.52711</v>
      </c>
      <c r="G389">
        <v>20.79158</v>
      </c>
      <c r="H389">
        <v>19.460795999999998</v>
      </c>
      <c r="I389">
        <v>19.497644000000001</v>
      </c>
      <c r="J389">
        <v>23.046972</v>
      </c>
      <c r="K389">
        <v>22.989744000000002</v>
      </c>
      <c r="L389">
        <v>23.068719999999999</v>
      </c>
      <c r="M389">
        <v>20.933567</v>
      </c>
      <c r="N389">
        <v>21.355132999999999</v>
      </c>
      <c r="O389">
        <v>22.800585000000002</v>
      </c>
      <c r="P389">
        <v>22.474691</v>
      </c>
      <c r="Q389">
        <v>21.013352999999999</v>
      </c>
      <c r="R389">
        <v>22.789580000000001</v>
      </c>
      <c r="S389">
        <v>19.12771</v>
      </c>
      <c r="T389">
        <v>21.670763000000001</v>
      </c>
      <c r="U389">
        <v>22.436074999999999</v>
      </c>
      <c r="V389">
        <v>21.940467999999999</v>
      </c>
      <c r="W389">
        <v>22.405493</v>
      </c>
      <c r="X389">
        <v>22.086779</v>
      </c>
      <c r="Y389">
        <v>24.115614000000001</v>
      </c>
      <c r="Z389">
        <v>22.880590000000002</v>
      </c>
      <c r="AA389">
        <v>24.892600999999999</v>
      </c>
      <c r="AB389">
        <v>24.209076</v>
      </c>
      <c r="AC389">
        <v>22.585909000000001</v>
      </c>
      <c r="AD389">
        <v>23.280401000000001</v>
      </c>
      <c r="AE389">
        <v>21.943473999999998</v>
      </c>
      <c r="AF389">
        <v>24.872727999999999</v>
      </c>
      <c r="AG389">
        <v>24.158864999999999</v>
      </c>
    </row>
    <row r="390" spans="1:33" x14ac:dyDescent="0.25">
      <c r="A390" s="1">
        <v>44441</v>
      </c>
      <c r="B390">
        <v>20.000112999999999</v>
      </c>
      <c r="C390">
        <v>20.84055</v>
      </c>
      <c r="D390">
        <v>19.9879</v>
      </c>
      <c r="E390">
        <v>19.812773</v>
      </c>
      <c r="F390">
        <v>20.176485</v>
      </c>
      <c r="G390">
        <v>20.476334000000001</v>
      </c>
      <c r="H390">
        <v>19.285872000000001</v>
      </c>
      <c r="I390">
        <v>18.605246000000001</v>
      </c>
      <c r="J390">
        <v>22.198183</v>
      </c>
      <c r="K390">
        <v>22.693466000000001</v>
      </c>
      <c r="L390">
        <v>22.625525</v>
      </c>
      <c r="M390">
        <v>20.630022</v>
      </c>
      <c r="N390">
        <v>21.003596999999999</v>
      </c>
      <c r="O390">
        <v>22.433617000000002</v>
      </c>
      <c r="P390">
        <v>22.168970000000002</v>
      </c>
      <c r="Q390">
        <v>20.690245000000001</v>
      </c>
      <c r="R390">
        <v>22.45016</v>
      </c>
      <c r="S390">
        <v>18.147821</v>
      </c>
      <c r="T390">
        <v>21.162348000000001</v>
      </c>
      <c r="U390">
        <v>22.25142</v>
      </c>
      <c r="V390">
        <v>21.589745000000001</v>
      </c>
      <c r="W390">
        <v>22.060219</v>
      </c>
      <c r="X390">
        <v>21.825050000000001</v>
      </c>
      <c r="Y390">
        <v>23.798607000000001</v>
      </c>
      <c r="Z390">
        <v>22.571442000000001</v>
      </c>
      <c r="AA390">
        <v>24.634164999999999</v>
      </c>
      <c r="AB390">
        <v>24.015647999999999</v>
      </c>
      <c r="AC390">
        <v>22.296747</v>
      </c>
      <c r="AD390">
        <v>23.002678</v>
      </c>
      <c r="AE390">
        <v>21.246856999999999</v>
      </c>
      <c r="AF390">
        <v>24.666620000000002</v>
      </c>
      <c r="AG390">
        <v>23.942162</v>
      </c>
    </row>
    <row r="391" spans="1:33" x14ac:dyDescent="0.25">
      <c r="A391" s="1">
        <v>44442</v>
      </c>
      <c r="B391">
        <v>19.801159999999999</v>
      </c>
      <c r="C391">
        <v>20.667908000000001</v>
      </c>
      <c r="D391">
        <v>19.797989000000001</v>
      </c>
      <c r="E391">
        <v>19.592306000000001</v>
      </c>
      <c r="F391">
        <v>20.138757999999999</v>
      </c>
      <c r="G391">
        <v>20.292304999999999</v>
      </c>
      <c r="H391">
        <v>19.106587999999999</v>
      </c>
      <c r="I391">
        <v>18.505307999999999</v>
      </c>
      <c r="J391">
        <v>21.709864</v>
      </c>
      <c r="K391">
        <v>22.524298000000002</v>
      </c>
      <c r="L391">
        <v>22.360603000000001</v>
      </c>
      <c r="M391">
        <v>20.463629999999998</v>
      </c>
      <c r="N391">
        <v>20.810938</v>
      </c>
      <c r="O391">
        <v>22.289937999999999</v>
      </c>
      <c r="P391">
        <v>21.964013999999999</v>
      </c>
      <c r="Q391">
        <v>20.479609</v>
      </c>
      <c r="R391">
        <v>22.292303</v>
      </c>
      <c r="S391">
        <v>18.070081999999999</v>
      </c>
      <c r="T391">
        <v>20.924579999999999</v>
      </c>
      <c r="U391">
        <v>22.001562</v>
      </c>
      <c r="V391">
        <v>21.557741</v>
      </c>
      <c r="W391">
        <v>21.719602999999999</v>
      </c>
      <c r="X391">
        <v>21.859926000000002</v>
      </c>
      <c r="Y391">
        <v>23.775559999999999</v>
      </c>
      <c r="Z391">
        <v>22.435659999999999</v>
      </c>
      <c r="AA391">
        <v>24.427976999999998</v>
      </c>
      <c r="AB391">
        <v>23.992301999999999</v>
      </c>
      <c r="AC391">
        <v>22.295915999999998</v>
      </c>
      <c r="AD391">
        <v>22.773440000000001</v>
      </c>
      <c r="AE391">
        <v>21.037817</v>
      </c>
      <c r="AF391">
        <v>24.519010000000002</v>
      </c>
      <c r="AG391">
        <v>23.925028000000001</v>
      </c>
    </row>
    <row r="392" spans="1:33" x14ac:dyDescent="0.25">
      <c r="A392" s="1">
        <v>44443</v>
      </c>
      <c r="B392">
        <v>19.959817999999999</v>
      </c>
      <c r="C392">
        <v>20.522912999999999</v>
      </c>
      <c r="D392">
        <v>19.565752</v>
      </c>
      <c r="E392">
        <v>19.564005000000002</v>
      </c>
      <c r="F392">
        <v>20.215961</v>
      </c>
      <c r="G392">
        <v>20.240790000000001</v>
      </c>
      <c r="H392">
        <v>19.068739000000001</v>
      </c>
      <c r="I392">
        <v>18.905949</v>
      </c>
      <c r="J392">
        <v>21.720617000000001</v>
      </c>
      <c r="K392">
        <v>22.459969999999998</v>
      </c>
      <c r="L392">
        <v>22.301949</v>
      </c>
      <c r="M392">
        <v>20.424212000000001</v>
      </c>
      <c r="N392">
        <v>20.740946000000001</v>
      </c>
      <c r="O392">
        <v>22.278130999999998</v>
      </c>
      <c r="P392">
        <v>21.872640000000001</v>
      </c>
      <c r="Q392">
        <v>20.40766</v>
      </c>
      <c r="R392">
        <v>22.240621999999998</v>
      </c>
      <c r="S392">
        <v>18.424890000000001</v>
      </c>
      <c r="T392">
        <v>20.979330000000001</v>
      </c>
      <c r="U392">
        <v>21.747174999999999</v>
      </c>
      <c r="V392">
        <v>21.703142</v>
      </c>
      <c r="W392">
        <v>21.616478000000001</v>
      </c>
      <c r="X392">
        <v>21.992231</v>
      </c>
      <c r="Y392">
        <v>23.920914</v>
      </c>
      <c r="Z392">
        <v>22.484877000000001</v>
      </c>
      <c r="AA392">
        <v>24.364350000000002</v>
      </c>
      <c r="AB392">
        <v>24.095420000000001</v>
      </c>
      <c r="AC392">
        <v>22.415716</v>
      </c>
      <c r="AD392">
        <v>22.667809999999999</v>
      </c>
      <c r="AE392">
        <v>21.174803000000001</v>
      </c>
      <c r="AF392">
        <v>24.453779999999998</v>
      </c>
      <c r="AG392">
        <v>23.957037</v>
      </c>
    </row>
    <row r="393" spans="1:33" x14ac:dyDescent="0.25">
      <c r="A393" s="1">
        <v>44444</v>
      </c>
      <c r="B393">
        <v>20.115648</v>
      </c>
      <c r="C393">
        <v>20.596340000000001</v>
      </c>
      <c r="D393">
        <v>19.759209999999999</v>
      </c>
      <c r="E393">
        <v>19.61655</v>
      </c>
      <c r="F393">
        <v>20.337526</v>
      </c>
      <c r="G393">
        <v>20.280977</v>
      </c>
      <c r="H393">
        <v>19.126004999999999</v>
      </c>
      <c r="I393">
        <v>19.443771000000002</v>
      </c>
      <c r="J393">
        <v>22.001546999999999</v>
      </c>
      <c r="K393">
        <v>22.48321</v>
      </c>
      <c r="L393">
        <v>22.409271</v>
      </c>
      <c r="M393">
        <v>20.4649</v>
      </c>
      <c r="N393">
        <v>20.77825</v>
      </c>
      <c r="O393">
        <v>22.353377999999999</v>
      </c>
      <c r="P393">
        <v>21.884184000000001</v>
      </c>
      <c r="Q393">
        <v>20.435262999999999</v>
      </c>
      <c r="R393">
        <v>22.280419999999999</v>
      </c>
      <c r="S393">
        <v>18.928453000000001</v>
      </c>
      <c r="T393">
        <v>21.095129</v>
      </c>
      <c r="U393">
        <v>21.729140000000001</v>
      </c>
      <c r="V393">
        <v>21.787064000000001</v>
      </c>
      <c r="W393">
        <v>21.723970000000001</v>
      </c>
      <c r="X393">
        <v>22.020050000000001</v>
      </c>
      <c r="Y393">
        <v>24.071777000000001</v>
      </c>
      <c r="Z393">
        <v>22.694306999999998</v>
      </c>
      <c r="AA393">
        <v>24.411058000000001</v>
      </c>
      <c r="AB393">
        <v>24.167891999999998</v>
      </c>
      <c r="AC393">
        <v>22.603501999999999</v>
      </c>
      <c r="AD393">
        <v>22.700033000000001</v>
      </c>
      <c r="AE393">
        <v>21.573371999999999</v>
      </c>
      <c r="AF393">
        <v>24.439820999999998</v>
      </c>
      <c r="AG393">
        <v>24.043845999999998</v>
      </c>
    </row>
    <row r="394" spans="1:33" x14ac:dyDescent="0.25">
      <c r="A394" s="1">
        <v>44445</v>
      </c>
      <c r="B394">
        <v>20.298957999999999</v>
      </c>
      <c r="C394">
        <v>20.794695000000001</v>
      </c>
      <c r="D394">
        <v>19.98583</v>
      </c>
      <c r="E394">
        <v>19.752870000000001</v>
      </c>
      <c r="F394">
        <v>20.506397</v>
      </c>
      <c r="G394">
        <v>20.392237000000002</v>
      </c>
      <c r="H394">
        <v>19.311823</v>
      </c>
      <c r="I394">
        <v>19.973096999999999</v>
      </c>
      <c r="J394">
        <v>22.333832000000001</v>
      </c>
      <c r="K394">
        <v>22.579819000000001</v>
      </c>
      <c r="L394">
        <v>22.580254</v>
      </c>
      <c r="M394">
        <v>20.581636</v>
      </c>
      <c r="N394">
        <v>20.939177000000001</v>
      </c>
      <c r="O394">
        <v>22.515329999999999</v>
      </c>
      <c r="P394">
        <v>21.975235000000001</v>
      </c>
      <c r="Q394">
        <v>20.556159999999998</v>
      </c>
      <c r="R394">
        <v>22.408902999999999</v>
      </c>
      <c r="S394">
        <v>19.54053</v>
      </c>
      <c r="T394">
        <v>21.317157999999999</v>
      </c>
      <c r="U394">
        <v>21.873902999999999</v>
      </c>
      <c r="V394">
        <v>21.854002000000001</v>
      </c>
      <c r="W394">
        <v>21.871775</v>
      </c>
      <c r="X394">
        <v>22.069282999999999</v>
      </c>
      <c r="Y394">
        <v>24.155256000000001</v>
      </c>
      <c r="Z394">
        <v>22.933311</v>
      </c>
      <c r="AA394">
        <v>24.47532</v>
      </c>
      <c r="AB394">
        <v>24.215509999999998</v>
      </c>
      <c r="AC394">
        <v>22.784485</v>
      </c>
      <c r="AD394">
        <v>22.794899000000001</v>
      </c>
      <c r="AE394">
        <v>21.874876</v>
      </c>
      <c r="AF394">
        <v>24.45279</v>
      </c>
      <c r="AG394">
        <v>24.137177000000001</v>
      </c>
    </row>
    <row r="395" spans="1:33" x14ac:dyDescent="0.25">
      <c r="A395" s="1">
        <v>44446</v>
      </c>
      <c r="B395">
        <v>20.614795999999998</v>
      </c>
      <c r="C395">
        <v>21.038954</v>
      </c>
      <c r="D395">
        <v>20.349463</v>
      </c>
      <c r="E395">
        <v>20.116371000000001</v>
      </c>
      <c r="F395">
        <v>20.714518000000002</v>
      </c>
      <c r="G395">
        <v>20.572626</v>
      </c>
      <c r="H395">
        <v>19.491768</v>
      </c>
      <c r="I395">
        <v>20.504002</v>
      </c>
      <c r="J395">
        <v>22.691390999999999</v>
      </c>
      <c r="K395">
        <v>22.666326999999999</v>
      </c>
      <c r="L395">
        <v>22.775454</v>
      </c>
      <c r="M395">
        <v>20.763456000000001</v>
      </c>
      <c r="N395">
        <v>21.12942</v>
      </c>
      <c r="O395">
        <v>22.680676999999999</v>
      </c>
      <c r="P395">
        <v>22.126505000000002</v>
      </c>
      <c r="Q395">
        <v>20.744437999999999</v>
      </c>
      <c r="R395">
        <v>22.565588000000002</v>
      </c>
      <c r="S395">
        <v>20.429333</v>
      </c>
      <c r="T395">
        <v>21.6738</v>
      </c>
      <c r="U395">
        <v>22.185295</v>
      </c>
      <c r="V395">
        <v>22.123063999999999</v>
      </c>
      <c r="W395">
        <v>22.136316000000001</v>
      </c>
      <c r="X395">
        <v>22.348320000000001</v>
      </c>
      <c r="Y395">
        <v>24.359499</v>
      </c>
      <c r="Z395">
        <v>23.229230000000001</v>
      </c>
      <c r="AA395">
        <v>24.619440000000001</v>
      </c>
      <c r="AB395">
        <v>24.410805</v>
      </c>
      <c r="AC395">
        <v>23.061575000000001</v>
      </c>
      <c r="AD395">
        <v>22.956085000000002</v>
      </c>
      <c r="AE395">
        <v>22.564896000000001</v>
      </c>
      <c r="AF395">
        <v>24.528051000000001</v>
      </c>
      <c r="AG395">
        <v>24.337471000000001</v>
      </c>
    </row>
    <row r="396" spans="1:33" x14ac:dyDescent="0.25">
      <c r="A396" s="1">
        <v>44447</v>
      </c>
      <c r="B396">
        <v>20.864882000000001</v>
      </c>
      <c r="C396">
        <v>21.203845999999999</v>
      </c>
      <c r="D396">
        <v>20.665967999999999</v>
      </c>
      <c r="E396">
        <v>20.505537</v>
      </c>
      <c r="F396">
        <v>20.897753000000002</v>
      </c>
      <c r="G396">
        <v>20.748083000000001</v>
      </c>
      <c r="H396">
        <v>19.688967000000002</v>
      </c>
      <c r="I396">
        <v>20.766324999999998</v>
      </c>
      <c r="J396">
        <v>23.053709000000001</v>
      </c>
      <c r="K396">
        <v>22.780275</v>
      </c>
      <c r="L396">
        <v>22.940843999999998</v>
      </c>
      <c r="M396">
        <v>20.935891999999999</v>
      </c>
      <c r="N396">
        <v>21.320333000000002</v>
      </c>
      <c r="O396">
        <v>22.797129000000002</v>
      </c>
      <c r="P396">
        <v>22.254255000000001</v>
      </c>
      <c r="Q396">
        <v>20.933551999999999</v>
      </c>
      <c r="R396">
        <v>22.702093000000001</v>
      </c>
      <c r="S396">
        <v>21.204702000000001</v>
      </c>
      <c r="T396">
        <v>22.018332999999998</v>
      </c>
      <c r="U396">
        <v>22.719581999999999</v>
      </c>
      <c r="V396">
        <v>22.380662999999998</v>
      </c>
      <c r="W396">
        <v>22.457003</v>
      </c>
      <c r="X396">
        <v>22.594175</v>
      </c>
      <c r="Y396">
        <v>24.495905</v>
      </c>
      <c r="Z396">
        <v>23.508675</v>
      </c>
      <c r="AA396">
        <v>24.808367000000001</v>
      </c>
      <c r="AB396">
        <v>24.565300000000001</v>
      </c>
      <c r="AC396">
        <v>23.411753000000001</v>
      </c>
      <c r="AD396">
        <v>23.107948</v>
      </c>
      <c r="AE396">
        <v>22.987901999999998</v>
      </c>
      <c r="AF396">
        <v>24.669449</v>
      </c>
      <c r="AG396">
        <v>24.59957</v>
      </c>
    </row>
    <row r="397" spans="1:33" x14ac:dyDescent="0.25">
      <c r="A397" s="1">
        <v>44448</v>
      </c>
      <c r="B397">
        <v>21.106708999999999</v>
      </c>
      <c r="C397">
        <v>21.316165999999999</v>
      </c>
      <c r="D397">
        <v>20.858532</v>
      </c>
      <c r="E397">
        <v>20.76671</v>
      </c>
      <c r="F397">
        <v>20.960996999999999</v>
      </c>
      <c r="G397">
        <v>20.912603000000001</v>
      </c>
      <c r="H397">
        <v>19.766033</v>
      </c>
      <c r="I397">
        <v>20.823080000000001</v>
      </c>
      <c r="J397">
        <v>23.432683999999998</v>
      </c>
      <c r="K397">
        <v>22.921347000000001</v>
      </c>
      <c r="L397">
        <v>23.165804000000001</v>
      </c>
      <c r="M397">
        <v>21.101105</v>
      </c>
      <c r="N397">
        <v>21.507142999999999</v>
      </c>
      <c r="O397">
        <v>22.976168000000001</v>
      </c>
      <c r="P397">
        <v>22.425667000000001</v>
      </c>
      <c r="Q397">
        <v>21.122122000000001</v>
      </c>
      <c r="R397">
        <v>22.873145999999998</v>
      </c>
      <c r="S397">
        <v>21.593378000000001</v>
      </c>
      <c r="T397">
        <v>22.223009999999999</v>
      </c>
      <c r="U397">
        <v>23.133188000000001</v>
      </c>
      <c r="V397">
        <v>22.522414999999999</v>
      </c>
      <c r="W397">
        <v>22.779454999999999</v>
      </c>
      <c r="X397">
        <v>22.749822999999999</v>
      </c>
      <c r="Y397">
        <v>24.67597</v>
      </c>
      <c r="Z397">
        <v>23.820345</v>
      </c>
      <c r="AA397">
        <v>25.01792</v>
      </c>
      <c r="AB397">
        <v>24.735579000000001</v>
      </c>
      <c r="AC397">
        <v>23.81981</v>
      </c>
      <c r="AD397">
        <v>23.304055999999999</v>
      </c>
      <c r="AE397">
        <v>23.187660000000001</v>
      </c>
      <c r="AF397">
        <v>24.84656</v>
      </c>
      <c r="AG397">
        <v>24.753416000000001</v>
      </c>
    </row>
    <row r="398" spans="1:33" x14ac:dyDescent="0.25">
      <c r="A398" s="1">
        <v>44449</v>
      </c>
      <c r="B398">
        <v>21.117864999999998</v>
      </c>
      <c r="C398">
        <v>21.305589999999999</v>
      </c>
      <c r="D398">
        <v>20.890135000000001</v>
      </c>
      <c r="E398">
        <v>20.8094</v>
      </c>
      <c r="F398">
        <v>20.938027999999999</v>
      </c>
      <c r="G398">
        <v>20.974761999999998</v>
      </c>
      <c r="H398">
        <v>19.811176</v>
      </c>
      <c r="I398">
        <v>20.712467</v>
      </c>
      <c r="J398">
        <v>23.346277000000001</v>
      </c>
      <c r="K398">
        <v>22.905927999999999</v>
      </c>
      <c r="L398">
        <v>23.120073000000001</v>
      </c>
      <c r="M398">
        <v>21.156587999999999</v>
      </c>
      <c r="N398">
        <v>21.563310000000001</v>
      </c>
      <c r="O398">
        <v>22.897943000000001</v>
      </c>
      <c r="P398">
        <v>22.449256999999999</v>
      </c>
      <c r="Q398">
        <v>21.191782</v>
      </c>
      <c r="R398">
        <v>22.815560000000001</v>
      </c>
      <c r="S398">
        <v>21.216419999999999</v>
      </c>
      <c r="T398">
        <v>22.172491000000001</v>
      </c>
      <c r="U398">
        <v>23.066932999999999</v>
      </c>
      <c r="V398">
        <v>22.417784000000001</v>
      </c>
      <c r="W398">
        <v>22.931059000000001</v>
      </c>
      <c r="X398">
        <v>22.640450000000001</v>
      </c>
      <c r="Y398">
        <v>24.421759000000002</v>
      </c>
      <c r="Z398">
        <v>23.805448999999999</v>
      </c>
      <c r="AA398">
        <v>25.104658000000001</v>
      </c>
      <c r="AB398">
        <v>24.496641</v>
      </c>
      <c r="AC398">
        <v>23.732825999999999</v>
      </c>
      <c r="AD398">
        <v>23.314964</v>
      </c>
      <c r="AE398">
        <v>23.025337</v>
      </c>
      <c r="AF398">
        <v>24.953676000000002</v>
      </c>
      <c r="AG398">
        <v>24.65061</v>
      </c>
    </row>
    <row r="399" spans="1:33" x14ac:dyDescent="0.25">
      <c r="A399" s="1">
        <v>44450</v>
      </c>
      <c r="B399">
        <v>20.909234999999999</v>
      </c>
      <c r="C399">
        <v>21.235627999999998</v>
      </c>
      <c r="D399">
        <v>20.8171</v>
      </c>
      <c r="E399">
        <v>20.682729999999999</v>
      </c>
      <c r="F399">
        <v>20.794070000000001</v>
      </c>
      <c r="G399">
        <v>20.955052999999999</v>
      </c>
      <c r="H399">
        <v>19.896252</v>
      </c>
      <c r="I399">
        <v>20.418783000000001</v>
      </c>
      <c r="J399">
        <v>23.023499999999999</v>
      </c>
      <c r="K399">
        <v>22.851959999999998</v>
      </c>
      <c r="L399">
        <v>23.058800000000002</v>
      </c>
      <c r="M399">
        <v>21.147161000000001</v>
      </c>
      <c r="N399">
        <v>21.533042999999999</v>
      </c>
      <c r="O399">
        <v>22.867674000000001</v>
      </c>
      <c r="P399">
        <v>22.403272999999999</v>
      </c>
      <c r="Q399">
        <v>21.175789999999999</v>
      </c>
      <c r="R399">
        <v>22.803588999999999</v>
      </c>
      <c r="S399">
        <v>20.636862000000001</v>
      </c>
      <c r="T399">
        <v>22.104322</v>
      </c>
      <c r="U399">
        <v>22.953384</v>
      </c>
      <c r="V399">
        <v>22.348579999999998</v>
      </c>
      <c r="W399">
        <v>22.985071000000001</v>
      </c>
      <c r="X399">
        <v>22.576996000000001</v>
      </c>
      <c r="Y399">
        <v>24.047063999999999</v>
      </c>
      <c r="Z399">
        <v>23.508474</v>
      </c>
      <c r="AA399">
        <v>24.862953000000001</v>
      </c>
      <c r="AB399">
        <v>24.216813999999999</v>
      </c>
      <c r="AC399">
        <v>23.206258999999999</v>
      </c>
      <c r="AD399">
        <v>23.271708</v>
      </c>
      <c r="AE399">
        <v>22.17801</v>
      </c>
      <c r="AF399">
        <v>24.886972</v>
      </c>
      <c r="AG399">
        <v>24.527372</v>
      </c>
    </row>
    <row r="400" spans="1:33" x14ac:dyDescent="0.25">
      <c r="A400" s="1">
        <v>44451</v>
      </c>
      <c r="B400">
        <v>20.866426000000001</v>
      </c>
      <c r="C400">
        <v>21.256316999999999</v>
      </c>
      <c r="D400">
        <v>20.787548000000001</v>
      </c>
      <c r="E400">
        <v>20.663</v>
      </c>
      <c r="F400">
        <v>20.769186000000001</v>
      </c>
      <c r="G400">
        <v>20.887803999999999</v>
      </c>
      <c r="H400">
        <v>19.768225000000001</v>
      </c>
      <c r="I400">
        <v>20.052330000000001</v>
      </c>
      <c r="J400">
        <v>22.864682999999999</v>
      </c>
      <c r="K400">
        <v>22.824293000000001</v>
      </c>
      <c r="L400">
        <v>23.054445000000001</v>
      </c>
      <c r="M400">
        <v>21.103804</v>
      </c>
      <c r="N400">
        <v>21.489594</v>
      </c>
      <c r="O400">
        <v>22.905909000000001</v>
      </c>
      <c r="P400">
        <v>22.364104999999999</v>
      </c>
      <c r="Q400">
        <v>21.135546000000001</v>
      </c>
      <c r="R400">
        <v>22.82517</v>
      </c>
      <c r="S400">
        <v>20.364794</v>
      </c>
      <c r="T400">
        <v>22.108269</v>
      </c>
      <c r="U400">
        <v>23.051649999999999</v>
      </c>
      <c r="V400">
        <v>22.378174000000001</v>
      </c>
      <c r="W400">
        <v>23.007027000000001</v>
      </c>
      <c r="X400">
        <v>22.655504000000001</v>
      </c>
      <c r="Y400">
        <v>24.117529000000001</v>
      </c>
      <c r="Z400">
        <v>23.405419999999999</v>
      </c>
      <c r="AA400">
        <v>24.717375000000001</v>
      </c>
      <c r="AB400">
        <v>24.289541</v>
      </c>
      <c r="AC400">
        <v>22.966784000000001</v>
      </c>
      <c r="AD400">
        <v>23.269842000000001</v>
      </c>
      <c r="AE400">
        <v>22.106446999999999</v>
      </c>
      <c r="AF400">
        <v>24.890625</v>
      </c>
      <c r="AG400">
        <v>24.543952999999998</v>
      </c>
    </row>
    <row r="401" spans="1:33" x14ac:dyDescent="0.25">
      <c r="A401" s="1">
        <v>44452</v>
      </c>
      <c r="B401">
        <v>21.120687</v>
      </c>
      <c r="C401">
        <v>21.371153</v>
      </c>
      <c r="D401">
        <v>20.883848</v>
      </c>
      <c r="E401">
        <v>20.754213</v>
      </c>
      <c r="F401">
        <v>20.956982</v>
      </c>
      <c r="G401">
        <v>20.916699999999999</v>
      </c>
      <c r="H401">
        <v>19.782927000000001</v>
      </c>
      <c r="I401">
        <v>20.244741000000001</v>
      </c>
      <c r="J401">
        <v>23.003409999999999</v>
      </c>
      <c r="K401">
        <v>22.902414</v>
      </c>
      <c r="L401">
        <v>23.161057</v>
      </c>
      <c r="M401">
        <v>21.151188000000001</v>
      </c>
      <c r="N401">
        <v>21.601469000000002</v>
      </c>
      <c r="O401">
        <v>23.041205999999999</v>
      </c>
      <c r="P401">
        <v>22.422561999999999</v>
      </c>
      <c r="Q401">
        <v>21.178536999999999</v>
      </c>
      <c r="R401">
        <v>22.926033</v>
      </c>
      <c r="S401">
        <v>20.554334999999998</v>
      </c>
      <c r="T401">
        <v>22.27581</v>
      </c>
      <c r="U401">
        <v>23.233912</v>
      </c>
      <c r="V401">
        <v>22.656706</v>
      </c>
      <c r="W401">
        <v>23.004411999999999</v>
      </c>
      <c r="X401">
        <v>22.985112999999998</v>
      </c>
      <c r="Y401">
        <v>24.274246000000002</v>
      </c>
      <c r="Z401">
        <v>23.395987000000002</v>
      </c>
      <c r="AA401">
        <v>24.699922999999998</v>
      </c>
      <c r="AB401">
        <v>24.414926999999999</v>
      </c>
      <c r="AC401">
        <v>23.000254000000002</v>
      </c>
      <c r="AD401">
        <v>23.349958000000001</v>
      </c>
      <c r="AE401">
        <v>22.276468000000001</v>
      </c>
      <c r="AF401">
        <v>24.938929000000002</v>
      </c>
      <c r="AG401">
        <v>24.571449999999999</v>
      </c>
    </row>
    <row r="402" spans="1:33" x14ac:dyDescent="0.25">
      <c r="A402" s="1">
        <v>44453</v>
      </c>
      <c r="B402">
        <v>21.059391000000002</v>
      </c>
      <c r="C402">
        <v>21.247057000000002</v>
      </c>
      <c r="D402">
        <v>20.952826000000002</v>
      </c>
      <c r="E402">
        <v>20.734867000000001</v>
      </c>
      <c r="F402">
        <v>20.886949999999999</v>
      </c>
      <c r="G402">
        <v>20.862822999999999</v>
      </c>
      <c r="H402">
        <v>19.584105999999998</v>
      </c>
      <c r="I402">
        <v>20.149227</v>
      </c>
      <c r="J402">
        <v>22.898454999999998</v>
      </c>
      <c r="K402">
        <v>22.956496999999999</v>
      </c>
      <c r="L402">
        <v>23.158152000000001</v>
      </c>
      <c r="M402">
        <v>21.077649999999998</v>
      </c>
      <c r="N402">
        <v>21.584219000000001</v>
      </c>
      <c r="O402">
        <v>23.023399999999999</v>
      </c>
      <c r="P402">
        <v>22.415827</v>
      </c>
      <c r="Q402">
        <v>21.140518</v>
      </c>
      <c r="R402">
        <v>22.904669999999999</v>
      </c>
      <c r="S402">
        <v>20.498873</v>
      </c>
      <c r="T402">
        <v>22.335225999999999</v>
      </c>
      <c r="U402">
        <v>23.392890000000001</v>
      </c>
      <c r="V402">
        <v>22.833383999999999</v>
      </c>
      <c r="W402">
        <v>23.032392999999999</v>
      </c>
      <c r="X402">
        <v>23.157944000000001</v>
      </c>
      <c r="Y402">
        <v>24.332671999999999</v>
      </c>
      <c r="Z402">
        <v>23.478304000000001</v>
      </c>
      <c r="AA402">
        <v>24.668662999999999</v>
      </c>
      <c r="AB402">
        <v>24.419409999999999</v>
      </c>
      <c r="AC402">
        <v>23.009916</v>
      </c>
      <c r="AD402">
        <v>23.343070000000001</v>
      </c>
      <c r="AE402">
        <v>22.071594000000001</v>
      </c>
      <c r="AF402">
        <v>24.944648999999998</v>
      </c>
      <c r="AG402">
        <v>24.489794</v>
      </c>
    </row>
    <row r="403" spans="1:33" x14ac:dyDescent="0.25">
      <c r="A403" s="1">
        <v>44454</v>
      </c>
      <c r="B403">
        <v>20.544969999999999</v>
      </c>
      <c r="C403">
        <v>20.885964999999999</v>
      </c>
      <c r="D403">
        <v>20.665579000000001</v>
      </c>
      <c r="E403">
        <v>20.344107000000001</v>
      </c>
      <c r="F403">
        <v>20.492432000000001</v>
      </c>
      <c r="G403">
        <v>20.654284000000001</v>
      </c>
      <c r="H403">
        <v>19.316739999999999</v>
      </c>
      <c r="I403">
        <v>19.411432000000001</v>
      </c>
      <c r="J403">
        <v>22.307894000000001</v>
      </c>
      <c r="K403">
        <v>22.719978000000001</v>
      </c>
      <c r="L403">
        <v>22.855553</v>
      </c>
      <c r="M403">
        <v>20.815169999999998</v>
      </c>
      <c r="N403">
        <v>21.305444999999999</v>
      </c>
      <c r="O403">
        <v>22.730879999999999</v>
      </c>
      <c r="P403">
        <v>22.183579999999999</v>
      </c>
      <c r="Q403">
        <v>20.905477999999999</v>
      </c>
      <c r="R403">
        <v>22.624374</v>
      </c>
      <c r="S403">
        <v>19.680710000000001</v>
      </c>
      <c r="T403">
        <v>21.987449999999999</v>
      </c>
      <c r="U403">
        <v>23.240973</v>
      </c>
      <c r="V403">
        <v>22.424910000000001</v>
      </c>
      <c r="W403">
        <v>22.938139</v>
      </c>
      <c r="X403">
        <v>22.759598</v>
      </c>
      <c r="Y403">
        <v>24.313092999999999</v>
      </c>
      <c r="Z403">
        <v>23.249922000000002</v>
      </c>
      <c r="AA403">
        <v>24.530542000000001</v>
      </c>
      <c r="AB403">
        <v>24.385445000000001</v>
      </c>
      <c r="AC403">
        <v>23.004394999999999</v>
      </c>
      <c r="AD403">
        <v>23.107023000000002</v>
      </c>
      <c r="AE403">
        <v>22.215864</v>
      </c>
      <c r="AF403">
        <v>24.872633</v>
      </c>
      <c r="AG403">
        <v>24.390339999999998</v>
      </c>
    </row>
    <row r="404" spans="1:33" x14ac:dyDescent="0.25">
      <c r="A404" s="1">
        <v>44455</v>
      </c>
      <c r="B404">
        <v>19.893370000000001</v>
      </c>
      <c r="C404">
        <v>20.457470000000001</v>
      </c>
      <c r="D404">
        <v>20.078043000000001</v>
      </c>
      <c r="E404">
        <v>19.794176</v>
      </c>
      <c r="F404">
        <v>20.069025</v>
      </c>
      <c r="G404">
        <v>20.30894</v>
      </c>
      <c r="H404">
        <v>19.111712000000001</v>
      </c>
      <c r="I404">
        <v>18.777163000000002</v>
      </c>
      <c r="J404">
        <v>21.614415999999999</v>
      </c>
      <c r="K404">
        <v>22.402428</v>
      </c>
      <c r="L404">
        <v>22.369116000000002</v>
      </c>
      <c r="M404">
        <v>20.4697</v>
      </c>
      <c r="N404">
        <v>20.955819999999999</v>
      </c>
      <c r="O404">
        <v>22.333096999999999</v>
      </c>
      <c r="P404">
        <v>21.812670000000001</v>
      </c>
      <c r="Q404">
        <v>20.526395999999998</v>
      </c>
      <c r="R404">
        <v>22.244453</v>
      </c>
      <c r="S404">
        <v>18.706838999999999</v>
      </c>
      <c r="T404">
        <v>21.415436</v>
      </c>
      <c r="U404">
        <v>22.879517</v>
      </c>
      <c r="V404">
        <v>21.929639999999999</v>
      </c>
      <c r="W404">
        <v>22.538243999999999</v>
      </c>
      <c r="X404">
        <v>22.237358</v>
      </c>
      <c r="Y404">
        <v>24.087942000000002</v>
      </c>
      <c r="Z404">
        <v>22.803872999999999</v>
      </c>
      <c r="AA404">
        <v>24.232862000000001</v>
      </c>
      <c r="AB404">
        <v>24.156013000000002</v>
      </c>
      <c r="AC404">
        <v>22.750136999999999</v>
      </c>
      <c r="AD404">
        <v>22.747672999999999</v>
      </c>
      <c r="AE404">
        <v>21.877915999999999</v>
      </c>
      <c r="AF404">
        <v>24.698395000000001</v>
      </c>
      <c r="AG404">
        <v>24.032492000000001</v>
      </c>
    </row>
    <row r="405" spans="1:33" x14ac:dyDescent="0.25">
      <c r="A405" s="1">
        <v>44456</v>
      </c>
      <c r="B405">
        <v>19.56296</v>
      </c>
      <c r="C405">
        <v>20.225822000000001</v>
      </c>
      <c r="D405">
        <v>19.649225000000001</v>
      </c>
      <c r="E405">
        <v>19.451733000000001</v>
      </c>
      <c r="F405">
        <v>19.863105999999998</v>
      </c>
      <c r="G405">
        <v>20.100453999999999</v>
      </c>
      <c r="H405">
        <v>18.86477</v>
      </c>
      <c r="I405">
        <v>18.416878000000001</v>
      </c>
      <c r="J405">
        <v>21.374597999999999</v>
      </c>
      <c r="K405">
        <v>22.236533999999999</v>
      </c>
      <c r="L405">
        <v>22.141603</v>
      </c>
      <c r="M405">
        <v>20.251059999999999</v>
      </c>
      <c r="N405">
        <v>20.762383</v>
      </c>
      <c r="O405">
        <v>22.120031000000001</v>
      </c>
      <c r="P405">
        <v>21.625478999999999</v>
      </c>
      <c r="Q405">
        <v>20.323540000000001</v>
      </c>
      <c r="R405">
        <v>22.058679999999999</v>
      </c>
      <c r="S405">
        <v>18.201402999999999</v>
      </c>
      <c r="T405">
        <v>21.077663000000001</v>
      </c>
      <c r="U405">
        <v>22.378882999999998</v>
      </c>
      <c r="V405">
        <v>21.652208000000002</v>
      </c>
      <c r="W405">
        <v>22.068062000000001</v>
      </c>
      <c r="X405">
        <v>21.939957</v>
      </c>
      <c r="Y405">
        <v>23.845444000000001</v>
      </c>
      <c r="Z405">
        <v>22.533895000000001</v>
      </c>
      <c r="AA405">
        <v>24.027746</v>
      </c>
      <c r="AB405">
        <v>23.924917000000001</v>
      </c>
      <c r="AC405">
        <v>22.456907000000001</v>
      </c>
      <c r="AD405">
        <v>22.498740000000002</v>
      </c>
      <c r="AE405">
        <v>21.569303999999999</v>
      </c>
      <c r="AF405">
        <v>24.534186999999999</v>
      </c>
      <c r="AG405">
        <v>23.751802000000001</v>
      </c>
    </row>
    <row r="406" spans="1:33" x14ac:dyDescent="0.25">
      <c r="A406" s="1">
        <v>44457</v>
      </c>
      <c r="B406">
        <v>19.083752</v>
      </c>
      <c r="C406">
        <v>20.033773</v>
      </c>
      <c r="D406">
        <v>19.261541000000001</v>
      </c>
      <c r="E406">
        <v>19.016020000000001</v>
      </c>
      <c r="F406">
        <v>19.628736</v>
      </c>
      <c r="G406">
        <v>19.889424999999999</v>
      </c>
      <c r="H406">
        <v>18.636602</v>
      </c>
      <c r="I406">
        <v>18.265535</v>
      </c>
      <c r="J406">
        <v>21.020337999999999</v>
      </c>
      <c r="K406">
        <v>21.987648</v>
      </c>
      <c r="L406">
        <v>21.822801999999999</v>
      </c>
      <c r="M406">
        <v>20.047751999999999</v>
      </c>
      <c r="N406">
        <v>20.510109</v>
      </c>
      <c r="O406">
        <v>21.807283000000002</v>
      </c>
      <c r="P406">
        <v>21.419744000000001</v>
      </c>
      <c r="Q406">
        <v>20.107374</v>
      </c>
      <c r="R406">
        <v>21.744705</v>
      </c>
      <c r="S406">
        <v>17.922636000000001</v>
      </c>
      <c r="T406">
        <v>20.699466999999999</v>
      </c>
      <c r="U406">
        <v>21.784856999999999</v>
      </c>
      <c r="V406">
        <v>21.289421000000001</v>
      </c>
      <c r="W406">
        <v>21.435175000000001</v>
      </c>
      <c r="X406">
        <v>21.537409</v>
      </c>
      <c r="Y406">
        <v>23.464914</v>
      </c>
      <c r="Z406">
        <v>22.185179999999999</v>
      </c>
      <c r="AA406">
        <v>23.69605</v>
      </c>
      <c r="AB406">
        <v>23.534378</v>
      </c>
      <c r="AC406">
        <v>22.118189000000001</v>
      </c>
      <c r="AD406">
        <v>22.206827000000001</v>
      </c>
      <c r="AE406">
        <v>21.294111000000001</v>
      </c>
      <c r="AF406">
        <v>24.311934999999998</v>
      </c>
      <c r="AG406">
        <v>23.294785000000001</v>
      </c>
    </row>
    <row r="407" spans="1:33" x14ac:dyDescent="0.25">
      <c r="A407" s="1">
        <v>44458</v>
      </c>
      <c r="B407">
        <v>19.227198000000001</v>
      </c>
      <c r="C407">
        <v>20.232527000000001</v>
      </c>
      <c r="D407">
        <v>19.430682999999998</v>
      </c>
      <c r="E407">
        <v>19.024553000000001</v>
      </c>
      <c r="F407">
        <v>19.838536999999999</v>
      </c>
      <c r="G407">
        <v>19.953437999999998</v>
      </c>
      <c r="H407">
        <v>18.759679999999999</v>
      </c>
      <c r="I407">
        <v>18.839897000000001</v>
      </c>
      <c r="J407">
        <v>21.101347000000001</v>
      </c>
      <c r="K407">
        <v>21.879971999999999</v>
      </c>
      <c r="L407">
        <v>21.829419999999999</v>
      </c>
      <c r="M407">
        <v>20.115997</v>
      </c>
      <c r="N407">
        <v>20.586946000000001</v>
      </c>
      <c r="O407">
        <v>21.843048</v>
      </c>
      <c r="P407">
        <v>21.399802999999999</v>
      </c>
      <c r="Q407">
        <v>20.175463000000001</v>
      </c>
      <c r="R407">
        <v>21.766328999999999</v>
      </c>
      <c r="S407">
        <v>18.485226000000001</v>
      </c>
      <c r="T407">
        <v>20.722926999999999</v>
      </c>
      <c r="U407">
        <v>21.418222</v>
      </c>
      <c r="V407">
        <v>21.381205000000001</v>
      </c>
      <c r="W407">
        <v>21.093039000000001</v>
      </c>
      <c r="X407">
        <v>21.603994</v>
      </c>
      <c r="Y407">
        <v>23.125692000000001</v>
      </c>
      <c r="Z407">
        <v>22.144407000000001</v>
      </c>
      <c r="AA407">
        <v>23.450453</v>
      </c>
      <c r="AB407">
        <v>23.224609999999998</v>
      </c>
      <c r="AC407">
        <v>21.721696999999999</v>
      </c>
      <c r="AD407">
        <v>22.137833000000001</v>
      </c>
      <c r="AE407">
        <v>21.380731999999998</v>
      </c>
      <c r="AF407">
        <v>24.112473000000001</v>
      </c>
      <c r="AG407">
        <v>23.050186</v>
      </c>
    </row>
    <row r="408" spans="1:33" x14ac:dyDescent="0.25">
      <c r="A408" s="1">
        <v>44459</v>
      </c>
      <c r="B408">
        <v>19.278511000000002</v>
      </c>
      <c r="C408">
        <v>20.293489999999998</v>
      </c>
      <c r="D408">
        <v>19.655843999999998</v>
      </c>
      <c r="E408">
        <v>19.103617</v>
      </c>
      <c r="F408">
        <v>19.918839999999999</v>
      </c>
      <c r="G408">
        <v>19.965375999999999</v>
      </c>
      <c r="H408">
        <v>18.873657000000001</v>
      </c>
      <c r="I408">
        <v>19.253814999999999</v>
      </c>
      <c r="J408">
        <v>20.828661</v>
      </c>
      <c r="K408">
        <v>21.774457999999999</v>
      </c>
      <c r="L408">
        <v>21.697514999999999</v>
      </c>
      <c r="M408">
        <v>20.123697</v>
      </c>
      <c r="N408">
        <v>20.556873</v>
      </c>
      <c r="O408">
        <v>21.714179999999999</v>
      </c>
      <c r="P408">
        <v>21.327539999999999</v>
      </c>
      <c r="Q408">
        <v>20.194106999999999</v>
      </c>
      <c r="R408">
        <v>21.655519999999999</v>
      </c>
      <c r="S408">
        <v>18.430485000000001</v>
      </c>
      <c r="T408">
        <v>20.670390000000001</v>
      </c>
      <c r="U408">
        <v>21.170774000000002</v>
      </c>
      <c r="V408">
        <v>21.206648000000001</v>
      </c>
      <c r="W408">
        <v>20.770703999999999</v>
      </c>
      <c r="X408">
        <v>21.435127000000001</v>
      </c>
      <c r="Y408">
        <v>22.717295</v>
      </c>
      <c r="Z408">
        <v>21.961245000000002</v>
      </c>
      <c r="AA408">
        <v>23.142014</v>
      </c>
      <c r="AB408">
        <v>22.783048999999998</v>
      </c>
      <c r="AC408">
        <v>20.928256999999999</v>
      </c>
      <c r="AD408">
        <v>21.994802</v>
      </c>
      <c r="AE408">
        <v>20.884823000000001</v>
      </c>
      <c r="AF408">
        <v>23.796173</v>
      </c>
      <c r="AG408">
        <v>22.639135</v>
      </c>
    </row>
    <row r="409" spans="1:33" x14ac:dyDescent="0.25">
      <c r="A409" s="1">
        <v>44460</v>
      </c>
      <c r="B409">
        <v>19.568964000000001</v>
      </c>
      <c r="C409">
        <v>20.511590999999999</v>
      </c>
      <c r="D409">
        <v>19.924320000000002</v>
      </c>
      <c r="E409">
        <v>19.352491000000001</v>
      </c>
      <c r="F409">
        <v>20.164639000000001</v>
      </c>
      <c r="G409">
        <v>20.107136000000001</v>
      </c>
      <c r="H409">
        <v>19.020849999999999</v>
      </c>
      <c r="I409">
        <v>19.833528999999999</v>
      </c>
      <c r="J409">
        <v>21.118079999999999</v>
      </c>
      <c r="K409">
        <v>21.893744999999999</v>
      </c>
      <c r="L409">
        <v>21.782966999999999</v>
      </c>
      <c r="M409">
        <v>20.275400000000001</v>
      </c>
      <c r="N409">
        <v>20.693247</v>
      </c>
      <c r="O409">
        <v>21.753890999999999</v>
      </c>
      <c r="P409">
        <v>21.382057</v>
      </c>
      <c r="Q409">
        <v>20.339044999999999</v>
      </c>
      <c r="R409">
        <v>21.700026000000001</v>
      </c>
      <c r="S409">
        <v>18.636327999999999</v>
      </c>
      <c r="T409">
        <v>20.79899</v>
      </c>
      <c r="U409">
        <v>21.393139999999999</v>
      </c>
      <c r="V409">
        <v>21.194095999999998</v>
      </c>
      <c r="W409">
        <v>20.768816000000001</v>
      </c>
      <c r="X409">
        <v>21.342500000000001</v>
      </c>
      <c r="Y409">
        <v>22.586504000000001</v>
      </c>
      <c r="Z409">
        <v>22.000260999999998</v>
      </c>
      <c r="AA409">
        <v>23.092043</v>
      </c>
      <c r="AB409">
        <v>22.629251</v>
      </c>
      <c r="AC409">
        <v>20.521889999999999</v>
      </c>
      <c r="AD409">
        <v>21.981940000000002</v>
      </c>
      <c r="AE409">
        <v>20.791343999999999</v>
      </c>
      <c r="AF409">
        <v>23.668402</v>
      </c>
      <c r="AG409">
        <v>22.650452000000001</v>
      </c>
    </row>
    <row r="410" spans="1:33" x14ac:dyDescent="0.25">
      <c r="A410" s="1">
        <v>44461</v>
      </c>
      <c r="B410">
        <v>19.733115999999999</v>
      </c>
      <c r="C410">
        <v>20.510683</v>
      </c>
      <c r="D410">
        <v>20.070055</v>
      </c>
      <c r="E410">
        <v>19.625371999999999</v>
      </c>
      <c r="F410">
        <v>20.11016</v>
      </c>
      <c r="G410">
        <v>20.130628999999999</v>
      </c>
      <c r="H410">
        <v>18.888231000000001</v>
      </c>
      <c r="I410">
        <v>19.756399999999999</v>
      </c>
      <c r="J410">
        <v>21.216906000000002</v>
      </c>
      <c r="K410">
        <v>21.827100000000002</v>
      </c>
      <c r="L410">
        <v>21.756989000000001</v>
      </c>
      <c r="M410">
        <v>20.285996999999998</v>
      </c>
      <c r="N410">
        <v>20.630140000000001</v>
      </c>
      <c r="O410">
        <v>21.701889000000001</v>
      </c>
      <c r="P410">
        <v>21.312889999999999</v>
      </c>
      <c r="Q410">
        <v>20.353607</v>
      </c>
      <c r="R410">
        <v>21.645551999999999</v>
      </c>
      <c r="S410">
        <v>18.949465</v>
      </c>
      <c r="T410">
        <v>20.788813000000001</v>
      </c>
      <c r="U410">
        <v>21.586248000000001</v>
      </c>
      <c r="V410">
        <v>21.056865999999999</v>
      </c>
      <c r="W410">
        <v>20.678457000000002</v>
      </c>
      <c r="X410">
        <v>21.188925000000001</v>
      </c>
      <c r="Y410">
        <v>22.701643000000001</v>
      </c>
      <c r="Z410">
        <v>22.118189000000001</v>
      </c>
      <c r="AA410">
        <v>23.163457999999999</v>
      </c>
      <c r="AB410">
        <v>22.729150000000001</v>
      </c>
      <c r="AC410">
        <v>20.706833</v>
      </c>
      <c r="AD410">
        <v>21.954495999999999</v>
      </c>
      <c r="AE410">
        <v>21.545152999999999</v>
      </c>
      <c r="AF410">
        <v>23.710129999999999</v>
      </c>
      <c r="AG410">
        <v>22.871009999999998</v>
      </c>
    </row>
    <row r="411" spans="1:33" x14ac:dyDescent="0.25">
      <c r="A411" s="1">
        <v>44462</v>
      </c>
      <c r="B411">
        <v>19.821850000000001</v>
      </c>
      <c r="C411">
        <v>20.44134</v>
      </c>
      <c r="D411">
        <v>20.158868999999999</v>
      </c>
      <c r="E411">
        <v>19.743314999999999</v>
      </c>
      <c r="F411">
        <v>20.023530999999998</v>
      </c>
      <c r="G411">
        <v>20.082380000000001</v>
      </c>
      <c r="H411">
        <v>18.860294</v>
      </c>
      <c r="I411">
        <v>19.563272000000001</v>
      </c>
      <c r="J411">
        <v>21.172747000000001</v>
      </c>
      <c r="K411">
        <v>21.751283999999998</v>
      </c>
      <c r="L411">
        <v>21.710730000000002</v>
      </c>
      <c r="M411">
        <v>20.230163999999998</v>
      </c>
      <c r="N411">
        <v>20.567339</v>
      </c>
      <c r="O411">
        <v>21.670211999999999</v>
      </c>
      <c r="P411">
        <v>21.236940000000001</v>
      </c>
      <c r="Q411">
        <v>20.296569999999999</v>
      </c>
      <c r="R411">
        <v>21.610243000000001</v>
      </c>
      <c r="S411">
        <v>18.94631</v>
      </c>
      <c r="T411">
        <v>20.725994</v>
      </c>
      <c r="U411">
        <v>21.740480000000002</v>
      </c>
      <c r="V411">
        <v>20.955570000000002</v>
      </c>
      <c r="W411">
        <v>20.542864000000002</v>
      </c>
      <c r="X411">
        <v>21.078344000000001</v>
      </c>
      <c r="Y411">
        <v>22.655934999999999</v>
      </c>
      <c r="Z411">
        <v>22.153582</v>
      </c>
      <c r="AA411">
        <v>23.111801</v>
      </c>
      <c r="AB411">
        <v>22.708518999999999</v>
      </c>
      <c r="AC411">
        <v>20.782087000000001</v>
      </c>
      <c r="AD411">
        <v>21.911439999999999</v>
      </c>
      <c r="AE411">
        <v>21.672709000000001</v>
      </c>
      <c r="AF411">
        <v>23.684000000000001</v>
      </c>
      <c r="AG411">
        <v>22.876694000000001</v>
      </c>
    </row>
    <row r="412" spans="1:33" x14ac:dyDescent="0.25">
      <c r="A412" s="1">
        <v>44463</v>
      </c>
      <c r="B412">
        <v>20.114660000000001</v>
      </c>
      <c r="C412">
        <v>20.471122999999999</v>
      </c>
      <c r="D412">
        <v>20.319979</v>
      </c>
      <c r="E412">
        <v>19.928004999999999</v>
      </c>
      <c r="F412">
        <v>20.072744</v>
      </c>
      <c r="G412">
        <v>20.130514000000002</v>
      </c>
      <c r="H412">
        <v>18.87163</v>
      </c>
      <c r="I412">
        <v>19.7378</v>
      </c>
      <c r="J412">
        <v>21.330227000000001</v>
      </c>
      <c r="K412">
        <v>21.819817</v>
      </c>
      <c r="L412">
        <v>21.778725000000001</v>
      </c>
      <c r="M412">
        <v>20.314981</v>
      </c>
      <c r="N412">
        <v>20.703623</v>
      </c>
      <c r="O412">
        <v>21.706903000000001</v>
      </c>
      <c r="P412">
        <v>21.292059999999999</v>
      </c>
      <c r="Q412">
        <v>20.365300999999999</v>
      </c>
      <c r="R412">
        <v>21.640640000000001</v>
      </c>
      <c r="S412">
        <v>19.299246</v>
      </c>
      <c r="T412">
        <v>20.843088000000002</v>
      </c>
      <c r="U412">
        <v>21.255873000000001</v>
      </c>
      <c r="V412">
        <v>21.050882000000001</v>
      </c>
      <c r="W412">
        <v>20.488185999999999</v>
      </c>
      <c r="X412">
        <v>21.169119999999999</v>
      </c>
      <c r="Y412">
        <v>22.692596000000002</v>
      </c>
      <c r="Z412">
        <v>22.208893</v>
      </c>
      <c r="AA412">
        <v>23.098203999999999</v>
      </c>
      <c r="AB412">
        <v>22.711715999999999</v>
      </c>
      <c r="AC412">
        <v>20.85726</v>
      </c>
      <c r="AD412">
        <v>21.938948</v>
      </c>
      <c r="AE412">
        <v>21.314624999999999</v>
      </c>
      <c r="AF412">
        <v>23.65361</v>
      </c>
      <c r="AG412">
        <v>22.903943999999999</v>
      </c>
    </row>
    <row r="413" spans="1:33" x14ac:dyDescent="0.25">
      <c r="A413" s="1">
        <v>44464</v>
      </c>
      <c r="B413">
        <v>19.727816000000001</v>
      </c>
      <c r="C413">
        <v>20.17306</v>
      </c>
      <c r="D413">
        <v>20.125412000000001</v>
      </c>
      <c r="E413">
        <v>19.752130000000001</v>
      </c>
      <c r="F413">
        <v>19.64574</v>
      </c>
      <c r="G413">
        <v>19.980512999999998</v>
      </c>
      <c r="H413">
        <v>18.677612</v>
      </c>
      <c r="I413">
        <v>18.977993000000001</v>
      </c>
      <c r="J413">
        <v>20.898115000000001</v>
      </c>
      <c r="K413">
        <v>21.623252999999998</v>
      </c>
      <c r="L413">
        <v>21.624234999999999</v>
      </c>
      <c r="M413">
        <v>20.08859</v>
      </c>
      <c r="N413">
        <v>20.438455999999999</v>
      </c>
      <c r="O413">
        <v>21.529938000000001</v>
      </c>
      <c r="P413">
        <v>21.093292000000002</v>
      </c>
      <c r="Q413">
        <v>20.208722999999999</v>
      </c>
      <c r="R413">
        <v>21.473579999999998</v>
      </c>
      <c r="S413">
        <v>18.775648</v>
      </c>
      <c r="T413">
        <v>20.631869999999999</v>
      </c>
      <c r="U413">
        <v>20.492636000000001</v>
      </c>
      <c r="V413">
        <v>20.721342</v>
      </c>
      <c r="W413">
        <v>20.269423</v>
      </c>
      <c r="X413">
        <v>20.821542999999998</v>
      </c>
      <c r="Y413">
        <v>22.641752</v>
      </c>
      <c r="Z413">
        <v>22.008794999999999</v>
      </c>
      <c r="AA413">
        <v>23.018763</v>
      </c>
      <c r="AB413">
        <v>22.651883999999999</v>
      </c>
      <c r="AC413">
        <v>20.86487</v>
      </c>
      <c r="AD413">
        <v>21.814133000000002</v>
      </c>
      <c r="AE413">
        <v>21.361630999999999</v>
      </c>
      <c r="AF413">
        <v>23.573706000000001</v>
      </c>
      <c r="AG413">
        <v>22.828040000000001</v>
      </c>
    </row>
    <row r="414" spans="1:33" x14ac:dyDescent="0.25">
      <c r="A414" s="1">
        <v>44465</v>
      </c>
      <c r="B414">
        <v>19.440574999999999</v>
      </c>
      <c r="C414">
        <v>19.889524000000002</v>
      </c>
      <c r="D414">
        <v>19.784352999999999</v>
      </c>
      <c r="E414">
        <v>19.50553</v>
      </c>
      <c r="F414">
        <v>19.406096000000002</v>
      </c>
      <c r="G414">
        <v>19.7226</v>
      </c>
      <c r="H414">
        <v>18.502082999999999</v>
      </c>
      <c r="I414">
        <v>18.485720000000001</v>
      </c>
      <c r="J414">
        <v>20.310972</v>
      </c>
      <c r="K414">
        <v>21.326512999999998</v>
      </c>
      <c r="L414">
        <v>21.291042000000001</v>
      </c>
      <c r="M414">
        <v>19.830947999999999</v>
      </c>
      <c r="N414">
        <v>20.165631999999999</v>
      </c>
      <c r="O414">
        <v>21.221464000000001</v>
      </c>
      <c r="P414">
        <v>20.822105000000001</v>
      </c>
      <c r="Q414">
        <v>19.929463999999999</v>
      </c>
      <c r="R414">
        <v>21.187951999999999</v>
      </c>
      <c r="S414">
        <v>18.183070000000001</v>
      </c>
      <c r="T414">
        <v>20.282475999999999</v>
      </c>
      <c r="U414">
        <v>20.214354</v>
      </c>
      <c r="V414">
        <v>20.389779999999998</v>
      </c>
      <c r="W414">
        <v>20.109891999999999</v>
      </c>
      <c r="X414">
        <v>20.47636</v>
      </c>
      <c r="Y414">
        <v>22.454063000000001</v>
      </c>
      <c r="Z414">
        <v>21.548705999999999</v>
      </c>
      <c r="AA414">
        <v>22.849395999999999</v>
      </c>
      <c r="AB414">
        <v>22.451132000000001</v>
      </c>
      <c r="AC414">
        <v>20.720945</v>
      </c>
      <c r="AD414">
        <v>21.530214000000001</v>
      </c>
      <c r="AE414">
        <v>21.008338999999999</v>
      </c>
      <c r="AF414">
        <v>23.46227</v>
      </c>
      <c r="AG414">
        <v>22.644836000000002</v>
      </c>
    </row>
    <row r="415" spans="1:33" x14ac:dyDescent="0.25">
      <c r="A415" s="1">
        <v>44466</v>
      </c>
      <c r="B415">
        <v>19.067471999999999</v>
      </c>
      <c r="C415">
        <v>19.711205</v>
      </c>
      <c r="D415">
        <v>19.367422000000001</v>
      </c>
      <c r="E415">
        <v>19.175833000000001</v>
      </c>
      <c r="F415">
        <v>19.235323000000001</v>
      </c>
      <c r="G415">
        <v>19.44697</v>
      </c>
      <c r="H415">
        <v>18.309640000000002</v>
      </c>
      <c r="I415">
        <v>18.059760000000001</v>
      </c>
      <c r="J415">
        <v>19.784922000000002</v>
      </c>
      <c r="K415">
        <v>21.003050000000002</v>
      </c>
      <c r="L415">
        <v>20.933197</v>
      </c>
      <c r="M415">
        <v>19.610212000000001</v>
      </c>
      <c r="N415">
        <v>19.9222</v>
      </c>
      <c r="O415">
        <v>20.89359</v>
      </c>
      <c r="P415">
        <v>20.565957999999998</v>
      </c>
      <c r="Q415">
        <v>19.638286999999998</v>
      </c>
      <c r="R415">
        <v>20.881284999999998</v>
      </c>
      <c r="S415">
        <v>17.469798999999998</v>
      </c>
      <c r="T415">
        <v>19.884922</v>
      </c>
      <c r="U415">
        <v>20.018393</v>
      </c>
      <c r="V415">
        <v>20.052886999999998</v>
      </c>
      <c r="W415">
        <v>20.0579</v>
      </c>
      <c r="X415">
        <v>20.093260000000001</v>
      </c>
      <c r="Y415">
        <v>21.957139999999999</v>
      </c>
      <c r="Z415">
        <v>21.01174</v>
      </c>
      <c r="AA415">
        <v>22.561356</v>
      </c>
      <c r="AB415">
        <v>22.02665</v>
      </c>
      <c r="AC415">
        <v>20.206057000000001</v>
      </c>
      <c r="AD415">
        <v>21.216646000000001</v>
      </c>
      <c r="AE415">
        <v>20.136969000000001</v>
      </c>
      <c r="AF415">
        <v>23.259153000000001</v>
      </c>
      <c r="AG415">
        <v>22.223627</v>
      </c>
    </row>
    <row r="416" spans="1:33" x14ac:dyDescent="0.25">
      <c r="A416" s="1">
        <v>44467</v>
      </c>
      <c r="B416">
        <v>18.765540999999999</v>
      </c>
      <c r="C416">
        <v>19.413354999999999</v>
      </c>
      <c r="D416">
        <v>19.137450999999999</v>
      </c>
      <c r="E416">
        <v>18.933026999999999</v>
      </c>
      <c r="F416">
        <v>19.169267999999999</v>
      </c>
      <c r="G416">
        <v>19.297982999999999</v>
      </c>
      <c r="H416">
        <v>18.412289999999999</v>
      </c>
      <c r="I416">
        <v>17.945540000000001</v>
      </c>
      <c r="J416">
        <v>19.074169999999999</v>
      </c>
      <c r="K416">
        <v>20.699428999999999</v>
      </c>
      <c r="L416">
        <v>20.563662999999998</v>
      </c>
      <c r="M416">
        <v>19.419882000000001</v>
      </c>
      <c r="N416">
        <v>19.750902</v>
      </c>
      <c r="O416">
        <v>20.583812999999999</v>
      </c>
      <c r="P416">
        <v>20.267588</v>
      </c>
      <c r="Q416">
        <v>19.506685000000001</v>
      </c>
      <c r="R416">
        <v>20.587864</v>
      </c>
      <c r="S416">
        <v>17.332795999999998</v>
      </c>
      <c r="T416">
        <v>19.616495</v>
      </c>
      <c r="U416">
        <v>19.814222000000001</v>
      </c>
      <c r="V416">
        <v>19.732512</v>
      </c>
      <c r="W416">
        <v>19.925484000000001</v>
      </c>
      <c r="X416">
        <v>19.850394999999999</v>
      </c>
      <c r="Y416">
        <v>21.397238000000002</v>
      </c>
      <c r="Z416">
        <v>20.632186999999998</v>
      </c>
      <c r="AA416">
        <v>22.026228</v>
      </c>
      <c r="AB416">
        <v>21.551490000000001</v>
      </c>
      <c r="AC416">
        <v>19.446021999999999</v>
      </c>
      <c r="AD416">
        <v>20.889531999999999</v>
      </c>
      <c r="AE416">
        <v>19.422194000000001</v>
      </c>
      <c r="AF416">
        <v>22.811844000000001</v>
      </c>
      <c r="AG416">
        <v>21.534455999999999</v>
      </c>
    </row>
    <row r="417" spans="1:33" x14ac:dyDescent="0.25">
      <c r="A417" s="1">
        <v>44468</v>
      </c>
      <c r="B417">
        <v>18.626726000000001</v>
      </c>
      <c r="C417">
        <v>19.276105999999999</v>
      </c>
      <c r="D417">
        <v>18.965975</v>
      </c>
      <c r="E417">
        <v>18.761790999999999</v>
      </c>
      <c r="F417">
        <v>18.998873</v>
      </c>
      <c r="G417">
        <v>19.065863</v>
      </c>
      <c r="H417">
        <v>18.235766999999999</v>
      </c>
      <c r="I417">
        <v>17.736861999999999</v>
      </c>
      <c r="J417">
        <v>18.453351999999999</v>
      </c>
      <c r="K417">
        <v>20.442806000000001</v>
      </c>
      <c r="L417">
        <v>20.102930000000001</v>
      </c>
      <c r="M417">
        <v>19.152647000000002</v>
      </c>
      <c r="N417">
        <v>19.415457</v>
      </c>
      <c r="O417">
        <v>20.146849</v>
      </c>
      <c r="P417">
        <v>19.881133999999999</v>
      </c>
      <c r="Q417">
        <v>19.227177000000001</v>
      </c>
      <c r="R417">
        <v>20.232073</v>
      </c>
      <c r="S417">
        <v>16.310092999999998</v>
      </c>
      <c r="T417">
        <v>19.175263999999999</v>
      </c>
      <c r="U417">
        <v>19.485132</v>
      </c>
      <c r="V417">
        <v>19.409635999999999</v>
      </c>
      <c r="W417">
        <v>19.398008000000001</v>
      </c>
      <c r="X417">
        <v>19.524125999999999</v>
      </c>
      <c r="Y417">
        <v>20.719479</v>
      </c>
      <c r="Z417">
        <v>20.058274999999998</v>
      </c>
      <c r="AA417">
        <v>21.383424999999999</v>
      </c>
      <c r="AB417">
        <v>20.805821999999999</v>
      </c>
      <c r="AC417">
        <v>18.533083000000001</v>
      </c>
      <c r="AD417">
        <v>20.465406000000002</v>
      </c>
      <c r="AE417">
        <v>18.518414</v>
      </c>
      <c r="AF417">
        <v>22.292922999999998</v>
      </c>
      <c r="AG417">
        <v>20.744730000000001</v>
      </c>
    </row>
    <row r="418" spans="1:33" x14ac:dyDescent="0.25">
      <c r="A418" s="1">
        <v>44469</v>
      </c>
      <c r="B418">
        <v>18.916709999999998</v>
      </c>
      <c r="C418">
        <v>19.273520000000001</v>
      </c>
      <c r="D418">
        <v>18.967545999999999</v>
      </c>
      <c r="E418">
        <v>18.76361</v>
      </c>
      <c r="F418">
        <v>19.096495000000001</v>
      </c>
      <c r="G418">
        <v>18.993597000000001</v>
      </c>
      <c r="H418">
        <v>18.150824</v>
      </c>
      <c r="I418">
        <v>17.994976000000001</v>
      </c>
      <c r="J418">
        <v>18.578182000000002</v>
      </c>
      <c r="K418">
        <v>20.407019999999999</v>
      </c>
      <c r="L418">
        <v>20.022176999999999</v>
      </c>
      <c r="M418">
        <v>19.122726</v>
      </c>
      <c r="N418">
        <v>19.364080000000001</v>
      </c>
      <c r="O418">
        <v>20.082319999999999</v>
      </c>
      <c r="P418">
        <v>19.808502000000001</v>
      </c>
      <c r="Q418">
        <v>19.170846999999998</v>
      </c>
      <c r="R418">
        <v>20.126041000000001</v>
      </c>
      <c r="S418">
        <v>16.091546999999998</v>
      </c>
      <c r="T418">
        <v>19.094062999999998</v>
      </c>
      <c r="U418">
        <v>19.349516000000001</v>
      </c>
      <c r="V418">
        <v>19.443881999999999</v>
      </c>
      <c r="W418">
        <v>19.261301</v>
      </c>
      <c r="X418">
        <v>19.544815</v>
      </c>
      <c r="Y418">
        <v>20.412897000000001</v>
      </c>
      <c r="Z418">
        <v>19.83276</v>
      </c>
      <c r="AA418">
        <v>21.14639</v>
      </c>
      <c r="AB418">
        <v>20.596321</v>
      </c>
      <c r="AC418">
        <v>18.279921999999999</v>
      </c>
      <c r="AD418">
        <v>20.263006000000001</v>
      </c>
      <c r="AE418">
        <v>18.437819000000001</v>
      </c>
      <c r="AF418">
        <v>22.050407</v>
      </c>
      <c r="AG418">
        <v>20.537980999999998</v>
      </c>
    </row>
    <row r="419" spans="1:33" x14ac:dyDescent="0.25">
      <c r="A419" s="1">
        <v>44470</v>
      </c>
      <c r="B419">
        <v>19.269976</v>
      </c>
      <c r="C419">
        <v>19.384105999999999</v>
      </c>
      <c r="D419">
        <v>19.144456999999999</v>
      </c>
      <c r="E419">
        <v>18.924028</v>
      </c>
      <c r="F419">
        <v>19.357067000000001</v>
      </c>
      <c r="G419">
        <v>19.116921999999999</v>
      </c>
      <c r="H419">
        <v>18.187773</v>
      </c>
      <c r="I419">
        <v>18.689813999999998</v>
      </c>
      <c r="J419">
        <v>19.00834</v>
      </c>
      <c r="K419">
        <v>20.481134000000001</v>
      </c>
      <c r="L419">
        <v>20.096337999999999</v>
      </c>
      <c r="M419">
        <v>19.25741</v>
      </c>
      <c r="N419">
        <v>19.469111999999999</v>
      </c>
      <c r="O419">
        <v>20.082985000000001</v>
      </c>
      <c r="P419">
        <v>19.879632999999998</v>
      </c>
      <c r="Q419">
        <v>19.283445</v>
      </c>
      <c r="R419">
        <v>20.130903</v>
      </c>
      <c r="S419">
        <v>16.385124000000001</v>
      </c>
      <c r="T419">
        <v>19.150755</v>
      </c>
      <c r="U419">
        <v>19.302759999999999</v>
      </c>
      <c r="V419">
        <v>19.509855000000002</v>
      </c>
      <c r="W419">
        <v>19.059415999999999</v>
      </c>
      <c r="X419">
        <v>19.573875000000001</v>
      </c>
      <c r="Y419">
        <v>20.379290000000001</v>
      </c>
      <c r="Z419">
        <v>19.841002</v>
      </c>
      <c r="AA419">
        <v>21.137084999999999</v>
      </c>
      <c r="AB419">
        <v>20.403784000000002</v>
      </c>
      <c r="AC419">
        <v>18.236986000000002</v>
      </c>
      <c r="AD419">
        <v>20.25347</v>
      </c>
      <c r="AE419">
        <v>18.501852</v>
      </c>
      <c r="AF419">
        <v>21.938934</v>
      </c>
      <c r="AG419">
        <v>20.536733999999999</v>
      </c>
    </row>
    <row r="420" spans="1:33" x14ac:dyDescent="0.25">
      <c r="A420" s="1">
        <v>44471</v>
      </c>
      <c r="B420">
        <v>19.515975999999998</v>
      </c>
      <c r="C420">
        <v>19.489851000000002</v>
      </c>
      <c r="D420">
        <v>19.379501000000001</v>
      </c>
      <c r="E420">
        <v>19.156347</v>
      </c>
      <c r="F420">
        <v>19.494087</v>
      </c>
      <c r="G420">
        <v>19.256347999999999</v>
      </c>
      <c r="H420">
        <v>18.314844000000001</v>
      </c>
      <c r="I420">
        <v>19.257486</v>
      </c>
      <c r="J420">
        <v>19.490404000000002</v>
      </c>
      <c r="K420">
        <v>20.542562</v>
      </c>
      <c r="L420">
        <v>20.190049999999999</v>
      </c>
      <c r="M420">
        <v>19.396592999999999</v>
      </c>
      <c r="N420">
        <v>19.566846999999999</v>
      </c>
      <c r="O420">
        <v>20.125937</v>
      </c>
      <c r="P420">
        <v>19.978249999999999</v>
      </c>
      <c r="Q420">
        <v>19.403585</v>
      </c>
      <c r="R420">
        <v>20.159244999999999</v>
      </c>
      <c r="S420">
        <v>16.953764</v>
      </c>
      <c r="T420">
        <v>19.278836999999999</v>
      </c>
      <c r="U420">
        <v>19.19502</v>
      </c>
      <c r="V420">
        <v>19.59957</v>
      </c>
      <c r="W420">
        <v>19.072908000000002</v>
      </c>
      <c r="X420">
        <v>19.645835999999999</v>
      </c>
      <c r="Y420">
        <v>20.457560999999998</v>
      </c>
      <c r="Z420">
        <v>19.973877000000002</v>
      </c>
      <c r="AA420">
        <v>21.162403000000001</v>
      </c>
      <c r="AB420">
        <v>20.503132000000001</v>
      </c>
      <c r="AC420">
        <v>18.372278000000001</v>
      </c>
      <c r="AD420">
        <v>20.291879999999999</v>
      </c>
      <c r="AE420">
        <v>19.062925</v>
      </c>
      <c r="AF420">
        <v>21.885925</v>
      </c>
      <c r="AG420">
        <v>20.644915000000001</v>
      </c>
    </row>
    <row r="421" spans="1:33" x14ac:dyDescent="0.25">
      <c r="A421" s="1">
        <v>44472</v>
      </c>
      <c r="B421">
        <v>19.624655000000001</v>
      </c>
      <c r="C421">
        <v>19.597479</v>
      </c>
      <c r="D421">
        <v>19.587254999999999</v>
      </c>
      <c r="E421">
        <v>19.338638</v>
      </c>
      <c r="F421">
        <v>19.576830000000001</v>
      </c>
      <c r="G421">
        <v>19.376892000000002</v>
      </c>
      <c r="H421">
        <v>18.418558000000001</v>
      </c>
      <c r="I421">
        <v>19.599129000000001</v>
      </c>
      <c r="J421">
        <v>19.856643999999999</v>
      </c>
      <c r="K421">
        <v>20.614698000000001</v>
      </c>
      <c r="L421">
        <v>20.254004999999999</v>
      </c>
      <c r="M421">
        <v>19.51275</v>
      </c>
      <c r="N421">
        <v>19.654062</v>
      </c>
      <c r="O421">
        <v>20.165393999999999</v>
      </c>
      <c r="P421">
        <v>20.073841000000002</v>
      </c>
      <c r="Q421">
        <v>19.513582</v>
      </c>
      <c r="R421">
        <v>20.185417000000001</v>
      </c>
      <c r="S421">
        <v>17.482786000000001</v>
      </c>
      <c r="T421">
        <v>19.372595</v>
      </c>
      <c r="U421">
        <v>19.18629</v>
      </c>
      <c r="V421">
        <v>19.675028000000001</v>
      </c>
      <c r="W421">
        <v>18.902784</v>
      </c>
      <c r="X421">
        <v>19.698907999999999</v>
      </c>
      <c r="Y421">
        <v>20.562750000000001</v>
      </c>
      <c r="Z421">
        <v>20.102668999999999</v>
      </c>
      <c r="AA421">
        <v>21.219370000000001</v>
      </c>
      <c r="AB421">
        <v>20.609106000000001</v>
      </c>
      <c r="AC421">
        <v>18.480328</v>
      </c>
      <c r="AD421">
        <v>20.329536000000001</v>
      </c>
      <c r="AE421">
        <v>19.565874000000001</v>
      </c>
      <c r="AF421">
        <v>21.825873999999999</v>
      </c>
      <c r="AG421">
        <v>20.753679999999999</v>
      </c>
    </row>
    <row r="422" spans="1:33" x14ac:dyDescent="0.25">
      <c r="A422" s="1">
        <v>44473</v>
      </c>
      <c r="B422">
        <v>19.664003000000001</v>
      </c>
      <c r="C422">
        <v>19.692698</v>
      </c>
      <c r="D422">
        <v>19.679554</v>
      </c>
      <c r="E422">
        <v>19.45149</v>
      </c>
      <c r="F422">
        <v>19.586690000000001</v>
      </c>
      <c r="G422">
        <v>19.458593</v>
      </c>
      <c r="H422">
        <v>18.466660999999998</v>
      </c>
      <c r="I422">
        <v>19.704155</v>
      </c>
      <c r="J422">
        <v>20.044350000000001</v>
      </c>
      <c r="K422">
        <v>20.662962</v>
      </c>
      <c r="L422">
        <v>20.284956000000001</v>
      </c>
      <c r="M422">
        <v>19.583334000000001</v>
      </c>
      <c r="N422">
        <v>19.679425999999999</v>
      </c>
      <c r="O422">
        <v>20.157637000000001</v>
      </c>
      <c r="P422">
        <v>20.132368</v>
      </c>
      <c r="Q422">
        <v>19.601846999999999</v>
      </c>
      <c r="R422">
        <v>20.182499</v>
      </c>
      <c r="S422">
        <v>17.810461</v>
      </c>
      <c r="T422">
        <v>19.409358999999998</v>
      </c>
      <c r="U422">
        <v>19.113968</v>
      </c>
      <c r="V422">
        <v>19.629515000000001</v>
      </c>
      <c r="W422">
        <v>18.819023000000001</v>
      </c>
      <c r="X422">
        <v>19.631208000000001</v>
      </c>
      <c r="Y422">
        <v>20.647089000000001</v>
      </c>
      <c r="Z422">
        <v>20.159687000000002</v>
      </c>
      <c r="AA422">
        <v>21.275637</v>
      </c>
      <c r="AB422">
        <v>20.702214999999999</v>
      </c>
      <c r="AC422">
        <v>18.476790999999999</v>
      </c>
      <c r="AD422">
        <v>20.337703999999999</v>
      </c>
      <c r="AE422">
        <v>19.69594</v>
      </c>
      <c r="AF422">
        <v>21.745508000000001</v>
      </c>
      <c r="AG422">
        <v>20.791589999999999</v>
      </c>
    </row>
    <row r="423" spans="1:33" x14ac:dyDescent="0.25">
      <c r="A423" s="1">
        <v>44474</v>
      </c>
      <c r="B423">
        <v>19.219503</v>
      </c>
      <c r="C423">
        <v>19.397632999999999</v>
      </c>
      <c r="D423">
        <v>19.349229999999999</v>
      </c>
      <c r="E423">
        <v>19.19258</v>
      </c>
      <c r="F423">
        <v>19.123840000000001</v>
      </c>
      <c r="G423">
        <v>19.283757999999999</v>
      </c>
      <c r="H423">
        <v>18.180653</v>
      </c>
      <c r="I423">
        <v>18.774920000000002</v>
      </c>
      <c r="J423">
        <v>19.830853999999999</v>
      </c>
      <c r="K423">
        <v>20.465447999999999</v>
      </c>
      <c r="L423">
        <v>20.101398</v>
      </c>
      <c r="M423">
        <v>19.362629999999999</v>
      </c>
      <c r="N423">
        <v>19.419176</v>
      </c>
      <c r="O423">
        <v>19.998743000000001</v>
      </c>
      <c r="P423">
        <v>19.976896</v>
      </c>
      <c r="Q423">
        <v>19.428834999999999</v>
      </c>
      <c r="R423">
        <v>20.008886</v>
      </c>
      <c r="S423">
        <v>17.475995999999999</v>
      </c>
      <c r="T423">
        <v>19.171406000000001</v>
      </c>
      <c r="U423">
        <v>19.095724000000001</v>
      </c>
      <c r="V423">
        <v>19.304760000000002</v>
      </c>
      <c r="W423">
        <v>18.709398</v>
      </c>
      <c r="X423">
        <v>19.318480000000001</v>
      </c>
      <c r="Y423">
        <v>20.550259</v>
      </c>
      <c r="Z423">
        <v>20.057089999999999</v>
      </c>
      <c r="AA423">
        <v>21.216822000000001</v>
      </c>
      <c r="AB423">
        <v>20.575330000000001</v>
      </c>
      <c r="AC423">
        <v>18.466550000000002</v>
      </c>
      <c r="AD423">
        <v>20.212281999999998</v>
      </c>
      <c r="AE423">
        <v>19.766705999999999</v>
      </c>
      <c r="AF423">
        <v>21.656036</v>
      </c>
      <c r="AG423">
        <v>20.667324000000001</v>
      </c>
    </row>
    <row r="424" spans="1:33" x14ac:dyDescent="0.25">
      <c r="A424" s="1">
        <v>44475</v>
      </c>
      <c r="B424">
        <v>18.643191999999999</v>
      </c>
      <c r="C424">
        <v>19.028300000000002</v>
      </c>
      <c r="D424">
        <v>18.841315999999999</v>
      </c>
      <c r="E424">
        <v>18.719282</v>
      </c>
      <c r="F424">
        <v>18.676096000000001</v>
      </c>
      <c r="G424">
        <v>18.954557000000001</v>
      </c>
      <c r="H424">
        <v>18.005762000000001</v>
      </c>
      <c r="I424">
        <v>17.866076</v>
      </c>
      <c r="J424">
        <v>19.169535</v>
      </c>
      <c r="K424">
        <v>20.140830000000001</v>
      </c>
      <c r="L424">
        <v>19.770537999999998</v>
      </c>
      <c r="M424">
        <v>19.029786999999999</v>
      </c>
      <c r="N424">
        <v>19.050089</v>
      </c>
      <c r="O424">
        <v>19.710089</v>
      </c>
      <c r="P424">
        <v>19.659582</v>
      </c>
      <c r="Q424">
        <v>19.079657000000001</v>
      </c>
      <c r="R424">
        <v>19.742039999999999</v>
      </c>
      <c r="S424">
        <v>16.803635</v>
      </c>
      <c r="T424">
        <v>18.7165</v>
      </c>
      <c r="U424">
        <v>18.963560000000001</v>
      </c>
      <c r="V424">
        <v>18.825074999999998</v>
      </c>
      <c r="W424">
        <v>18.660719</v>
      </c>
      <c r="X424">
        <v>18.805357000000001</v>
      </c>
      <c r="Y424">
        <v>19.988147999999999</v>
      </c>
      <c r="Z424">
        <v>19.696339999999999</v>
      </c>
      <c r="AA424">
        <v>20.975919999999999</v>
      </c>
      <c r="AB424">
        <v>20.088757000000001</v>
      </c>
      <c r="AC424">
        <v>18.049659999999999</v>
      </c>
      <c r="AD424">
        <v>19.954408999999998</v>
      </c>
      <c r="AE424">
        <v>19.323156000000001</v>
      </c>
      <c r="AF424">
        <v>21.393651999999999</v>
      </c>
      <c r="AG424">
        <v>20.346087000000001</v>
      </c>
    </row>
    <row r="425" spans="1:33" x14ac:dyDescent="0.25">
      <c r="A425" s="1">
        <v>44476</v>
      </c>
      <c r="B425">
        <v>18.108782000000001</v>
      </c>
      <c r="C425">
        <v>18.544203</v>
      </c>
      <c r="D425">
        <v>18.246863999999999</v>
      </c>
      <c r="E425">
        <v>18.211815000000001</v>
      </c>
      <c r="F425">
        <v>18.159230999999998</v>
      </c>
      <c r="G425">
        <v>18.564299999999999</v>
      </c>
      <c r="H425">
        <v>17.724565999999999</v>
      </c>
      <c r="I425">
        <v>17.092676000000001</v>
      </c>
      <c r="J425">
        <v>18.565622000000001</v>
      </c>
      <c r="K425">
        <v>19.839293000000001</v>
      </c>
      <c r="L425">
        <v>19.441866000000001</v>
      </c>
      <c r="M425">
        <v>18.599512000000001</v>
      </c>
      <c r="N425">
        <v>18.63748</v>
      </c>
      <c r="O425">
        <v>19.377776999999998</v>
      </c>
      <c r="P425">
        <v>19.302060999999998</v>
      </c>
      <c r="Q425">
        <v>18.658064</v>
      </c>
      <c r="R425">
        <v>19.428629999999998</v>
      </c>
      <c r="S425">
        <v>16.153176999999999</v>
      </c>
      <c r="T425">
        <v>18.275434000000001</v>
      </c>
      <c r="U425">
        <v>18.735551999999998</v>
      </c>
      <c r="V425">
        <v>18.3901</v>
      </c>
      <c r="W425">
        <v>18.475183000000001</v>
      </c>
      <c r="X425">
        <v>18.391881999999999</v>
      </c>
      <c r="Y425">
        <v>19.355827000000001</v>
      </c>
      <c r="Z425">
        <v>19.299092999999999</v>
      </c>
      <c r="AA425">
        <v>20.492650000000001</v>
      </c>
      <c r="AB425">
        <v>19.514175000000002</v>
      </c>
      <c r="AC425">
        <v>17.084053000000001</v>
      </c>
      <c r="AD425">
        <v>19.648678</v>
      </c>
      <c r="AE425">
        <v>18.359632000000001</v>
      </c>
      <c r="AF425">
        <v>20.980955000000002</v>
      </c>
      <c r="AG425">
        <v>19.700735000000002</v>
      </c>
    </row>
    <row r="426" spans="1:33" x14ac:dyDescent="0.25">
      <c r="A426" s="1">
        <v>44477</v>
      </c>
      <c r="B426">
        <v>17.453334999999999</v>
      </c>
      <c r="C426">
        <v>18.068097999999999</v>
      </c>
      <c r="D426">
        <v>17.596516000000001</v>
      </c>
      <c r="E426">
        <v>17.594529999999999</v>
      </c>
      <c r="F426">
        <v>17.611677</v>
      </c>
      <c r="G426">
        <v>18.070086</v>
      </c>
      <c r="H426">
        <v>17.306380000000001</v>
      </c>
      <c r="I426">
        <v>16.304379999999998</v>
      </c>
      <c r="J426">
        <v>17.914352000000001</v>
      </c>
      <c r="K426">
        <v>19.499314999999999</v>
      </c>
      <c r="L426">
        <v>19.074784999999999</v>
      </c>
      <c r="M426">
        <v>18.103853000000001</v>
      </c>
      <c r="N426">
        <v>18.178623000000002</v>
      </c>
      <c r="O426">
        <v>19.079414</v>
      </c>
      <c r="P426">
        <v>18.872015000000001</v>
      </c>
      <c r="Q426">
        <v>18.148444999999999</v>
      </c>
      <c r="R426">
        <v>19.129163999999999</v>
      </c>
      <c r="S426">
        <v>15.53886</v>
      </c>
      <c r="T426">
        <v>17.895689000000001</v>
      </c>
      <c r="U426">
        <v>18.355094999999999</v>
      </c>
      <c r="V426">
        <v>18.056227</v>
      </c>
      <c r="W426">
        <v>18.145030999999999</v>
      </c>
      <c r="X426">
        <v>18.097178</v>
      </c>
      <c r="Y426">
        <v>18.860916</v>
      </c>
      <c r="Z426">
        <v>18.871646999999999</v>
      </c>
      <c r="AA426">
        <v>19.998913000000002</v>
      </c>
      <c r="AB426">
        <v>19.019666999999998</v>
      </c>
      <c r="AC426">
        <v>16.286997</v>
      </c>
      <c r="AD426">
        <v>19.312937000000002</v>
      </c>
      <c r="AE426">
        <v>17.700575000000001</v>
      </c>
      <c r="AF426">
        <v>20.521094999999999</v>
      </c>
      <c r="AG426">
        <v>19.184479</v>
      </c>
    </row>
    <row r="427" spans="1:33" x14ac:dyDescent="0.25">
      <c r="A427" s="1">
        <v>44478</v>
      </c>
      <c r="B427">
        <v>17.193653000000001</v>
      </c>
      <c r="C427">
        <v>17.863243000000001</v>
      </c>
      <c r="D427">
        <v>17.163180000000001</v>
      </c>
      <c r="E427">
        <v>17.128609000000001</v>
      </c>
      <c r="F427">
        <v>17.48122</v>
      </c>
      <c r="G427">
        <v>17.751719999999999</v>
      </c>
      <c r="H427">
        <v>17.087788</v>
      </c>
      <c r="I427">
        <v>16.151695</v>
      </c>
      <c r="J427">
        <v>17.589532999999999</v>
      </c>
      <c r="K427">
        <v>19.227194000000001</v>
      </c>
      <c r="L427">
        <v>18.792572</v>
      </c>
      <c r="M427">
        <v>17.824627</v>
      </c>
      <c r="N427">
        <v>17.920774000000002</v>
      </c>
      <c r="O427">
        <v>18.742899000000001</v>
      </c>
      <c r="P427">
        <v>18.639612</v>
      </c>
      <c r="Q427">
        <v>17.846679999999999</v>
      </c>
      <c r="R427">
        <v>18.85679</v>
      </c>
      <c r="S427">
        <v>15.094848000000001</v>
      </c>
      <c r="T427">
        <v>17.577093000000001</v>
      </c>
      <c r="U427">
        <v>17.986578000000002</v>
      </c>
      <c r="V427">
        <v>17.844145000000001</v>
      </c>
      <c r="W427">
        <v>17.518975999999999</v>
      </c>
      <c r="X427">
        <v>17.922723999999999</v>
      </c>
      <c r="Y427">
        <v>18.381449</v>
      </c>
      <c r="Z427">
        <v>18.530007999999999</v>
      </c>
      <c r="AA427">
        <v>19.571255000000001</v>
      </c>
      <c r="AB427">
        <v>18.707401000000001</v>
      </c>
      <c r="AC427">
        <v>15.725586</v>
      </c>
      <c r="AD427">
        <v>19.038972999999999</v>
      </c>
      <c r="AE427">
        <v>17.082228000000001</v>
      </c>
      <c r="AF427">
        <v>20.138905999999999</v>
      </c>
      <c r="AG427">
        <v>18.846746</v>
      </c>
    </row>
    <row r="428" spans="1:33" x14ac:dyDescent="0.25">
      <c r="A428" s="1">
        <v>44479</v>
      </c>
      <c r="B428">
        <v>17.077521999999998</v>
      </c>
      <c r="C428">
        <v>17.823122000000001</v>
      </c>
      <c r="D428">
        <v>17.087762999999999</v>
      </c>
      <c r="E428">
        <v>16.958942</v>
      </c>
      <c r="F428">
        <v>17.450403000000001</v>
      </c>
      <c r="G428">
        <v>17.627597999999999</v>
      </c>
      <c r="H428">
        <v>17.027190999999998</v>
      </c>
      <c r="I428">
        <v>16.489328</v>
      </c>
      <c r="J428">
        <v>17.577380999999999</v>
      </c>
      <c r="K428">
        <v>19.108027</v>
      </c>
      <c r="L428">
        <v>18.669231</v>
      </c>
      <c r="M428">
        <v>17.735299999999999</v>
      </c>
      <c r="N428">
        <v>17.838797</v>
      </c>
      <c r="O428">
        <v>18.581402000000001</v>
      </c>
      <c r="P428">
        <v>18.501729999999998</v>
      </c>
      <c r="Q428">
        <v>17.741482000000001</v>
      </c>
      <c r="R428">
        <v>18.683434999999999</v>
      </c>
      <c r="S428">
        <v>15.023303</v>
      </c>
      <c r="T428">
        <v>17.487909999999999</v>
      </c>
      <c r="U428">
        <v>17.450415</v>
      </c>
      <c r="V428">
        <v>17.756878</v>
      </c>
      <c r="W428">
        <v>17.1084</v>
      </c>
      <c r="X428">
        <v>17.848206999999999</v>
      </c>
      <c r="Y428">
        <v>18.242298000000002</v>
      </c>
      <c r="Z428">
        <v>18.336269999999999</v>
      </c>
      <c r="AA428">
        <v>19.331607999999999</v>
      </c>
      <c r="AB428">
        <v>18.504667000000001</v>
      </c>
      <c r="AC428">
        <v>15.413444500000001</v>
      </c>
      <c r="AD428">
        <v>18.865818000000001</v>
      </c>
      <c r="AE428">
        <v>17.292829999999999</v>
      </c>
      <c r="AF428">
        <v>19.853767000000001</v>
      </c>
      <c r="AG428">
        <v>18.707304000000001</v>
      </c>
    </row>
    <row r="429" spans="1:33" x14ac:dyDescent="0.25">
      <c r="A429" s="1">
        <v>44480</v>
      </c>
      <c r="B429">
        <v>16.103622000000001</v>
      </c>
      <c r="C429">
        <v>17.259117</v>
      </c>
      <c r="D429">
        <v>16.720635999999999</v>
      </c>
      <c r="E429">
        <v>16.330853999999999</v>
      </c>
      <c r="F429">
        <v>16.76042</v>
      </c>
      <c r="G429">
        <v>17.378502000000001</v>
      </c>
      <c r="H429">
        <v>16.756409000000001</v>
      </c>
      <c r="I429">
        <v>15.727539999999999</v>
      </c>
      <c r="J429">
        <v>16.294077000000001</v>
      </c>
      <c r="K429">
        <v>18.598428999999999</v>
      </c>
      <c r="L429">
        <v>18.06071</v>
      </c>
      <c r="M429">
        <v>17.339169999999999</v>
      </c>
      <c r="N429">
        <v>17.263933000000002</v>
      </c>
      <c r="O429">
        <v>18.095510000000001</v>
      </c>
      <c r="P429">
        <v>17.957504</v>
      </c>
      <c r="Q429">
        <v>17.467843999999999</v>
      </c>
      <c r="R429">
        <v>18.093962000000001</v>
      </c>
      <c r="S429">
        <v>14.219681</v>
      </c>
      <c r="T429">
        <v>16.888449000000001</v>
      </c>
      <c r="U429">
        <v>16.724194000000001</v>
      </c>
      <c r="V429">
        <v>17.065104000000002</v>
      </c>
      <c r="W429">
        <v>16.342231999999999</v>
      </c>
      <c r="X429">
        <v>17.116302000000001</v>
      </c>
      <c r="Y429">
        <v>17.667214999999999</v>
      </c>
      <c r="Z429">
        <v>17.546652000000002</v>
      </c>
      <c r="AA429">
        <v>18.627721999999999</v>
      </c>
      <c r="AB429">
        <v>17.843899</v>
      </c>
      <c r="AC429">
        <v>14.680107</v>
      </c>
      <c r="AD429">
        <v>18.286874999999998</v>
      </c>
      <c r="AE429">
        <v>16.190183999999999</v>
      </c>
      <c r="AF429">
        <v>19.219968999999999</v>
      </c>
      <c r="AG429">
        <v>17.811534999999999</v>
      </c>
    </row>
    <row r="430" spans="1:33" x14ac:dyDescent="0.25">
      <c r="A430" s="1">
        <v>44481</v>
      </c>
      <c r="B430">
        <v>15.041475999999999</v>
      </c>
      <c r="C430">
        <v>16.324202</v>
      </c>
      <c r="D430">
        <v>15.666551</v>
      </c>
      <c r="E430">
        <v>15.276852</v>
      </c>
      <c r="F430">
        <v>15.759769</v>
      </c>
      <c r="G430">
        <v>16.417819999999999</v>
      </c>
      <c r="H430">
        <v>15.957359</v>
      </c>
      <c r="I430">
        <v>14.481308</v>
      </c>
      <c r="J430">
        <v>14.510761</v>
      </c>
      <c r="K430">
        <v>17.668882</v>
      </c>
      <c r="L430">
        <v>16.871400000000001</v>
      </c>
      <c r="M430">
        <v>16.386263</v>
      </c>
      <c r="N430">
        <v>16.278531999999998</v>
      </c>
      <c r="O430">
        <v>16.949625000000001</v>
      </c>
      <c r="P430">
        <v>16.947932999999999</v>
      </c>
      <c r="Q430">
        <v>16.498884</v>
      </c>
      <c r="R430">
        <v>17.031727</v>
      </c>
      <c r="S430">
        <v>12.454328</v>
      </c>
      <c r="T430">
        <v>15.60281</v>
      </c>
      <c r="U430">
        <v>15.585826000000001</v>
      </c>
      <c r="V430">
        <v>15.612863000000001</v>
      </c>
      <c r="W430">
        <v>15.312549000000001</v>
      </c>
      <c r="X430">
        <v>15.547912</v>
      </c>
      <c r="Y430">
        <v>16.045407999999998</v>
      </c>
      <c r="Z430">
        <v>16.103415999999999</v>
      </c>
      <c r="AA430">
        <v>17.229524999999999</v>
      </c>
      <c r="AB430">
        <v>16.325851</v>
      </c>
      <c r="AC430">
        <v>12.832595</v>
      </c>
      <c r="AD430">
        <v>17.190650000000002</v>
      </c>
      <c r="AE430">
        <v>14.167097999999999</v>
      </c>
      <c r="AF430">
        <v>18.014101</v>
      </c>
      <c r="AG430">
        <v>16.136666999999999</v>
      </c>
    </row>
    <row r="431" spans="1:33" x14ac:dyDescent="0.25">
      <c r="A431" s="1">
        <v>44482</v>
      </c>
      <c r="B431">
        <v>14.912838000000001</v>
      </c>
      <c r="C431">
        <v>15.975578000000001</v>
      </c>
      <c r="D431">
        <v>15.055133</v>
      </c>
      <c r="E431">
        <v>14.913967</v>
      </c>
      <c r="F431">
        <v>15.428418000000001</v>
      </c>
      <c r="G431">
        <v>15.867542</v>
      </c>
      <c r="H431">
        <v>15.503648</v>
      </c>
      <c r="I431">
        <v>14.095824</v>
      </c>
      <c r="J431">
        <v>14.289016999999999</v>
      </c>
      <c r="K431">
        <v>17.287217999999999</v>
      </c>
      <c r="L431">
        <v>16.374706</v>
      </c>
      <c r="M431">
        <v>15.872692000000001</v>
      </c>
      <c r="N431">
        <v>15.845492999999999</v>
      </c>
      <c r="O431">
        <v>16.507788000000001</v>
      </c>
      <c r="P431">
        <v>16.307230000000001</v>
      </c>
      <c r="Q431">
        <v>15.948499</v>
      </c>
      <c r="R431">
        <v>16.635159999999999</v>
      </c>
      <c r="S431">
        <v>11.494071</v>
      </c>
      <c r="T431">
        <v>15.090301</v>
      </c>
      <c r="U431">
        <v>15.092862</v>
      </c>
      <c r="V431">
        <v>15.210203999999999</v>
      </c>
      <c r="W431">
        <v>14.738476</v>
      </c>
      <c r="X431">
        <v>15.0759325</v>
      </c>
      <c r="Y431">
        <v>15.406222</v>
      </c>
      <c r="Z431">
        <v>15.452025000000001</v>
      </c>
      <c r="AA431">
        <v>16.565783</v>
      </c>
      <c r="AB431">
        <v>15.521065999999999</v>
      </c>
      <c r="AC431">
        <v>12.139934</v>
      </c>
      <c r="AD431">
        <v>16.629670999999998</v>
      </c>
      <c r="AE431">
        <v>14.145301</v>
      </c>
      <c r="AF431">
        <v>17.411874999999998</v>
      </c>
      <c r="AG431">
        <v>15.6455965</v>
      </c>
    </row>
    <row r="432" spans="1:33" x14ac:dyDescent="0.25">
      <c r="A432" s="1">
        <v>44483</v>
      </c>
      <c r="B432">
        <v>14.980791999999999</v>
      </c>
      <c r="C432">
        <v>15.842801</v>
      </c>
      <c r="D432">
        <v>14.888820000000001</v>
      </c>
      <c r="E432">
        <v>14.835094</v>
      </c>
      <c r="F432">
        <v>15.581927</v>
      </c>
      <c r="G432">
        <v>15.690816</v>
      </c>
      <c r="H432">
        <v>15.404470999999999</v>
      </c>
      <c r="I432">
        <v>14.578055000000001</v>
      </c>
      <c r="J432">
        <v>14.399932</v>
      </c>
      <c r="K432">
        <v>16.99447</v>
      </c>
      <c r="L432">
        <v>16.196473999999998</v>
      </c>
      <c r="M432">
        <v>15.763443000000001</v>
      </c>
      <c r="N432">
        <v>15.674317</v>
      </c>
      <c r="O432">
        <v>16.309419999999999</v>
      </c>
      <c r="P432">
        <v>16.118523</v>
      </c>
      <c r="Q432">
        <v>15.784774000000001</v>
      </c>
      <c r="R432">
        <v>16.434007999999999</v>
      </c>
      <c r="S432">
        <v>11.361348</v>
      </c>
      <c r="T432">
        <v>14.862391000000001</v>
      </c>
      <c r="U432">
        <v>15.037459999999999</v>
      </c>
      <c r="V432">
        <v>15.048705999999999</v>
      </c>
      <c r="W432">
        <v>14.269970000000001</v>
      </c>
      <c r="X432">
        <v>15.013443000000001</v>
      </c>
      <c r="Y432">
        <v>15.208926</v>
      </c>
      <c r="Z432">
        <v>15.215393000000001</v>
      </c>
      <c r="AA432">
        <v>16.368124000000002</v>
      </c>
      <c r="AB432">
        <v>15.433804</v>
      </c>
      <c r="AC432">
        <v>12.016342</v>
      </c>
      <c r="AD432">
        <v>16.383486000000001</v>
      </c>
      <c r="AE432">
        <v>14.634168000000001</v>
      </c>
      <c r="AF432">
        <v>17.099371000000001</v>
      </c>
      <c r="AG432">
        <v>15.732974</v>
      </c>
    </row>
    <row r="433" spans="1:33" x14ac:dyDescent="0.25">
      <c r="A433" s="1">
        <v>44484</v>
      </c>
      <c r="B433">
        <v>15.151251999999999</v>
      </c>
      <c r="C433">
        <v>15.892243000000001</v>
      </c>
      <c r="D433">
        <v>15.080731</v>
      </c>
      <c r="E433">
        <v>14.925424</v>
      </c>
      <c r="F433">
        <v>15.793082</v>
      </c>
      <c r="G433">
        <v>15.732506000000001</v>
      </c>
      <c r="H433">
        <v>15.477302</v>
      </c>
      <c r="I433">
        <v>15.161549000000001</v>
      </c>
      <c r="J433">
        <v>14.729850000000001</v>
      </c>
      <c r="K433">
        <v>16.903310000000001</v>
      </c>
      <c r="L433">
        <v>16.134789999999999</v>
      </c>
      <c r="M433">
        <v>15.793656</v>
      </c>
      <c r="N433">
        <v>15.608628</v>
      </c>
      <c r="O433">
        <v>16.160063000000001</v>
      </c>
      <c r="P433">
        <v>16.055616000000001</v>
      </c>
      <c r="Q433">
        <v>15.785866</v>
      </c>
      <c r="R433">
        <v>16.295594999999999</v>
      </c>
      <c r="S433">
        <v>11.609540000000001</v>
      </c>
      <c r="T433">
        <v>14.751134</v>
      </c>
      <c r="U433">
        <v>14.564396</v>
      </c>
      <c r="V433">
        <v>14.998044</v>
      </c>
      <c r="W433">
        <v>14.187268</v>
      </c>
      <c r="X433">
        <v>14.912936</v>
      </c>
      <c r="Y433">
        <v>15.2263365</v>
      </c>
      <c r="Z433">
        <v>15.140148999999999</v>
      </c>
      <c r="AA433">
        <v>16.295186999999999</v>
      </c>
      <c r="AB433">
        <v>15.410301</v>
      </c>
      <c r="AC433">
        <v>11.712695</v>
      </c>
      <c r="AD433">
        <v>16.265332999999998</v>
      </c>
      <c r="AE433">
        <v>14.955829</v>
      </c>
      <c r="AF433">
        <v>16.783306</v>
      </c>
      <c r="AG433">
        <v>15.721313</v>
      </c>
    </row>
    <row r="434" spans="1:33" x14ac:dyDescent="0.25">
      <c r="A434" s="1">
        <v>44485</v>
      </c>
      <c r="B434">
        <v>15.248599</v>
      </c>
      <c r="C434">
        <v>15.925285000000001</v>
      </c>
      <c r="D434">
        <v>15.367864000000001</v>
      </c>
      <c r="E434">
        <v>15.102180499999999</v>
      </c>
      <c r="F434">
        <v>15.937111</v>
      </c>
      <c r="G434">
        <v>15.8399315</v>
      </c>
      <c r="H434">
        <v>15.55866</v>
      </c>
      <c r="I434">
        <v>15.591899</v>
      </c>
      <c r="J434">
        <v>15.184851999999999</v>
      </c>
      <c r="K434">
        <v>16.89181</v>
      </c>
      <c r="L434">
        <v>16.153625000000002</v>
      </c>
      <c r="M434">
        <v>15.888699000000001</v>
      </c>
      <c r="N434">
        <v>15.668175</v>
      </c>
      <c r="O434">
        <v>16.081178999999999</v>
      </c>
      <c r="P434">
        <v>16.075911999999999</v>
      </c>
      <c r="Q434">
        <v>15.868258000000001</v>
      </c>
      <c r="R434">
        <v>16.231846000000001</v>
      </c>
      <c r="S434">
        <v>12.0108385</v>
      </c>
      <c r="T434">
        <v>14.8089285</v>
      </c>
      <c r="U434">
        <v>14.307791999999999</v>
      </c>
      <c r="V434">
        <v>14.992978000000001</v>
      </c>
      <c r="W434">
        <v>14.287705000000001</v>
      </c>
      <c r="X434">
        <v>14.863670000000001</v>
      </c>
      <c r="Y434">
        <v>15.441530999999999</v>
      </c>
      <c r="Z434">
        <v>15.271064000000001</v>
      </c>
      <c r="AA434">
        <v>16.379850000000001</v>
      </c>
      <c r="AB434">
        <v>15.652671</v>
      </c>
      <c r="AC434">
        <v>11.805085</v>
      </c>
      <c r="AD434">
        <v>16.219525999999998</v>
      </c>
      <c r="AE434">
        <v>15.622999999999999</v>
      </c>
      <c r="AF434">
        <v>16.67295</v>
      </c>
      <c r="AG434">
        <v>15.887746</v>
      </c>
    </row>
    <row r="435" spans="1:33" x14ac:dyDescent="0.25">
      <c r="A435" s="1">
        <v>44486</v>
      </c>
      <c r="B435">
        <v>15.036042</v>
      </c>
      <c r="C435">
        <v>15.749637999999999</v>
      </c>
      <c r="D435">
        <v>15.384239000000001</v>
      </c>
      <c r="E435">
        <v>15.114451000000001</v>
      </c>
      <c r="F435">
        <v>15.714954000000001</v>
      </c>
      <c r="G435">
        <v>15.806597999999999</v>
      </c>
      <c r="H435">
        <v>15.329978000000001</v>
      </c>
      <c r="I435">
        <v>15.303542999999999</v>
      </c>
      <c r="J435">
        <v>15.293127999999999</v>
      </c>
      <c r="K435">
        <v>16.686717999999999</v>
      </c>
      <c r="L435">
        <v>16.0397</v>
      </c>
      <c r="M435">
        <v>15.820935</v>
      </c>
      <c r="N435">
        <v>15.610291</v>
      </c>
      <c r="O435">
        <v>16.000406000000002</v>
      </c>
      <c r="P435">
        <v>15.965683</v>
      </c>
      <c r="Q435">
        <v>15.845528</v>
      </c>
      <c r="R435">
        <v>16.084638999999999</v>
      </c>
      <c r="S435">
        <v>12.447604999999999</v>
      </c>
      <c r="T435">
        <v>14.816459</v>
      </c>
      <c r="U435">
        <v>14.315521</v>
      </c>
      <c r="V435">
        <v>14.940182</v>
      </c>
      <c r="W435">
        <v>14.565441</v>
      </c>
      <c r="X435">
        <v>14.820838</v>
      </c>
      <c r="Y435">
        <v>15.620614</v>
      </c>
      <c r="Z435">
        <v>15.352817999999999</v>
      </c>
      <c r="AA435">
        <v>16.401095999999999</v>
      </c>
      <c r="AB435">
        <v>15.724643</v>
      </c>
      <c r="AC435">
        <v>12.092967</v>
      </c>
      <c r="AD435">
        <v>16.104813</v>
      </c>
      <c r="AE435">
        <v>16.094635</v>
      </c>
      <c r="AF435">
        <v>16.605035999999998</v>
      </c>
      <c r="AG435">
        <v>15.811082000000001</v>
      </c>
    </row>
    <row r="436" spans="1:33" x14ac:dyDescent="0.25">
      <c r="A436" s="1">
        <v>44487</v>
      </c>
      <c r="B436">
        <v>14.683825499999999</v>
      </c>
      <c r="C436">
        <v>15.503242500000001</v>
      </c>
      <c r="D436">
        <v>15.117645</v>
      </c>
      <c r="E436">
        <v>14.808614</v>
      </c>
      <c r="F436">
        <v>15.286344</v>
      </c>
      <c r="G436">
        <v>15.521490999999999</v>
      </c>
      <c r="H436">
        <v>15.105817</v>
      </c>
      <c r="I436">
        <v>14.471985</v>
      </c>
      <c r="J436">
        <v>14.786991</v>
      </c>
      <c r="K436">
        <v>16.340734000000001</v>
      </c>
      <c r="L436">
        <v>15.652763</v>
      </c>
      <c r="M436">
        <v>15.532608</v>
      </c>
      <c r="N436">
        <v>15.300595</v>
      </c>
      <c r="O436">
        <v>15.685547</v>
      </c>
      <c r="P436">
        <v>15.739784999999999</v>
      </c>
      <c r="Q436">
        <v>15.549987</v>
      </c>
      <c r="R436">
        <v>15.812008000000001</v>
      </c>
      <c r="S436">
        <v>12.401360499999999</v>
      </c>
      <c r="T436">
        <v>14.556499499999999</v>
      </c>
      <c r="U436">
        <v>14.553750000000001</v>
      </c>
      <c r="V436">
        <v>14.619014999999999</v>
      </c>
      <c r="W436">
        <v>14.6900835</v>
      </c>
      <c r="X436">
        <v>14.510792</v>
      </c>
      <c r="Y436">
        <v>15.173863000000001</v>
      </c>
      <c r="Z436">
        <v>15.183192999999999</v>
      </c>
      <c r="AA436">
        <v>16.145932999999999</v>
      </c>
      <c r="AB436">
        <v>15.401551</v>
      </c>
      <c r="AC436">
        <v>12.227104000000001</v>
      </c>
      <c r="AD436">
        <v>15.864686000000001</v>
      </c>
      <c r="AE436">
        <v>15.372574</v>
      </c>
      <c r="AF436">
        <v>16.302910000000001</v>
      </c>
      <c r="AG436">
        <v>15.412925</v>
      </c>
    </row>
    <row r="437" spans="1:33" x14ac:dyDescent="0.25">
      <c r="A437" s="1">
        <v>44488</v>
      </c>
      <c r="B437">
        <v>14.68702</v>
      </c>
      <c r="C437">
        <v>15.396197000000001</v>
      </c>
      <c r="D437">
        <v>15.030246</v>
      </c>
      <c r="E437">
        <v>14.737771</v>
      </c>
      <c r="F437">
        <v>15.286659</v>
      </c>
      <c r="G437">
        <v>15.399768</v>
      </c>
      <c r="H437">
        <v>15.018647</v>
      </c>
      <c r="I437">
        <v>14.495167</v>
      </c>
      <c r="J437">
        <v>14.567092000000001</v>
      </c>
      <c r="K437">
        <v>16.183</v>
      </c>
      <c r="L437">
        <v>15.531285</v>
      </c>
      <c r="M437">
        <v>15.428694999999999</v>
      </c>
      <c r="N437">
        <v>15.143409999999999</v>
      </c>
      <c r="O437">
        <v>15.502606</v>
      </c>
      <c r="P437">
        <v>15.636834</v>
      </c>
      <c r="Q437">
        <v>15.406295</v>
      </c>
      <c r="R437">
        <v>15.640536000000001</v>
      </c>
      <c r="S437">
        <v>12.258372</v>
      </c>
      <c r="T437">
        <v>14.348069000000001</v>
      </c>
      <c r="U437">
        <v>14.571918</v>
      </c>
      <c r="V437">
        <v>14.482341999999999</v>
      </c>
      <c r="W437">
        <v>14.797192000000001</v>
      </c>
      <c r="X437">
        <v>14.426106000000001</v>
      </c>
      <c r="Y437">
        <v>14.761666</v>
      </c>
      <c r="Z437">
        <v>15.028522000000001</v>
      </c>
      <c r="AA437">
        <v>15.96482</v>
      </c>
      <c r="AB437">
        <v>15.039894</v>
      </c>
      <c r="AC437">
        <v>12.007106</v>
      </c>
      <c r="AD437">
        <v>15.672547</v>
      </c>
      <c r="AE437">
        <v>14.488025</v>
      </c>
      <c r="AF437">
        <v>15.849757</v>
      </c>
      <c r="AG437">
        <v>15.192252999999999</v>
      </c>
    </row>
    <row r="438" spans="1:33" x14ac:dyDescent="0.25">
      <c r="A438" s="1">
        <v>44489</v>
      </c>
      <c r="B438">
        <v>14.760246</v>
      </c>
      <c r="C438">
        <v>15.361264</v>
      </c>
      <c r="D438">
        <v>15.022536000000001</v>
      </c>
      <c r="E438">
        <v>14.810368</v>
      </c>
      <c r="F438">
        <v>15.245912000000001</v>
      </c>
      <c r="G438">
        <v>15.350505999999999</v>
      </c>
      <c r="H438">
        <v>14.936086</v>
      </c>
      <c r="I438">
        <v>14.634121</v>
      </c>
      <c r="J438">
        <v>14.724048</v>
      </c>
      <c r="K438">
        <v>16.114553000000001</v>
      </c>
      <c r="L438">
        <v>15.553504999999999</v>
      </c>
      <c r="M438">
        <v>15.372336000000001</v>
      </c>
      <c r="N438">
        <v>15.134427000000001</v>
      </c>
      <c r="O438">
        <v>15.510638</v>
      </c>
      <c r="P438">
        <v>15.555325</v>
      </c>
      <c r="Q438">
        <v>15.374267</v>
      </c>
      <c r="R438">
        <v>15.6223755</v>
      </c>
      <c r="S438">
        <v>12.671313</v>
      </c>
      <c r="T438">
        <v>14.413887000000001</v>
      </c>
      <c r="U438">
        <v>14.666104000000001</v>
      </c>
      <c r="V438">
        <v>14.629308</v>
      </c>
      <c r="W438">
        <v>14.941841</v>
      </c>
      <c r="X438">
        <v>14.655564</v>
      </c>
      <c r="Y438">
        <v>14.800734500000001</v>
      </c>
      <c r="Z438">
        <v>15.031228</v>
      </c>
      <c r="AA438">
        <v>16.028717</v>
      </c>
      <c r="AB438">
        <v>15.021137</v>
      </c>
      <c r="AC438">
        <v>12.587008000000001</v>
      </c>
      <c r="AD438">
        <v>15.612909999999999</v>
      </c>
      <c r="AE438">
        <v>14.778781</v>
      </c>
      <c r="AF438">
        <v>15.655158999999999</v>
      </c>
      <c r="AG438">
        <v>15.369643999999999</v>
      </c>
    </row>
    <row r="439" spans="1:33" x14ac:dyDescent="0.25">
      <c r="A439" s="1">
        <v>44490</v>
      </c>
      <c r="B439">
        <v>14.882508</v>
      </c>
      <c r="C439">
        <v>15.413399</v>
      </c>
      <c r="D439">
        <v>15.1081</v>
      </c>
      <c r="E439">
        <v>14.887715</v>
      </c>
      <c r="F439">
        <v>15.334555999999999</v>
      </c>
      <c r="G439">
        <v>15.312398</v>
      </c>
      <c r="H439">
        <v>14.957193999999999</v>
      </c>
      <c r="I439">
        <v>14.88791</v>
      </c>
      <c r="J439">
        <v>14.887206000000001</v>
      </c>
      <c r="K439">
        <v>16.063867999999999</v>
      </c>
      <c r="L439">
        <v>15.5830965</v>
      </c>
      <c r="M439">
        <v>15.339444</v>
      </c>
      <c r="N439">
        <v>15.063136</v>
      </c>
      <c r="O439">
        <v>15.50393</v>
      </c>
      <c r="P439">
        <v>15.502967</v>
      </c>
      <c r="Q439">
        <v>15.329796999999999</v>
      </c>
      <c r="R439">
        <v>15.594497</v>
      </c>
      <c r="S439">
        <v>13.199641</v>
      </c>
      <c r="T439">
        <v>14.562484</v>
      </c>
      <c r="U439">
        <v>14.814906000000001</v>
      </c>
      <c r="V439">
        <v>14.805586999999999</v>
      </c>
      <c r="W439">
        <v>15.041575999999999</v>
      </c>
      <c r="X439">
        <v>14.886104</v>
      </c>
      <c r="Y439">
        <v>14.92984</v>
      </c>
      <c r="Z439">
        <v>15.101765</v>
      </c>
      <c r="AA439">
        <v>16.110949000000002</v>
      </c>
      <c r="AB439">
        <v>15.142655</v>
      </c>
      <c r="AC439">
        <v>12.164823</v>
      </c>
      <c r="AD439">
        <v>15.627608</v>
      </c>
      <c r="AE439">
        <v>15.554897</v>
      </c>
      <c r="AF439">
        <v>15.406406</v>
      </c>
      <c r="AG439">
        <v>15.626163999999999</v>
      </c>
    </row>
    <row r="440" spans="1:33" x14ac:dyDescent="0.25">
      <c r="A440" s="1">
        <v>44491</v>
      </c>
      <c r="B440">
        <v>15.129905000000001</v>
      </c>
      <c r="C440">
        <v>15.408734000000001</v>
      </c>
      <c r="D440">
        <v>15.284482000000001</v>
      </c>
      <c r="E440">
        <v>15.077529</v>
      </c>
      <c r="F440">
        <v>15.379973</v>
      </c>
      <c r="G440">
        <v>15.350607999999999</v>
      </c>
      <c r="H440">
        <v>15.014063999999999</v>
      </c>
      <c r="I440">
        <v>15.263659499999999</v>
      </c>
      <c r="J440">
        <v>15.179188999999999</v>
      </c>
      <c r="K440">
        <v>16.064934000000001</v>
      </c>
      <c r="L440">
        <v>15.663295</v>
      </c>
      <c r="M440">
        <v>15.397807999999999</v>
      </c>
      <c r="N440">
        <v>15.14541</v>
      </c>
      <c r="O440">
        <v>15.593842499999999</v>
      </c>
      <c r="P440">
        <v>15.520724</v>
      </c>
      <c r="Q440">
        <v>15.361211000000001</v>
      </c>
      <c r="R440">
        <v>15.640513</v>
      </c>
      <c r="S440">
        <v>13.821968999999999</v>
      </c>
      <c r="T440">
        <v>14.800152000000001</v>
      </c>
      <c r="U440">
        <v>15.064109999999999</v>
      </c>
      <c r="V440">
        <v>14.994237</v>
      </c>
      <c r="W440">
        <v>15.044624000000001</v>
      </c>
      <c r="X440">
        <v>15.0586815</v>
      </c>
      <c r="Y440">
        <v>15.144164999999999</v>
      </c>
      <c r="Z440">
        <v>15.192920000000001</v>
      </c>
      <c r="AA440">
        <v>16.204370000000001</v>
      </c>
      <c r="AB440">
        <v>15.339668</v>
      </c>
      <c r="AC440">
        <v>13.112708</v>
      </c>
      <c r="AD440">
        <v>15.699647000000001</v>
      </c>
      <c r="AE440">
        <v>16.158235999999999</v>
      </c>
      <c r="AF440">
        <v>15.175632999999999</v>
      </c>
      <c r="AG440">
        <v>15.747688</v>
      </c>
    </row>
    <row r="441" spans="1:33" x14ac:dyDescent="0.25">
      <c r="A441" s="1">
        <v>44492</v>
      </c>
      <c r="B441">
        <v>14.761672000000001</v>
      </c>
      <c r="C441">
        <v>15.234848</v>
      </c>
      <c r="D441">
        <v>15.211387999999999</v>
      </c>
      <c r="E441">
        <v>14.965832000000001</v>
      </c>
      <c r="F441">
        <v>15.129878</v>
      </c>
      <c r="G441">
        <v>15.294446000000001</v>
      </c>
      <c r="H441">
        <v>15.016753</v>
      </c>
      <c r="I441">
        <v>14.990558999999999</v>
      </c>
      <c r="J441">
        <v>15.009822</v>
      </c>
      <c r="K441">
        <v>15.918841</v>
      </c>
      <c r="L441">
        <v>15.570297999999999</v>
      </c>
      <c r="M441">
        <v>15.301099000000001</v>
      </c>
      <c r="N441">
        <v>15.069736499999999</v>
      </c>
      <c r="O441">
        <v>15.430033999999999</v>
      </c>
      <c r="P441">
        <v>15.453609</v>
      </c>
      <c r="Q441">
        <v>15.301879</v>
      </c>
      <c r="R441">
        <v>15.541865</v>
      </c>
      <c r="S441">
        <v>13.767837999999999</v>
      </c>
      <c r="T441">
        <v>14.834519</v>
      </c>
      <c r="U441">
        <v>14.945546</v>
      </c>
      <c r="V441">
        <v>15.017863</v>
      </c>
      <c r="W441">
        <v>14.919084</v>
      </c>
      <c r="X441">
        <v>15.102746</v>
      </c>
      <c r="Y441">
        <v>14.924061</v>
      </c>
      <c r="Z441">
        <v>15.044242000000001</v>
      </c>
      <c r="AA441">
        <v>16.039083000000002</v>
      </c>
      <c r="AB441">
        <v>15.216339</v>
      </c>
      <c r="AC441">
        <v>14.915485</v>
      </c>
      <c r="AD441">
        <v>15.625373</v>
      </c>
      <c r="AE441">
        <v>16.258368000000001</v>
      </c>
      <c r="AF441">
        <v>14.688819000000001</v>
      </c>
      <c r="AG441">
        <v>15.441719000000001</v>
      </c>
    </row>
    <row r="442" spans="1:33" x14ac:dyDescent="0.25">
      <c r="A442" s="1">
        <v>44493</v>
      </c>
      <c r="B442">
        <v>14.668837999999999</v>
      </c>
      <c r="C442">
        <v>15.30321</v>
      </c>
      <c r="D442">
        <v>15.158747999999999</v>
      </c>
      <c r="E442">
        <v>15.054333</v>
      </c>
      <c r="F442">
        <v>15.283765000000001</v>
      </c>
      <c r="G442">
        <v>15.225510999999999</v>
      </c>
      <c r="H442">
        <v>14.831998</v>
      </c>
      <c r="I442">
        <v>15.121846</v>
      </c>
      <c r="J442">
        <v>15.150499999999999</v>
      </c>
      <c r="K442">
        <v>15.833458</v>
      </c>
      <c r="L442">
        <v>15.498353</v>
      </c>
      <c r="M442">
        <v>15.260770000000001</v>
      </c>
      <c r="N442">
        <v>15.148669999999999</v>
      </c>
      <c r="O442">
        <v>15.355399999999999</v>
      </c>
      <c r="P442">
        <v>15.388438000000001</v>
      </c>
      <c r="Q442">
        <v>15.242959000000001</v>
      </c>
      <c r="R442">
        <v>15.461371</v>
      </c>
      <c r="S442">
        <v>14.056378</v>
      </c>
      <c r="T442">
        <v>14.909973000000001</v>
      </c>
      <c r="U442">
        <v>14.908609999999999</v>
      </c>
      <c r="V442">
        <v>15.075771</v>
      </c>
      <c r="W442">
        <v>15.026172000000001</v>
      </c>
      <c r="X442">
        <v>15.041157</v>
      </c>
      <c r="Y442">
        <v>14.84479</v>
      </c>
      <c r="Z442">
        <v>15.086124999999999</v>
      </c>
      <c r="AA442">
        <v>15.922597</v>
      </c>
      <c r="AB442">
        <v>15.203217499999999</v>
      </c>
      <c r="AC442">
        <v>14.510901</v>
      </c>
      <c r="AD442">
        <v>15.536308999999999</v>
      </c>
      <c r="AE442">
        <v>15.430766999999999</v>
      </c>
      <c r="AF442">
        <v>14.408355999999999</v>
      </c>
      <c r="AG442">
        <v>15.396634000000001</v>
      </c>
    </row>
    <row r="443" spans="1:33" x14ac:dyDescent="0.25">
      <c r="A443" s="1">
        <v>44494</v>
      </c>
      <c r="B443">
        <v>14.658886000000001</v>
      </c>
      <c r="C443">
        <v>15.241025</v>
      </c>
      <c r="D443">
        <v>15.121193</v>
      </c>
      <c r="E443">
        <v>15.038062999999999</v>
      </c>
      <c r="F443">
        <v>15.199097999999999</v>
      </c>
      <c r="G443">
        <v>15.254807</v>
      </c>
      <c r="H443">
        <v>15.034729</v>
      </c>
      <c r="I443">
        <v>15.002597</v>
      </c>
      <c r="J443">
        <v>15.146217999999999</v>
      </c>
      <c r="K443">
        <v>15.751766</v>
      </c>
      <c r="L443">
        <v>15.404674999999999</v>
      </c>
      <c r="M443">
        <v>15.277469999999999</v>
      </c>
      <c r="N443">
        <v>15.106463</v>
      </c>
      <c r="O443">
        <v>15.2793455</v>
      </c>
      <c r="P443">
        <v>15.421670000000001</v>
      </c>
      <c r="Q443">
        <v>15.232585</v>
      </c>
      <c r="R443">
        <v>15.379135</v>
      </c>
      <c r="S443">
        <v>14.423848</v>
      </c>
      <c r="T443">
        <v>14.930018</v>
      </c>
      <c r="U443">
        <v>15.256841</v>
      </c>
      <c r="V443">
        <v>14.970736499999999</v>
      </c>
      <c r="W443">
        <v>15.112685000000001</v>
      </c>
      <c r="X443">
        <v>14.981017</v>
      </c>
      <c r="Y443">
        <v>14.368611</v>
      </c>
      <c r="Z443">
        <v>15.425407999999999</v>
      </c>
      <c r="AA443">
        <v>15.859617999999999</v>
      </c>
      <c r="AB443">
        <v>14.906155</v>
      </c>
      <c r="AC443">
        <v>15.316129</v>
      </c>
      <c r="AD443">
        <v>15.49657</v>
      </c>
      <c r="AE443">
        <v>15.295715</v>
      </c>
      <c r="AF443">
        <v>14.133336</v>
      </c>
      <c r="AG443">
        <v>15.719199</v>
      </c>
    </row>
    <row r="444" spans="1:33" x14ac:dyDescent="0.25">
      <c r="A444" s="1">
        <v>44495</v>
      </c>
      <c r="B444">
        <v>14.029498</v>
      </c>
      <c r="C444">
        <v>15.005137</v>
      </c>
      <c r="D444">
        <v>14.920598</v>
      </c>
      <c r="E444">
        <v>14.641162</v>
      </c>
      <c r="F444">
        <v>14.87086</v>
      </c>
      <c r="G444">
        <v>15.043778</v>
      </c>
      <c r="H444">
        <v>15.004958</v>
      </c>
      <c r="I444">
        <v>14.456693</v>
      </c>
      <c r="J444">
        <v>14.671974000000001</v>
      </c>
      <c r="K444">
        <v>15.553411000000001</v>
      </c>
      <c r="L444">
        <v>15.164282999999999</v>
      </c>
      <c r="M444">
        <v>15.076950999999999</v>
      </c>
      <c r="N444">
        <v>14.920845999999999</v>
      </c>
      <c r="O444">
        <v>15.097156999999999</v>
      </c>
      <c r="P444">
        <v>15.254345000000001</v>
      </c>
      <c r="Q444">
        <v>15.0228</v>
      </c>
      <c r="R444">
        <v>15.161823</v>
      </c>
      <c r="S444">
        <v>13.941198999999999</v>
      </c>
      <c r="T444">
        <v>14.737264</v>
      </c>
      <c r="U444">
        <v>15.091011</v>
      </c>
      <c r="V444">
        <v>14.943187</v>
      </c>
      <c r="W444">
        <v>15.429373999999999</v>
      </c>
      <c r="X444">
        <v>14.957272</v>
      </c>
      <c r="Y444">
        <v>14.866626999999999</v>
      </c>
      <c r="Z444">
        <v>15.195378</v>
      </c>
      <c r="AA444">
        <v>15.6004305</v>
      </c>
      <c r="AB444">
        <v>14.908177</v>
      </c>
      <c r="AC444">
        <v>18.536850000000001</v>
      </c>
      <c r="AD444">
        <v>15.302186000000001</v>
      </c>
      <c r="AE444">
        <v>15.103398</v>
      </c>
      <c r="AF444">
        <v>14.785641999999999</v>
      </c>
      <c r="AG444">
        <v>15.199547000000001</v>
      </c>
    </row>
    <row r="445" spans="1:33" x14ac:dyDescent="0.25">
      <c r="A445" s="1">
        <v>44496</v>
      </c>
      <c r="B445">
        <v>14.2379465</v>
      </c>
      <c r="C445">
        <v>15.088511</v>
      </c>
      <c r="D445">
        <v>14.931385000000001</v>
      </c>
      <c r="E445">
        <v>14.629613000000001</v>
      </c>
      <c r="F445">
        <v>15.209258</v>
      </c>
      <c r="G445">
        <v>14.948247</v>
      </c>
      <c r="H445">
        <v>15.040915500000001</v>
      </c>
      <c r="I445">
        <v>14.682122</v>
      </c>
      <c r="J445">
        <v>14.887665</v>
      </c>
      <c r="K445">
        <v>15.590336000000001</v>
      </c>
      <c r="L445">
        <v>15.231697</v>
      </c>
      <c r="M445">
        <v>15.058013000000001</v>
      </c>
      <c r="N445">
        <v>15.05463</v>
      </c>
      <c r="O445">
        <v>15.222667</v>
      </c>
      <c r="P445">
        <v>15.243480999999999</v>
      </c>
      <c r="Q445">
        <v>14.955591999999999</v>
      </c>
      <c r="R445">
        <v>15.216735999999999</v>
      </c>
      <c r="S445">
        <v>14.065147</v>
      </c>
      <c r="T445">
        <v>15.248424999999999</v>
      </c>
      <c r="U445">
        <v>15.212464000000001</v>
      </c>
      <c r="V445">
        <v>15.882179000000001</v>
      </c>
      <c r="W445">
        <v>15.893528</v>
      </c>
      <c r="X445">
        <v>15.887771000000001</v>
      </c>
      <c r="Y445">
        <v>16.819220999999999</v>
      </c>
      <c r="Z445">
        <v>15.394551</v>
      </c>
      <c r="AA445">
        <v>15.666817</v>
      </c>
      <c r="AB445">
        <v>15.283993000000001</v>
      </c>
      <c r="AC445">
        <v>14.212147</v>
      </c>
      <c r="AD445">
        <v>15.341796</v>
      </c>
      <c r="AE445">
        <v>15.507961</v>
      </c>
      <c r="AF445">
        <v>16.078683999999999</v>
      </c>
      <c r="AG445">
        <v>15.393974</v>
      </c>
    </row>
    <row r="446" spans="1:33" x14ac:dyDescent="0.25">
      <c r="A446" s="1">
        <v>44497</v>
      </c>
      <c r="B446">
        <v>14.792141000000001</v>
      </c>
      <c r="C446">
        <v>15.323035000000001</v>
      </c>
      <c r="D446">
        <v>15.193849</v>
      </c>
      <c r="E446">
        <v>14.912205</v>
      </c>
      <c r="F446">
        <v>15.510671</v>
      </c>
      <c r="G446">
        <v>15.141143</v>
      </c>
      <c r="H446">
        <v>15.237351</v>
      </c>
      <c r="I446">
        <v>15.347884000000001</v>
      </c>
      <c r="J446">
        <v>15.322244</v>
      </c>
      <c r="K446">
        <v>15.725740999999999</v>
      </c>
      <c r="L446">
        <v>15.536407000000001</v>
      </c>
      <c r="M446">
        <v>15.211112999999999</v>
      </c>
      <c r="N446">
        <v>15.604585</v>
      </c>
      <c r="O446">
        <v>15.778211000000001</v>
      </c>
      <c r="P446">
        <v>15.404883999999999</v>
      </c>
      <c r="Q446">
        <v>15.258141</v>
      </c>
      <c r="R446">
        <v>15.572787</v>
      </c>
      <c r="S446">
        <v>14.739402999999999</v>
      </c>
      <c r="T446">
        <v>15.551951000000001</v>
      </c>
      <c r="U446">
        <v>15.47199</v>
      </c>
      <c r="V446">
        <v>15.925076499999999</v>
      </c>
      <c r="W446">
        <v>15.439045999999999</v>
      </c>
      <c r="X446">
        <v>15.908078</v>
      </c>
      <c r="Y446">
        <v>17.192775999999999</v>
      </c>
      <c r="Z446">
        <v>15.755694999999999</v>
      </c>
      <c r="AA446">
        <v>15.897147</v>
      </c>
      <c r="AB446">
        <v>16.441507000000001</v>
      </c>
      <c r="AC446">
        <v>14.361708999999999</v>
      </c>
      <c r="AD446">
        <v>15.585076000000001</v>
      </c>
      <c r="AE446">
        <v>16.196701000000001</v>
      </c>
      <c r="AF446">
        <v>17.222645</v>
      </c>
      <c r="AG446">
        <v>15.84605</v>
      </c>
    </row>
    <row r="447" spans="1:33" x14ac:dyDescent="0.25">
      <c r="A447" s="1">
        <v>44498</v>
      </c>
      <c r="B447">
        <v>15.317389500000001</v>
      </c>
      <c r="C447">
        <v>15.508184999999999</v>
      </c>
      <c r="D447">
        <v>15.473205999999999</v>
      </c>
      <c r="E447">
        <v>15.237347</v>
      </c>
      <c r="F447">
        <v>15.686775000000001</v>
      </c>
      <c r="G447">
        <v>15.403193999999999</v>
      </c>
      <c r="H447">
        <v>15.310142000000001</v>
      </c>
      <c r="I447">
        <v>15.817738</v>
      </c>
      <c r="J447">
        <v>15.662532000000001</v>
      </c>
      <c r="K447">
        <v>15.842720999999999</v>
      </c>
      <c r="L447">
        <v>15.763833</v>
      </c>
      <c r="M447">
        <v>15.455283</v>
      </c>
      <c r="N447">
        <v>15.94312</v>
      </c>
      <c r="O447">
        <v>15.932537</v>
      </c>
      <c r="P447">
        <v>15.604665000000001</v>
      </c>
      <c r="Q447">
        <v>15.611698000000001</v>
      </c>
      <c r="R447">
        <v>15.793139</v>
      </c>
      <c r="S447">
        <v>15.159806</v>
      </c>
      <c r="T447">
        <v>15.575523</v>
      </c>
      <c r="U447">
        <v>15.711509</v>
      </c>
      <c r="V447">
        <v>15.374644999999999</v>
      </c>
      <c r="W447">
        <v>15.02544</v>
      </c>
      <c r="X447">
        <v>15.347556000000001</v>
      </c>
      <c r="Y447">
        <v>15.636422</v>
      </c>
      <c r="Z447">
        <v>16.017887000000002</v>
      </c>
      <c r="AA447">
        <v>15.965861</v>
      </c>
      <c r="AB447">
        <v>16.037033000000001</v>
      </c>
      <c r="AC447">
        <v>15.032441</v>
      </c>
      <c r="AD447">
        <v>15.775525</v>
      </c>
      <c r="AE447">
        <v>16.436917999999999</v>
      </c>
      <c r="AF447">
        <v>16.735014</v>
      </c>
      <c r="AG447">
        <v>16.023539</v>
      </c>
    </row>
    <row r="448" spans="1:33" x14ac:dyDescent="0.25">
      <c r="A448" s="1">
        <v>44499</v>
      </c>
      <c r="B448">
        <v>15.576846</v>
      </c>
      <c r="C448">
        <v>15.761842</v>
      </c>
      <c r="D448">
        <v>15.658206</v>
      </c>
      <c r="E448">
        <v>15.455994</v>
      </c>
      <c r="F448">
        <v>15.679349</v>
      </c>
      <c r="G448">
        <v>15.59211</v>
      </c>
      <c r="H448">
        <v>15.399274</v>
      </c>
      <c r="I448">
        <v>15.898799</v>
      </c>
      <c r="J448">
        <v>15.845366500000001</v>
      </c>
      <c r="K448">
        <v>15.91315</v>
      </c>
      <c r="L448">
        <v>15.884387</v>
      </c>
      <c r="M448">
        <v>15.637675</v>
      </c>
      <c r="N448">
        <v>15.961499</v>
      </c>
      <c r="O448">
        <v>15.897492</v>
      </c>
      <c r="P448">
        <v>15.791535</v>
      </c>
      <c r="Q448">
        <v>15.778416999999999</v>
      </c>
      <c r="R448">
        <v>15.840286000000001</v>
      </c>
      <c r="S448">
        <v>15.419972</v>
      </c>
      <c r="T448">
        <v>15.544453000000001</v>
      </c>
      <c r="U448">
        <v>15.9225235</v>
      </c>
      <c r="V448">
        <v>15.164996</v>
      </c>
      <c r="W448">
        <v>15.268948</v>
      </c>
      <c r="X448">
        <v>15.146671</v>
      </c>
      <c r="Y448">
        <v>15.823688000000001</v>
      </c>
      <c r="Z448">
        <v>16.304103999999999</v>
      </c>
      <c r="AA448">
        <v>15.893697</v>
      </c>
      <c r="AB448">
        <v>16.140951000000001</v>
      </c>
      <c r="AC448">
        <v>15.490989000000001</v>
      </c>
      <c r="AD448">
        <v>15.866016</v>
      </c>
      <c r="AE448">
        <v>16.610769999999999</v>
      </c>
      <c r="AF448">
        <v>16.2346</v>
      </c>
      <c r="AG448">
        <v>16.126843999999998</v>
      </c>
    </row>
    <row r="449" spans="1:33" x14ac:dyDescent="0.25">
      <c r="A449" s="1">
        <v>44500</v>
      </c>
      <c r="B449">
        <v>15.404472</v>
      </c>
      <c r="C449">
        <v>15.687175999999999</v>
      </c>
      <c r="D449">
        <v>15.64298</v>
      </c>
      <c r="E449">
        <v>15.401103000000001</v>
      </c>
      <c r="F449">
        <v>15.645699499999999</v>
      </c>
      <c r="G449">
        <v>15.628838999999999</v>
      </c>
      <c r="H449">
        <v>15.379479</v>
      </c>
      <c r="I449">
        <v>15.692287</v>
      </c>
      <c r="J449">
        <v>15.704046999999999</v>
      </c>
      <c r="K449">
        <v>15.904026</v>
      </c>
      <c r="L449">
        <v>15.804845</v>
      </c>
      <c r="M449">
        <v>15.675255</v>
      </c>
      <c r="N449">
        <v>15.767334</v>
      </c>
      <c r="O449">
        <v>15.70651</v>
      </c>
      <c r="P449">
        <v>15.795322000000001</v>
      </c>
      <c r="Q449">
        <v>15.742084</v>
      </c>
      <c r="R449">
        <v>15.75637</v>
      </c>
      <c r="S449">
        <v>15.147639</v>
      </c>
      <c r="T449">
        <v>15.394653</v>
      </c>
      <c r="U449">
        <v>15.927182</v>
      </c>
      <c r="V449">
        <v>15.284537</v>
      </c>
      <c r="W449">
        <v>15.714591</v>
      </c>
      <c r="X449">
        <v>15.313218000000001</v>
      </c>
      <c r="Y449">
        <v>15.495291999999999</v>
      </c>
      <c r="Z449">
        <v>16.176293999999999</v>
      </c>
      <c r="AA449">
        <v>15.763787000000001</v>
      </c>
      <c r="AB449">
        <v>15.999209</v>
      </c>
      <c r="AC449">
        <v>15.613395000000001</v>
      </c>
      <c r="AD449">
        <v>15.815265999999999</v>
      </c>
      <c r="AE449">
        <v>16.100735</v>
      </c>
      <c r="AF449">
        <v>15.827411</v>
      </c>
      <c r="AG449">
        <v>15.900585</v>
      </c>
    </row>
    <row r="450" spans="1:33" x14ac:dyDescent="0.25">
      <c r="A450" s="1">
        <v>44501</v>
      </c>
      <c r="B450">
        <v>15.303205999999999</v>
      </c>
      <c r="C450">
        <v>15.694122</v>
      </c>
      <c r="D450">
        <v>15.609780000000001</v>
      </c>
      <c r="E450">
        <v>15.364811</v>
      </c>
      <c r="F450">
        <v>15.60562</v>
      </c>
      <c r="G450">
        <v>15.633240000000001</v>
      </c>
      <c r="H450">
        <v>15.296723</v>
      </c>
      <c r="I450">
        <v>15.571317000000001</v>
      </c>
      <c r="J450">
        <v>15.584737000000001</v>
      </c>
      <c r="K450">
        <v>15.867317</v>
      </c>
      <c r="L450">
        <v>15.733921</v>
      </c>
      <c r="M450">
        <v>15.653439000000001</v>
      </c>
      <c r="N450">
        <v>15.63165</v>
      </c>
      <c r="O450">
        <v>15.645557999999999</v>
      </c>
      <c r="P450">
        <v>15.775987000000001</v>
      </c>
      <c r="Q450">
        <v>15.689306999999999</v>
      </c>
      <c r="R450">
        <v>15.713085</v>
      </c>
      <c r="S450">
        <v>14.853538500000001</v>
      </c>
      <c r="T450">
        <v>15.368833</v>
      </c>
      <c r="U450">
        <v>15.930202</v>
      </c>
      <c r="V450">
        <v>15.579409999999999</v>
      </c>
      <c r="W450">
        <v>15.841407999999999</v>
      </c>
      <c r="X450">
        <v>15.599918000000001</v>
      </c>
      <c r="Y450">
        <v>15.564155</v>
      </c>
      <c r="Z450">
        <v>15.964831</v>
      </c>
      <c r="AA450">
        <v>15.684326</v>
      </c>
      <c r="AB450">
        <v>15.844738</v>
      </c>
      <c r="AC450">
        <v>15.171322</v>
      </c>
      <c r="AD450">
        <v>15.730878000000001</v>
      </c>
      <c r="AE450">
        <v>15.441940000000001</v>
      </c>
      <c r="AF450">
        <v>15.522183</v>
      </c>
      <c r="AG450">
        <v>15.739074</v>
      </c>
    </row>
    <row r="451" spans="1:33" x14ac:dyDescent="0.25">
      <c r="A451" s="1">
        <v>44502</v>
      </c>
      <c r="B451">
        <v>15.344208</v>
      </c>
      <c r="C451">
        <v>15.659893</v>
      </c>
      <c r="D451">
        <v>15.603477</v>
      </c>
      <c r="E451">
        <v>15.398342</v>
      </c>
      <c r="F451">
        <v>15.578900000000001</v>
      </c>
      <c r="G451">
        <v>15.603403999999999</v>
      </c>
      <c r="H451">
        <v>15.329333</v>
      </c>
      <c r="I451">
        <v>15.564453</v>
      </c>
      <c r="J451">
        <v>15.654832000000001</v>
      </c>
      <c r="K451">
        <v>15.911033</v>
      </c>
      <c r="L451">
        <v>15.804470999999999</v>
      </c>
      <c r="M451">
        <v>15.6354685</v>
      </c>
      <c r="N451">
        <v>15.591214000000001</v>
      </c>
      <c r="O451">
        <v>15.750003</v>
      </c>
      <c r="P451">
        <v>15.782982000000001</v>
      </c>
      <c r="Q451">
        <v>15.644304999999999</v>
      </c>
      <c r="R451">
        <v>15.796592</v>
      </c>
      <c r="S451">
        <v>14.961753</v>
      </c>
      <c r="T451">
        <v>15.465285</v>
      </c>
      <c r="U451">
        <v>16.016656999999999</v>
      </c>
      <c r="V451">
        <v>15.799882</v>
      </c>
      <c r="W451">
        <v>16.004221000000001</v>
      </c>
      <c r="X451">
        <v>15.879027000000001</v>
      </c>
      <c r="Y451">
        <v>15.746513</v>
      </c>
      <c r="Z451">
        <v>15.833318</v>
      </c>
      <c r="AA451">
        <v>15.752269</v>
      </c>
      <c r="AB451">
        <v>15.865444999999999</v>
      </c>
      <c r="AC451">
        <v>14.921734000000001</v>
      </c>
      <c r="AD451">
        <v>15.762111000000001</v>
      </c>
      <c r="AE451">
        <v>15.712616000000001</v>
      </c>
      <c r="AF451">
        <v>15.481128</v>
      </c>
      <c r="AG451">
        <v>15.802875500000001</v>
      </c>
    </row>
    <row r="452" spans="1:33" x14ac:dyDescent="0.25">
      <c r="A452" s="1">
        <v>44503</v>
      </c>
      <c r="B452">
        <v>15.468935999999999</v>
      </c>
      <c r="C452">
        <v>15.728263</v>
      </c>
      <c r="D452">
        <v>15.692936</v>
      </c>
      <c r="E452">
        <v>15.519688</v>
      </c>
      <c r="F452">
        <v>15.666954</v>
      </c>
      <c r="G452">
        <v>15.640941</v>
      </c>
      <c r="H452">
        <v>15.394565</v>
      </c>
      <c r="I452">
        <v>15.691667000000001</v>
      </c>
      <c r="J452">
        <v>15.716571999999999</v>
      </c>
      <c r="K452">
        <v>15.974724999999999</v>
      </c>
      <c r="L452">
        <v>15.855521</v>
      </c>
      <c r="M452">
        <v>15.697739</v>
      </c>
      <c r="N452">
        <v>15.630246</v>
      </c>
      <c r="O452">
        <v>15.83121</v>
      </c>
      <c r="P452">
        <v>15.822723</v>
      </c>
      <c r="Q452">
        <v>15.683127000000001</v>
      </c>
      <c r="R452">
        <v>15.840752</v>
      </c>
      <c r="S452">
        <v>14.972595</v>
      </c>
      <c r="T452">
        <v>15.597726</v>
      </c>
      <c r="U452">
        <v>16.11645</v>
      </c>
      <c r="V452">
        <v>15.887543000000001</v>
      </c>
      <c r="W452">
        <v>16.129560000000001</v>
      </c>
      <c r="X452">
        <v>15.982975</v>
      </c>
      <c r="Y452">
        <v>15.813107499999999</v>
      </c>
      <c r="Z452">
        <v>15.82433</v>
      </c>
      <c r="AA452">
        <v>15.866534</v>
      </c>
      <c r="AB452">
        <v>15.888693999999999</v>
      </c>
      <c r="AC452">
        <v>14.907996000000001</v>
      </c>
      <c r="AD452">
        <v>15.835243</v>
      </c>
      <c r="AE452">
        <v>16.189520000000002</v>
      </c>
      <c r="AF452">
        <v>15.557886999999999</v>
      </c>
      <c r="AG452">
        <v>15.805698</v>
      </c>
    </row>
    <row r="453" spans="1:33" x14ac:dyDescent="0.25">
      <c r="A453" s="1">
        <v>44504</v>
      </c>
      <c r="B453">
        <v>15.770403999999999</v>
      </c>
      <c r="C453">
        <v>15.859836</v>
      </c>
      <c r="D453">
        <v>15.901691</v>
      </c>
      <c r="E453">
        <v>15.756047000000001</v>
      </c>
      <c r="F453">
        <v>15.805858000000001</v>
      </c>
      <c r="G453">
        <v>15.747609000000001</v>
      </c>
      <c r="H453">
        <v>15.504709999999999</v>
      </c>
      <c r="I453">
        <v>15.867035</v>
      </c>
      <c r="J453">
        <v>15.97655</v>
      </c>
      <c r="K453">
        <v>16.104707999999999</v>
      </c>
      <c r="L453">
        <v>16.028955</v>
      </c>
      <c r="M453">
        <v>15.805982</v>
      </c>
      <c r="N453">
        <v>15.808994999999999</v>
      </c>
      <c r="O453">
        <v>16.013722999999999</v>
      </c>
      <c r="P453">
        <v>15.955588000000001</v>
      </c>
      <c r="Q453">
        <v>15.801083999999999</v>
      </c>
      <c r="R453">
        <v>15.990033</v>
      </c>
      <c r="S453">
        <v>15.257904</v>
      </c>
      <c r="T453">
        <v>15.852410000000001</v>
      </c>
      <c r="U453">
        <v>16.34928</v>
      </c>
      <c r="V453">
        <v>16.126944999999999</v>
      </c>
      <c r="W453">
        <v>16.246127999999999</v>
      </c>
      <c r="X453">
        <v>16.256128</v>
      </c>
      <c r="Y453">
        <v>15.986931</v>
      </c>
      <c r="Z453">
        <v>16.021559</v>
      </c>
      <c r="AA453">
        <v>16.085054</v>
      </c>
      <c r="AB453">
        <v>16.086542000000001</v>
      </c>
      <c r="AC453">
        <v>15.221821</v>
      </c>
      <c r="AD453">
        <v>15.998564999999999</v>
      </c>
      <c r="AE453">
        <v>16.391596</v>
      </c>
      <c r="AF453">
        <v>15.750064</v>
      </c>
      <c r="AG453">
        <v>16.002189999999999</v>
      </c>
    </row>
    <row r="454" spans="1:33" x14ac:dyDescent="0.25">
      <c r="A454" s="1">
        <v>44505</v>
      </c>
      <c r="B454">
        <v>15.387295999999999</v>
      </c>
      <c r="C454">
        <v>15.640351000000001</v>
      </c>
      <c r="D454">
        <v>15.758443</v>
      </c>
      <c r="E454">
        <v>15.567688</v>
      </c>
      <c r="F454">
        <v>15.442975000000001</v>
      </c>
      <c r="G454">
        <v>15.675034</v>
      </c>
      <c r="H454">
        <v>15.392042999999999</v>
      </c>
      <c r="I454">
        <v>15.334348</v>
      </c>
      <c r="J454">
        <v>15.521221000000001</v>
      </c>
      <c r="K454">
        <v>15.982654999999999</v>
      </c>
      <c r="L454">
        <v>15.906231999999999</v>
      </c>
      <c r="M454">
        <v>15.68942</v>
      </c>
      <c r="N454">
        <v>15.703847</v>
      </c>
      <c r="O454">
        <v>15.887297999999999</v>
      </c>
      <c r="P454">
        <v>15.8451395</v>
      </c>
      <c r="Q454">
        <v>15.714715</v>
      </c>
      <c r="R454">
        <v>15.876742</v>
      </c>
      <c r="S454">
        <v>14.83738</v>
      </c>
      <c r="T454">
        <v>15.794295999999999</v>
      </c>
      <c r="U454">
        <v>16.249178000000001</v>
      </c>
      <c r="V454">
        <v>15.981194500000001</v>
      </c>
      <c r="W454">
        <v>16.249786</v>
      </c>
      <c r="X454">
        <v>16.091235999999999</v>
      </c>
      <c r="Y454">
        <v>15.780319</v>
      </c>
      <c r="Z454">
        <v>15.977487</v>
      </c>
      <c r="AA454">
        <v>15.996537</v>
      </c>
      <c r="AB454">
        <v>15.932274</v>
      </c>
      <c r="AC454">
        <v>15.066039</v>
      </c>
      <c r="AD454">
        <v>15.946664</v>
      </c>
      <c r="AE454">
        <v>15.970084</v>
      </c>
      <c r="AF454">
        <v>15.761134999999999</v>
      </c>
      <c r="AG454">
        <v>15.746769</v>
      </c>
    </row>
    <row r="455" spans="1:33" x14ac:dyDescent="0.25">
      <c r="A455" s="1">
        <v>44506</v>
      </c>
      <c r="B455">
        <v>15.027831000000001</v>
      </c>
      <c r="C455">
        <v>15.433721</v>
      </c>
      <c r="D455">
        <v>15.404016</v>
      </c>
      <c r="E455">
        <v>15.243594999999999</v>
      </c>
      <c r="F455">
        <v>15.200951</v>
      </c>
      <c r="G455">
        <v>15.463035</v>
      </c>
      <c r="H455">
        <v>15.196512999999999</v>
      </c>
      <c r="I455">
        <v>14.784008999999999</v>
      </c>
      <c r="J455">
        <v>14.984277000000001</v>
      </c>
      <c r="K455">
        <v>15.830738999999999</v>
      </c>
      <c r="L455">
        <v>15.684680999999999</v>
      </c>
      <c r="M455">
        <v>15.468045</v>
      </c>
      <c r="N455">
        <v>15.51628</v>
      </c>
      <c r="O455">
        <v>15.693967000000001</v>
      </c>
      <c r="P455">
        <v>15.643321</v>
      </c>
      <c r="Q455">
        <v>15.503164999999999</v>
      </c>
      <c r="R455">
        <v>15.699764</v>
      </c>
      <c r="S455">
        <v>14.156476</v>
      </c>
      <c r="T455">
        <v>15.533488</v>
      </c>
      <c r="U455">
        <v>16.030712000000001</v>
      </c>
      <c r="V455">
        <v>15.665584000000001</v>
      </c>
      <c r="W455">
        <v>15.955844000000001</v>
      </c>
      <c r="X455">
        <v>15.754251</v>
      </c>
      <c r="Y455">
        <v>15.361878000000001</v>
      </c>
      <c r="Z455">
        <v>15.787418000000001</v>
      </c>
      <c r="AA455">
        <v>15.766597000000001</v>
      </c>
      <c r="AB455">
        <v>15.637775</v>
      </c>
      <c r="AC455">
        <v>14.644973999999999</v>
      </c>
      <c r="AD455">
        <v>15.747610999999999</v>
      </c>
      <c r="AE455">
        <v>15.899540999999999</v>
      </c>
      <c r="AF455">
        <v>15.611596</v>
      </c>
      <c r="AG455">
        <v>15.514614</v>
      </c>
    </row>
    <row r="456" spans="1:33" x14ac:dyDescent="0.25">
      <c r="A456" s="1">
        <v>44507</v>
      </c>
      <c r="B456">
        <v>14.484557000000001</v>
      </c>
      <c r="C456">
        <v>15.183545000000001</v>
      </c>
      <c r="D456">
        <v>14.882165000000001</v>
      </c>
      <c r="E456">
        <v>14.767737</v>
      </c>
      <c r="F456">
        <v>14.819288999999999</v>
      </c>
      <c r="G456">
        <v>15.150788</v>
      </c>
      <c r="H456">
        <v>14.871223000000001</v>
      </c>
      <c r="I456">
        <v>14.117699</v>
      </c>
      <c r="J456">
        <v>14.340451</v>
      </c>
      <c r="K456">
        <v>15.585746</v>
      </c>
      <c r="L456">
        <v>15.354760000000001</v>
      </c>
      <c r="M456">
        <v>15.164861</v>
      </c>
      <c r="N456">
        <v>15.22588</v>
      </c>
      <c r="O456">
        <v>15.393131</v>
      </c>
      <c r="P456">
        <v>15.344161</v>
      </c>
      <c r="Q456">
        <v>15.209578499999999</v>
      </c>
      <c r="R456">
        <v>15.396136</v>
      </c>
      <c r="S456">
        <v>13.336155</v>
      </c>
      <c r="T456">
        <v>15.172183</v>
      </c>
      <c r="U456">
        <v>15.643141999999999</v>
      </c>
      <c r="V456">
        <v>15.342387</v>
      </c>
      <c r="W456">
        <v>15.490733000000001</v>
      </c>
      <c r="X456">
        <v>15.468297</v>
      </c>
      <c r="Y456">
        <v>14.945346000000001</v>
      </c>
      <c r="Z456">
        <v>15.399581</v>
      </c>
      <c r="AA456">
        <v>15.405927</v>
      </c>
      <c r="AB456">
        <v>15.181652</v>
      </c>
      <c r="AC456">
        <v>13.86103</v>
      </c>
      <c r="AD456">
        <v>15.461261</v>
      </c>
      <c r="AE456">
        <v>15.341694</v>
      </c>
      <c r="AF456">
        <v>15.364704</v>
      </c>
      <c r="AG456">
        <v>15.105881999999999</v>
      </c>
    </row>
    <row r="457" spans="1:33" x14ac:dyDescent="0.25">
      <c r="A457" s="1">
        <v>44508</v>
      </c>
      <c r="B457">
        <v>14.190731</v>
      </c>
      <c r="C457">
        <v>15.001476</v>
      </c>
      <c r="D457">
        <v>14.507966</v>
      </c>
      <c r="E457">
        <v>14.404915000000001</v>
      </c>
      <c r="F457">
        <v>14.663505000000001</v>
      </c>
      <c r="G457">
        <v>14.884437</v>
      </c>
      <c r="H457">
        <v>14.632137</v>
      </c>
      <c r="I457">
        <v>13.970815</v>
      </c>
      <c r="J457">
        <v>14.025169999999999</v>
      </c>
      <c r="K457">
        <v>15.388906</v>
      </c>
      <c r="L457">
        <v>15.064118000000001</v>
      </c>
      <c r="M457">
        <v>14.921332</v>
      </c>
      <c r="N457">
        <v>14.978688</v>
      </c>
      <c r="O457">
        <v>15.112511</v>
      </c>
      <c r="P457">
        <v>15.050862</v>
      </c>
      <c r="Q457">
        <v>14.928319</v>
      </c>
      <c r="R457">
        <v>15.116135999999999</v>
      </c>
      <c r="S457">
        <v>12.675278</v>
      </c>
      <c r="T457">
        <v>14.836690000000001</v>
      </c>
      <c r="U457">
        <v>15.196538</v>
      </c>
      <c r="V457">
        <v>15.005261000000001</v>
      </c>
      <c r="W457">
        <v>15.1307335</v>
      </c>
      <c r="X457">
        <v>15.089489</v>
      </c>
      <c r="Y457">
        <v>14.418611</v>
      </c>
      <c r="Z457">
        <v>14.964831999999999</v>
      </c>
      <c r="AA457">
        <v>15.016041</v>
      </c>
      <c r="AB457">
        <v>14.67004</v>
      </c>
      <c r="AC457">
        <v>13.042895</v>
      </c>
      <c r="AD457">
        <v>15.160188</v>
      </c>
      <c r="AE457">
        <v>14.334163</v>
      </c>
      <c r="AF457">
        <v>15.043908</v>
      </c>
      <c r="AG457">
        <v>14.631831</v>
      </c>
    </row>
    <row r="458" spans="1:33" x14ac:dyDescent="0.25">
      <c r="A458" s="1">
        <v>44509</v>
      </c>
      <c r="B458">
        <v>14.303691000000001</v>
      </c>
      <c r="C458">
        <v>14.811283</v>
      </c>
      <c r="D458">
        <v>14.32436</v>
      </c>
      <c r="E458">
        <v>14.3274765</v>
      </c>
      <c r="F458">
        <v>14.622121</v>
      </c>
      <c r="G458">
        <v>14.779776999999999</v>
      </c>
      <c r="H458">
        <v>14.500360000000001</v>
      </c>
      <c r="I458">
        <v>14.08028</v>
      </c>
      <c r="J458">
        <v>13.954947000000001</v>
      </c>
      <c r="K458">
        <v>15.155075999999999</v>
      </c>
      <c r="L458">
        <v>14.893105</v>
      </c>
      <c r="M458">
        <v>14.809808</v>
      </c>
      <c r="N458">
        <v>14.841896</v>
      </c>
      <c r="O458">
        <v>14.90268</v>
      </c>
      <c r="P458">
        <v>14.845487</v>
      </c>
      <c r="Q458">
        <v>14.826900500000001</v>
      </c>
      <c r="R458">
        <v>14.907230999999999</v>
      </c>
      <c r="S458">
        <v>12.378112</v>
      </c>
      <c r="T458">
        <v>14.611802000000001</v>
      </c>
      <c r="U458">
        <v>14.826749</v>
      </c>
      <c r="V458">
        <v>14.738179000000001</v>
      </c>
      <c r="W458">
        <v>14.644543000000001</v>
      </c>
      <c r="X458">
        <v>14.772088</v>
      </c>
      <c r="Y458">
        <v>14.180099500000001</v>
      </c>
      <c r="Z458">
        <v>14.577721</v>
      </c>
      <c r="AA458">
        <v>14.741038</v>
      </c>
      <c r="AB458">
        <v>14.400501999999999</v>
      </c>
      <c r="AC458">
        <v>12.73513</v>
      </c>
      <c r="AD458">
        <v>14.945668</v>
      </c>
      <c r="AE458">
        <v>14.215176</v>
      </c>
      <c r="AF458">
        <v>14.801919</v>
      </c>
      <c r="AG458">
        <v>14.199138</v>
      </c>
    </row>
    <row r="459" spans="1:33" x14ac:dyDescent="0.25">
      <c r="A459" s="1">
        <v>44510</v>
      </c>
      <c r="B459">
        <v>14.233219999999999</v>
      </c>
      <c r="C459">
        <v>14.819938</v>
      </c>
      <c r="D459">
        <v>14.275790000000001</v>
      </c>
      <c r="E459">
        <v>14.222644000000001</v>
      </c>
      <c r="F459">
        <v>14.736188</v>
      </c>
      <c r="G459">
        <v>14.71759</v>
      </c>
      <c r="H459">
        <v>14.561119</v>
      </c>
      <c r="I459">
        <v>14.249997</v>
      </c>
      <c r="J459">
        <v>13.876291999999999</v>
      </c>
      <c r="K459">
        <v>15.059367999999999</v>
      </c>
      <c r="L459">
        <v>14.762836</v>
      </c>
      <c r="M459">
        <v>14.761664</v>
      </c>
      <c r="N459">
        <v>14.714964999999999</v>
      </c>
      <c r="O459">
        <v>14.814144000000001</v>
      </c>
      <c r="P459">
        <v>14.747146000000001</v>
      </c>
      <c r="Q459">
        <v>14.745911</v>
      </c>
      <c r="R459">
        <v>14.808275999999999</v>
      </c>
      <c r="S459">
        <v>12.517372999999999</v>
      </c>
      <c r="T459">
        <v>14.364675999999999</v>
      </c>
      <c r="U459">
        <v>14.408605</v>
      </c>
      <c r="V459">
        <v>14.532496999999999</v>
      </c>
      <c r="W459">
        <v>14.14935</v>
      </c>
      <c r="X459">
        <v>14.571897</v>
      </c>
      <c r="Y459">
        <v>13.900467000000001</v>
      </c>
      <c r="Z459">
        <v>14.358741999999999</v>
      </c>
      <c r="AA459">
        <v>14.626229</v>
      </c>
      <c r="AB459">
        <v>14.239647</v>
      </c>
      <c r="AC459">
        <v>12.434796</v>
      </c>
      <c r="AD459">
        <v>14.816819000000001</v>
      </c>
      <c r="AE459">
        <v>14.625075000000001</v>
      </c>
      <c r="AF459">
        <v>14.650478</v>
      </c>
      <c r="AG459">
        <v>14.357355999999999</v>
      </c>
    </row>
    <row r="460" spans="1:33" x14ac:dyDescent="0.25">
      <c r="A460" s="1">
        <v>44511</v>
      </c>
      <c r="B460">
        <v>14.309239</v>
      </c>
      <c r="C460">
        <v>14.8785515</v>
      </c>
      <c r="D460">
        <v>14.361096</v>
      </c>
      <c r="E460">
        <v>14.259978</v>
      </c>
      <c r="F460">
        <v>14.883343999999999</v>
      </c>
      <c r="G460">
        <v>14.747911999999999</v>
      </c>
      <c r="H460">
        <v>14.663554</v>
      </c>
      <c r="I460">
        <v>14.513806000000001</v>
      </c>
      <c r="J460">
        <v>14.064674</v>
      </c>
      <c r="K460">
        <v>15.079473999999999</v>
      </c>
      <c r="L460">
        <v>14.782514000000001</v>
      </c>
      <c r="M460">
        <v>14.784196</v>
      </c>
      <c r="N460">
        <v>14.720407</v>
      </c>
      <c r="O460">
        <v>14.811031</v>
      </c>
      <c r="P460">
        <v>14.757702</v>
      </c>
      <c r="Q460">
        <v>14.788403000000001</v>
      </c>
      <c r="R460">
        <v>14.824761000000001</v>
      </c>
      <c r="S460">
        <v>12.565032</v>
      </c>
      <c r="T460">
        <v>14.370982</v>
      </c>
      <c r="U460">
        <v>14.031810999999999</v>
      </c>
      <c r="V460">
        <v>14.529144000000001</v>
      </c>
      <c r="W460">
        <v>13.808468</v>
      </c>
      <c r="X460">
        <v>14.539844499999999</v>
      </c>
      <c r="Y460">
        <v>13.991852</v>
      </c>
      <c r="Z460">
        <v>14.349446</v>
      </c>
      <c r="AA460">
        <v>14.689477</v>
      </c>
      <c r="AB460">
        <v>14.426631</v>
      </c>
      <c r="AC460">
        <v>12.535287</v>
      </c>
      <c r="AD460">
        <v>14.797978000000001</v>
      </c>
      <c r="AE460">
        <v>15.026875</v>
      </c>
      <c r="AF460">
        <v>14.610897</v>
      </c>
      <c r="AG460">
        <v>14.394076999999999</v>
      </c>
    </row>
    <row r="461" spans="1:33" x14ac:dyDescent="0.25">
      <c r="A461" s="1">
        <v>44512</v>
      </c>
      <c r="B461">
        <v>14.417659</v>
      </c>
      <c r="C461">
        <v>14.907609000000001</v>
      </c>
      <c r="D461">
        <v>14.443629</v>
      </c>
      <c r="E461">
        <v>14.372028</v>
      </c>
      <c r="F461">
        <v>14.950839</v>
      </c>
      <c r="G461">
        <v>14.815110000000001</v>
      </c>
      <c r="H461">
        <v>14.756169</v>
      </c>
      <c r="I461">
        <v>14.728604000000001</v>
      </c>
      <c r="J461">
        <v>14.173691</v>
      </c>
      <c r="K461">
        <v>15.115284000000001</v>
      </c>
      <c r="L461">
        <v>14.821593999999999</v>
      </c>
      <c r="M461">
        <v>14.845309</v>
      </c>
      <c r="N461">
        <v>14.754977</v>
      </c>
      <c r="O461">
        <v>14.805469</v>
      </c>
      <c r="P461">
        <v>14.762651999999999</v>
      </c>
      <c r="Q461">
        <v>14.8412285</v>
      </c>
      <c r="R461">
        <v>14.849724</v>
      </c>
      <c r="S461">
        <v>12.547551</v>
      </c>
      <c r="T461">
        <v>14.377827999999999</v>
      </c>
      <c r="U461">
        <v>13.80552</v>
      </c>
      <c r="V461">
        <v>14.417251</v>
      </c>
      <c r="W461">
        <v>13.735172</v>
      </c>
      <c r="X461">
        <v>14.349106000000001</v>
      </c>
      <c r="Y461">
        <v>14.209865000000001</v>
      </c>
      <c r="Z461">
        <v>14.405848499999999</v>
      </c>
      <c r="AA461">
        <v>14.778995999999999</v>
      </c>
      <c r="AB461">
        <v>14.525193</v>
      </c>
      <c r="AC461">
        <v>12.720950999999999</v>
      </c>
      <c r="AD461">
        <v>14.805129000000001</v>
      </c>
      <c r="AE461">
        <v>15.025337</v>
      </c>
      <c r="AF461">
        <v>14.599584</v>
      </c>
      <c r="AG461">
        <v>14.508663</v>
      </c>
    </row>
    <row r="462" spans="1:33" x14ac:dyDescent="0.25">
      <c r="A462" s="1">
        <v>44513</v>
      </c>
      <c r="B462">
        <v>14.709136000000001</v>
      </c>
      <c r="C462">
        <v>15.073231</v>
      </c>
      <c r="D462">
        <v>14.626536</v>
      </c>
      <c r="E462">
        <v>14.619584</v>
      </c>
      <c r="F462">
        <v>15.095736499999999</v>
      </c>
      <c r="G462">
        <v>14.945849000000001</v>
      </c>
      <c r="H462">
        <v>14.869227</v>
      </c>
      <c r="I462">
        <v>15.010747</v>
      </c>
      <c r="J462">
        <v>14.511172</v>
      </c>
      <c r="K462">
        <v>15.189826999999999</v>
      </c>
      <c r="L462">
        <v>14.971904</v>
      </c>
      <c r="M462">
        <v>14.962446999999999</v>
      </c>
      <c r="N462">
        <v>14.8709135</v>
      </c>
      <c r="O462">
        <v>14.860719</v>
      </c>
      <c r="P462">
        <v>14.869546</v>
      </c>
      <c r="Q462">
        <v>14.967819</v>
      </c>
      <c r="R462">
        <v>14.952500000000001</v>
      </c>
      <c r="S462">
        <v>12.998659999999999</v>
      </c>
      <c r="T462">
        <v>14.4633255</v>
      </c>
      <c r="U462">
        <v>14.016468</v>
      </c>
      <c r="V462">
        <v>14.223182</v>
      </c>
      <c r="W462">
        <v>13.960544000000001</v>
      </c>
      <c r="X462">
        <v>14.118878</v>
      </c>
      <c r="Y462">
        <v>14.33474</v>
      </c>
      <c r="Z462">
        <v>14.534762000000001</v>
      </c>
      <c r="AA462">
        <v>14.944089</v>
      </c>
      <c r="AB462">
        <v>14.743331</v>
      </c>
      <c r="AC462">
        <v>13.044207999999999</v>
      </c>
      <c r="AD462">
        <v>14.900169</v>
      </c>
      <c r="AE462">
        <v>14.855905</v>
      </c>
      <c r="AF462">
        <v>14.652761999999999</v>
      </c>
      <c r="AG462">
        <v>14.830028</v>
      </c>
    </row>
    <row r="463" spans="1:33" x14ac:dyDescent="0.25">
      <c r="A463" s="1">
        <v>44514</v>
      </c>
      <c r="B463">
        <v>14.635498999999999</v>
      </c>
      <c r="C463">
        <v>15.044670999999999</v>
      </c>
      <c r="D463">
        <v>14.681226000000001</v>
      </c>
      <c r="E463">
        <v>14.6889</v>
      </c>
      <c r="F463">
        <v>14.953156</v>
      </c>
      <c r="G463">
        <v>14.958083</v>
      </c>
      <c r="H463">
        <v>14.807365000000001</v>
      </c>
      <c r="I463">
        <v>14.917609000000001</v>
      </c>
      <c r="J463">
        <v>14.493805</v>
      </c>
      <c r="K463">
        <v>15.156433</v>
      </c>
      <c r="L463">
        <v>14.928826000000001</v>
      </c>
      <c r="M463">
        <v>14.954833000000001</v>
      </c>
      <c r="N463">
        <v>14.797703</v>
      </c>
      <c r="O463">
        <v>14.815619999999999</v>
      </c>
      <c r="P463">
        <v>14.875090999999999</v>
      </c>
      <c r="Q463">
        <v>14.956868</v>
      </c>
      <c r="R463">
        <v>14.910515</v>
      </c>
      <c r="S463">
        <v>13.187552</v>
      </c>
      <c r="T463">
        <v>14.40358</v>
      </c>
      <c r="U463">
        <v>14.178172</v>
      </c>
      <c r="V463">
        <v>14.098765999999999</v>
      </c>
      <c r="W463">
        <v>13.676379000000001</v>
      </c>
      <c r="X463">
        <v>14.055419000000001</v>
      </c>
      <c r="Y463">
        <v>14.167835</v>
      </c>
      <c r="Z463">
        <v>14.571322</v>
      </c>
      <c r="AA463">
        <v>14.928917999999999</v>
      </c>
      <c r="AB463">
        <v>14.803286999999999</v>
      </c>
      <c r="AC463">
        <v>13.108237000000001</v>
      </c>
      <c r="AD463">
        <v>14.877922999999999</v>
      </c>
      <c r="AE463">
        <v>14.435245999999999</v>
      </c>
      <c r="AF463">
        <v>14.645776</v>
      </c>
      <c r="AG463">
        <v>14.854263</v>
      </c>
    </row>
    <row r="464" spans="1:33" x14ac:dyDescent="0.25">
      <c r="A464" s="1">
        <v>44515</v>
      </c>
      <c r="B464">
        <v>14.695480999999999</v>
      </c>
      <c r="C464">
        <v>15.009729999999999</v>
      </c>
      <c r="D464">
        <v>14.743205</v>
      </c>
      <c r="E464">
        <v>14.758926000000001</v>
      </c>
      <c r="F464">
        <v>14.903320000000001</v>
      </c>
      <c r="G464">
        <v>14.91732</v>
      </c>
      <c r="H464">
        <v>14.705201000000001</v>
      </c>
      <c r="I464">
        <v>14.811171999999999</v>
      </c>
      <c r="J464">
        <v>14.472068999999999</v>
      </c>
      <c r="K464">
        <v>15.110218</v>
      </c>
      <c r="L464">
        <v>14.868439</v>
      </c>
      <c r="M464">
        <v>14.919311</v>
      </c>
      <c r="N464">
        <v>14.726901</v>
      </c>
      <c r="O464">
        <v>14.797641</v>
      </c>
      <c r="P464">
        <v>14.846409</v>
      </c>
      <c r="Q464">
        <v>14.920232</v>
      </c>
      <c r="R464">
        <v>14.881316</v>
      </c>
      <c r="S464">
        <v>13.357334</v>
      </c>
      <c r="T464">
        <v>14.336226999999999</v>
      </c>
      <c r="U464">
        <v>14.251579</v>
      </c>
      <c r="V464">
        <v>14.109071</v>
      </c>
      <c r="W464">
        <v>13.620431</v>
      </c>
      <c r="X464">
        <v>14.012465499999999</v>
      </c>
      <c r="Y464">
        <v>14.322763999999999</v>
      </c>
      <c r="Z464">
        <v>14.527882999999999</v>
      </c>
      <c r="AA464">
        <v>14.876092</v>
      </c>
      <c r="AB464">
        <v>14.853484</v>
      </c>
      <c r="AC464">
        <v>13.170916999999999</v>
      </c>
      <c r="AD464">
        <v>14.831689000000001</v>
      </c>
      <c r="AE464">
        <v>14.176605</v>
      </c>
      <c r="AF464">
        <v>14.675098</v>
      </c>
      <c r="AG464">
        <v>14.835899</v>
      </c>
    </row>
    <row r="465" spans="1:33" x14ac:dyDescent="0.25">
      <c r="A465" s="1">
        <v>44516</v>
      </c>
      <c r="B465">
        <v>14.634702000000001</v>
      </c>
      <c r="C465">
        <v>14.9136305</v>
      </c>
      <c r="D465">
        <v>14.760474</v>
      </c>
      <c r="E465">
        <v>14.748915999999999</v>
      </c>
      <c r="F465">
        <v>14.792045</v>
      </c>
      <c r="G465">
        <v>14.850899</v>
      </c>
      <c r="H465">
        <v>14.639922</v>
      </c>
      <c r="I465">
        <v>14.651214</v>
      </c>
      <c r="J465">
        <v>14.279278</v>
      </c>
      <c r="K465">
        <v>15.02145</v>
      </c>
      <c r="L465">
        <v>14.765022999999999</v>
      </c>
      <c r="M465">
        <v>14.855123000000001</v>
      </c>
      <c r="N465">
        <v>14.658264000000001</v>
      </c>
      <c r="O465">
        <v>14.697965</v>
      </c>
      <c r="P465">
        <v>14.782745</v>
      </c>
      <c r="Q465">
        <v>14.866892999999999</v>
      </c>
      <c r="R465">
        <v>14.779241000000001</v>
      </c>
      <c r="S465">
        <v>13.352239000000001</v>
      </c>
      <c r="T465">
        <v>14.211719499999999</v>
      </c>
      <c r="U465">
        <v>14.281373</v>
      </c>
      <c r="V465">
        <v>13.915338999999999</v>
      </c>
      <c r="W465">
        <v>13.794278</v>
      </c>
      <c r="X465">
        <v>13.777524</v>
      </c>
      <c r="Y465">
        <v>14.354255</v>
      </c>
      <c r="Z465">
        <v>14.370433999999999</v>
      </c>
      <c r="AA465">
        <v>14.7587805</v>
      </c>
      <c r="AB465">
        <v>14.759232000000001</v>
      </c>
      <c r="AC465">
        <v>13.262855</v>
      </c>
      <c r="AD465">
        <v>14.752217</v>
      </c>
      <c r="AE465">
        <v>13.963882</v>
      </c>
      <c r="AF465">
        <v>14.673380999999999</v>
      </c>
      <c r="AG465">
        <v>14.684340499999999</v>
      </c>
    </row>
    <row r="466" spans="1:33" x14ac:dyDescent="0.25">
      <c r="A466" s="1">
        <v>44517</v>
      </c>
      <c r="B466">
        <v>14.229459</v>
      </c>
      <c r="C466">
        <v>14.63406</v>
      </c>
      <c r="D466">
        <v>14.494573000000001</v>
      </c>
      <c r="E466">
        <v>14.458335999999999</v>
      </c>
      <c r="F466">
        <v>14.435385999999999</v>
      </c>
      <c r="G466">
        <v>14.686684</v>
      </c>
      <c r="H466">
        <v>14.418680999999999</v>
      </c>
      <c r="I466">
        <v>14.007095</v>
      </c>
      <c r="J466">
        <v>13.770352000000001</v>
      </c>
      <c r="K466">
        <v>14.854336999999999</v>
      </c>
      <c r="L466">
        <v>14.518966000000001</v>
      </c>
      <c r="M466">
        <v>14.680474</v>
      </c>
      <c r="N466">
        <v>14.458607000000001</v>
      </c>
      <c r="O466">
        <v>14.483696</v>
      </c>
      <c r="P466">
        <v>14.609862</v>
      </c>
      <c r="Q466">
        <v>14.712125</v>
      </c>
      <c r="R466">
        <v>14.605199000000001</v>
      </c>
      <c r="S466">
        <v>12.660701</v>
      </c>
      <c r="T466">
        <v>13.910073000000001</v>
      </c>
      <c r="U466">
        <v>13.994926</v>
      </c>
      <c r="V466">
        <v>13.661182</v>
      </c>
      <c r="W466">
        <v>13.751709999999999</v>
      </c>
      <c r="X466">
        <v>13.50203</v>
      </c>
      <c r="Y466">
        <v>14.015753999999999</v>
      </c>
      <c r="Z466">
        <v>14.024682</v>
      </c>
      <c r="AA466">
        <v>14.474703999999999</v>
      </c>
      <c r="AB466">
        <v>14.392712</v>
      </c>
      <c r="AC466">
        <v>12.978634</v>
      </c>
      <c r="AD466">
        <v>14.551206000000001</v>
      </c>
      <c r="AE466">
        <v>13.76423</v>
      </c>
      <c r="AF466">
        <v>14.505553000000001</v>
      </c>
      <c r="AG466">
        <v>14.262866000000001</v>
      </c>
    </row>
    <row r="467" spans="1:33" x14ac:dyDescent="0.25">
      <c r="A467" s="1">
        <v>44518</v>
      </c>
      <c r="B467">
        <v>13.976069000000001</v>
      </c>
      <c r="C467">
        <v>14.409744</v>
      </c>
      <c r="D467">
        <v>14.295196000000001</v>
      </c>
      <c r="E467">
        <v>14.171276000000001</v>
      </c>
      <c r="F467">
        <v>14.331422</v>
      </c>
      <c r="G467">
        <v>14.512695000000001</v>
      </c>
      <c r="H467">
        <v>14.283882999999999</v>
      </c>
      <c r="I467">
        <v>13.736371</v>
      </c>
      <c r="J467">
        <v>13.451715999999999</v>
      </c>
      <c r="K467">
        <v>14.752757000000001</v>
      </c>
      <c r="L467">
        <v>14.376953</v>
      </c>
      <c r="M467">
        <v>14.531471</v>
      </c>
      <c r="N467">
        <v>14.319709</v>
      </c>
      <c r="O467">
        <v>14.356752999999999</v>
      </c>
      <c r="P467">
        <v>14.456101</v>
      </c>
      <c r="Q467">
        <v>14.543628</v>
      </c>
      <c r="R467">
        <v>14.466378000000001</v>
      </c>
      <c r="S467">
        <v>12.233131</v>
      </c>
      <c r="T467">
        <v>13.697169000000001</v>
      </c>
      <c r="U467">
        <v>13.84111</v>
      </c>
      <c r="V467">
        <v>13.581637000000001</v>
      </c>
      <c r="W467">
        <v>13.77007</v>
      </c>
      <c r="X467">
        <v>13.446603</v>
      </c>
      <c r="Y467">
        <v>13.790607</v>
      </c>
      <c r="Z467">
        <v>13.7691765</v>
      </c>
      <c r="AA467">
        <v>14.267322</v>
      </c>
      <c r="AB467">
        <v>14.062249</v>
      </c>
      <c r="AC467">
        <v>12.822953</v>
      </c>
      <c r="AD467">
        <v>14.394952</v>
      </c>
      <c r="AE467">
        <v>13.359127000000001</v>
      </c>
      <c r="AF467">
        <v>14.399804</v>
      </c>
      <c r="AG467">
        <v>14.028895</v>
      </c>
    </row>
    <row r="468" spans="1:33" x14ac:dyDescent="0.25">
      <c r="A468" s="1">
        <v>44519</v>
      </c>
      <c r="B468">
        <v>13.974525</v>
      </c>
      <c r="C468">
        <v>14.332286</v>
      </c>
      <c r="D468">
        <v>14.190543999999999</v>
      </c>
      <c r="E468">
        <v>14.059737</v>
      </c>
      <c r="F468">
        <v>14.322139</v>
      </c>
      <c r="G468">
        <v>14.444417</v>
      </c>
      <c r="H468">
        <v>14.200974</v>
      </c>
      <c r="I468">
        <v>13.777865</v>
      </c>
      <c r="J468">
        <v>13.499067999999999</v>
      </c>
      <c r="K468">
        <v>14.685117</v>
      </c>
      <c r="L468">
        <v>14.322219</v>
      </c>
      <c r="M468">
        <v>14.469016999999999</v>
      </c>
      <c r="N468">
        <v>14.273346999999999</v>
      </c>
      <c r="O468">
        <v>14.294942000000001</v>
      </c>
      <c r="P468">
        <v>14.380015999999999</v>
      </c>
      <c r="Q468">
        <v>14.464478</v>
      </c>
      <c r="R468">
        <v>14.395047</v>
      </c>
      <c r="S468">
        <v>12.285424000000001</v>
      </c>
      <c r="T468">
        <v>13.63898</v>
      </c>
      <c r="U468">
        <v>13.774943</v>
      </c>
      <c r="V468">
        <v>13.676385</v>
      </c>
      <c r="W468">
        <v>13.574581999999999</v>
      </c>
      <c r="X468">
        <v>13.6252985</v>
      </c>
      <c r="Y468">
        <v>13.680579</v>
      </c>
      <c r="Z468">
        <v>13.663596999999999</v>
      </c>
      <c r="AA468">
        <v>14.189648999999999</v>
      </c>
      <c r="AB468">
        <v>13.884226999999999</v>
      </c>
      <c r="AC468">
        <v>12.825513000000001</v>
      </c>
      <c r="AD468">
        <v>14.3232</v>
      </c>
      <c r="AE468">
        <v>13.838692999999999</v>
      </c>
      <c r="AF468">
        <v>14.357945000000001</v>
      </c>
      <c r="AG468">
        <v>13.9590025</v>
      </c>
    </row>
    <row r="469" spans="1:33" x14ac:dyDescent="0.25">
      <c r="A469" s="1">
        <v>44520</v>
      </c>
      <c r="B469">
        <v>13.81471</v>
      </c>
      <c r="C469">
        <v>14.279507000000001</v>
      </c>
      <c r="D469">
        <v>14.072224</v>
      </c>
      <c r="E469">
        <v>13.931634000000001</v>
      </c>
      <c r="F469">
        <v>14.30697</v>
      </c>
      <c r="G469">
        <v>14.410113000000001</v>
      </c>
      <c r="H469">
        <v>14.192902</v>
      </c>
      <c r="I469">
        <v>13.818077000000001</v>
      </c>
      <c r="J469">
        <v>13.436259</v>
      </c>
      <c r="K469">
        <v>14.5897875</v>
      </c>
      <c r="L469">
        <v>14.195247</v>
      </c>
      <c r="M469">
        <v>14.4331665</v>
      </c>
      <c r="N469">
        <v>14.156129</v>
      </c>
      <c r="O469">
        <v>14.108468</v>
      </c>
      <c r="P469">
        <v>14.296692</v>
      </c>
      <c r="Q469">
        <v>14.411709</v>
      </c>
      <c r="R469">
        <v>14.244369000000001</v>
      </c>
      <c r="S469">
        <v>12.144798</v>
      </c>
      <c r="T469">
        <v>13.560485999999999</v>
      </c>
      <c r="U469">
        <v>13.505844</v>
      </c>
      <c r="V469">
        <v>13.629386</v>
      </c>
      <c r="W469">
        <v>13.442505000000001</v>
      </c>
      <c r="X469">
        <v>13.590140999999999</v>
      </c>
      <c r="Y469">
        <v>13.53162</v>
      </c>
      <c r="Z469">
        <v>13.528663999999999</v>
      </c>
      <c r="AA469">
        <v>14.087913500000001</v>
      </c>
      <c r="AB469">
        <v>13.743404999999999</v>
      </c>
      <c r="AC469">
        <v>12.73837</v>
      </c>
      <c r="AD469">
        <v>14.202453999999999</v>
      </c>
      <c r="AE469">
        <v>14.506123000000001</v>
      </c>
      <c r="AF469">
        <v>14.287655000000001</v>
      </c>
      <c r="AG469">
        <v>13.831166</v>
      </c>
    </row>
    <row r="470" spans="1:33" x14ac:dyDescent="0.25">
      <c r="A470" s="1">
        <v>44521</v>
      </c>
      <c r="B470">
        <v>13.335623999999999</v>
      </c>
      <c r="C470">
        <v>13.957062000000001</v>
      </c>
      <c r="D470">
        <v>13.755715</v>
      </c>
      <c r="E470">
        <v>13.594001</v>
      </c>
      <c r="F470">
        <v>13.918677000000001</v>
      </c>
      <c r="G470">
        <v>14.232089999999999</v>
      </c>
      <c r="H470">
        <v>14.008629000000001</v>
      </c>
      <c r="I470">
        <v>13.232723999999999</v>
      </c>
      <c r="J470">
        <v>12.9456215</v>
      </c>
      <c r="K470">
        <v>14.407980999999999</v>
      </c>
      <c r="L470">
        <v>13.928326999999999</v>
      </c>
      <c r="M470">
        <v>14.250095</v>
      </c>
      <c r="N470">
        <v>13.939030000000001</v>
      </c>
      <c r="O470">
        <v>13.810063</v>
      </c>
      <c r="P470">
        <v>14.099254999999999</v>
      </c>
      <c r="Q470">
        <v>14.227703999999999</v>
      </c>
      <c r="R470">
        <v>13.985208</v>
      </c>
      <c r="S470">
        <v>11.286269000000001</v>
      </c>
      <c r="T470">
        <v>13.306995000000001</v>
      </c>
      <c r="U470">
        <v>13.311431000000001</v>
      </c>
      <c r="V470">
        <v>13.362067</v>
      </c>
      <c r="W470">
        <v>13.312116</v>
      </c>
      <c r="X470">
        <v>13.31634</v>
      </c>
      <c r="Y470">
        <v>13.187646000000001</v>
      </c>
      <c r="Z470">
        <v>13.265411</v>
      </c>
      <c r="AA470">
        <v>13.817704000000001</v>
      </c>
      <c r="AB470">
        <v>13.37349</v>
      </c>
      <c r="AC470">
        <v>12.324947</v>
      </c>
      <c r="AD470">
        <v>13.9676695</v>
      </c>
      <c r="AE470">
        <v>13.849956499999999</v>
      </c>
      <c r="AF470">
        <v>14.097099999999999</v>
      </c>
      <c r="AG470">
        <v>13.432760999999999</v>
      </c>
    </row>
    <row r="471" spans="1:33" x14ac:dyDescent="0.25">
      <c r="A471" s="1">
        <v>44522</v>
      </c>
      <c r="B471">
        <v>13.062859</v>
      </c>
      <c r="C471">
        <v>13.690692</v>
      </c>
      <c r="D471">
        <v>13.463562</v>
      </c>
      <c r="E471">
        <v>13.28172</v>
      </c>
      <c r="F471">
        <v>13.791448000000001</v>
      </c>
      <c r="G471">
        <v>14.027127</v>
      </c>
      <c r="H471">
        <v>13.869194</v>
      </c>
      <c r="I471">
        <v>13.005965</v>
      </c>
      <c r="J471">
        <v>12.782147</v>
      </c>
      <c r="K471">
        <v>14.302052</v>
      </c>
      <c r="L471">
        <v>13.779489999999999</v>
      </c>
      <c r="M471">
        <v>14.0634985</v>
      </c>
      <c r="N471">
        <v>13.792293000000001</v>
      </c>
      <c r="O471">
        <v>13.684554</v>
      </c>
      <c r="P471">
        <v>13.9024725</v>
      </c>
      <c r="Q471">
        <v>14.023326000000001</v>
      </c>
      <c r="R471">
        <v>13.829192000000001</v>
      </c>
      <c r="S471">
        <v>10.891472</v>
      </c>
      <c r="T471">
        <v>13.1417465</v>
      </c>
      <c r="U471">
        <v>13.203884</v>
      </c>
      <c r="V471">
        <v>13.229177999999999</v>
      </c>
      <c r="W471">
        <v>12.851899</v>
      </c>
      <c r="X471">
        <v>13.1362915</v>
      </c>
      <c r="Y471">
        <v>12.912406000000001</v>
      </c>
      <c r="Z471">
        <v>13.043048000000001</v>
      </c>
      <c r="AA471">
        <v>13.612557000000001</v>
      </c>
      <c r="AB471">
        <v>13.108074</v>
      </c>
      <c r="AC471">
        <v>12.079307999999999</v>
      </c>
      <c r="AD471">
        <v>13.802789000000001</v>
      </c>
      <c r="AE471">
        <v>13.338801999999999</v>
      </c>
      <c r="AF471">
        <v>13.961563</v>
      </c>
      <c r="AG471">
        <v>13.225028999999999</v>
      </c>
    </row>
    <row r="472" spans="1:33" x14ac:dyDescent="0.25">
      <c r="A472" s="1">
        <v>44523</v>
      </c>
      <c r="B472">
        <v>12.783829000000001</v>
      </c>
      <c r="C472">
        <v>13.519171999999999</v>
      </c>
      <c r="D472">
        <v>13.218724</v>
      </c>
      <c r="E472">
        <v>13.024685</v>
      </c>
      <c r="F472">
        <v>13.664294999999999</v>
      </c>
      <c r="G472">
        <v>13.8808975</v>
      </c>
      <c r="H472">
        <v>13.726741000000001</v>
      </c>
      <c r="I472">
        <v>12.876967</v>
      </c>
      <c r="J472">
        <v>12.694153999999999</v>
      </c>
      <c r="K472">
        <v>14.188039</v>
      </c>
      <c r="L472">
        <v>13.679432</v>
      </c>
      <c r="M472">
        <v>13.902957000000001</v>
      </c>
      <c r="N472">
        <v>13.672905</v>
      </c>
      <c r="O472">
        <v>13.608542</v>
      </c>
      <c r="P472">
        <v>13.746663</v>
      </c>
      <c r="Q472">
        <v>13.876880999999999</v>
      </c>
      <c r="R472">
        <v>13.715716</v>
      </c>
      <c r="S472">
        <v>10.717528</v>
      </c>
      <c r="T472">
        <v>13.026614</v>
      </c>
      <c r="U472">
        <v>12.918148</v>
      </c>
      <c r="V472">
        <v>13.115128500000001</v>
      </c>
      <c r="W472">
        <v>12.630770999999999</v>
      </c>
      <c r="X472">
        <v>13.020339999999999</v>
      </c>
      <c r="Y472">
        <v>12.800860999999999</v>
      </c>
      <c r="Z472">
        <v>12.924422</v>
      </c>
      <c r="AA472">
        <v>13.495749999999999</v>
      </c>
      <c r="AB472">
        <v>13.033051</v>
      </c>
      <c r="AC472">
        <v>11.989421999999999</v>
      </c>
      <c r="AD472">
        <v>13.682446000000001</v>
      </c>
      <c r="AE472">
        <v>12.925219999999999</v>
      </c>
      <c r="AF472">
        <v>13.893979</v>
      </c>
      <c r="AG472">
        <v>13.160615</v>
      </c>
    </row>
    <row r="473" spans="1:33" x14ac:dyDescent="0.25">
      <c r="A473" s="1">
        <v>44524</v>
      </c>
      <c r="B473">
        <v>12.26732</v>
      </c>
      <c r="C473">
        <v>13.143832</v>
      </c>
      <c r="D473">
        <v>12.837825</v>
      </c>
      <c r="E473">
        <v>12.574191000000001</v>
      </c>
      <c r="F473">
        <v>13.327750999999999</v>
      </c>
      <c r="G473">
        <v>13.612072</v>
      </c>
      <c r="H473">
        <v>13.561325999999999</v>
      </c>
      <c r="I473">
        <v>12.405533</v>
      </c>
      <c r="J473">
        <v>11.999084</v>
      </c>
      <c r="K473">
        <v>13.861656</v>
      </c>
      <c r="L473">
        <v>13.299540500000001</v>
      </c>
      <c r="M473">
        <v>13.629578</v>
      </c>
      <c r="N473">
        <v>13.29776</v>
      </c>
      <c r="O473">
        <v>13.266375999999999</v>
      </c>
      <c r="P473">
        <v>13.430042</v>
      </c>
      <c r="Q473">
        <v>13.595718</v>
      </c>
      <c r="R473">
        <v>13.381577</v>
      </c>
      <c r="S473">
        <v>9.7865710000000004</v>
      </c>
      <c r="T473">
        <v>12.581428000000001</v>
      </c>
      <c r="U473">
        <v>12.394776</v>
      </c>
      <c r="V473">
        <v>12.564709000000001</v>
      </c>
      <c r="W473">
        <v>12.022074999999999</v>
      </c>
      <c r="X473">
        <v>12.547485</v>
      </c>
      <c r="Y473">
        <v>12.308945</v>
      </c>
      <c r="Z473">
        <v>12.588265</v>
      </c>
      <c r="AA473">
        <v>13.126877</v>
      </c>
      <c r="AB473">
        <v>12.595366500000001</v>
      </c>
      <c r="AC473">
        <v>11.334801000000001</v>
      </c>
      <c r="AD473">
        <v>13.358040000000001</v>
      </c>
      <c r="AE473">
        <v>12.163937000000001</v>
      </c>
      <c r="AF473">
        <v>13.593685000000001</v>
      </c>
      <c r="AG473">
        <v>12.62994</v>
      </c>
    </row>
    <row r="474" spans="1:33" x14ac:dyDescent="0.25">
      <c r="A474" s="1">
        <v>44525</v>
      </c>
      <c r="B474">
        <v>11.947889999999999</v>
      </c>
      <c r="C474">
        <v>12.878615</v>
      </c>
      <c r="D474">
        <v>12.487626000000001</v>
      </c>
      <c r="E474">
        <v>12.210762000000001</v>
      </c>
      <c r="F474">
        <v>13.119134000000001</v>
      </c>
      <c r="G474">
        <v>13.362292</v>
      </c>
      <c r="H474">
        <v>13.386468000000001</v>
      </c>
      <c r="I474">
        <v>11.976277</v>
      </c>
      <c r="J474">
        <v>11.536826</v>
      </c>
      <c r="K474">
        <v>13.647729</v>
      </c>
      <c r="L474">
        <v>12.991439</v>
      </c>
      <c r="M474">
        <v>13.378524000000001</v>
      </c>
      <c r="N474">
        <v>12.983737</v>
      </c>
      <c r="O474">
        <v>12.984622</v>
      </c>
      <c r="P474">
        <v>13.142495</v>
      </c>
      <c r="Q474">
        <v>13.339430999999999</v>
      </c>
      <c r="R474">
        <v>13.115017999999999</v>
      </c>
      <c r="S474">
        <v>9.1992550000000008</v>
      </c>
      <c r="T474">
        <v>12.203231000000001</v>
      </c>
      <c r="U474">
        <v>12.116828</v>
      </c>
      <c r="V474">
        <v>12.168533999999999</v>
      </c>
      <c r="W474">
        <v>11.626423000000001</v>
      </c>
      <c r="X474">
        <v>12.057646999999999</v>
      </c>
      <c r="Y474">
        <v>11.769057</v>
      </c>
      <c r="Z474">
        <v>12.213201</v>
      </c>
      <c r="AA474">
        <v>12.766238</v>
      </c>
      <c r="AB474">
        <v>12.054366999999999</v>
      </c>
      <c r="AC474">
        <v>10.666627999999999</v>
      </c>
      <c r="AD474">
        <v>13.058398</v>
      </c>
      <c r="AE474">
        <v>11.545059</v>
      </c>
      <c r="AF474">
        <v>13.327045</v>
      </c>
      <c r="AG474">
        <v>12.214442999999999</v>
      </c>
    </row>
    <row r="475" spans="1:33" x14ac:dyDescent="0.25">
      <c r="A475" s="1">
        <v>44526</v>
      </c>
      <c r="B475">
        <v>11.913608999999999</v>
      </c>
      <c r="C475">
        <v>12.790794999999999</v>
      </c>
      <c r="D475">
        <v>12.306844</v>
      </c>
      <c r="E475">
        <v>12.065141000000001</v>
      </c>
      <c r="F475">
        <v>13.121972</v>
      </c>
      <c r="G475">
        <v>13.227643</v>
      </c>
      <c r="H475">
        <v>13.253276</v>
      </c>
      <c r="I475">
        <v>12.001735999999999</v>
      </c>
      <c r="J475">
        <v>11.487729</v>
      </c>
      <c r="K475">
        <v>13.534789999999999</v>
      </c>
      <c r="L475">
        <v>12.861209000000001</v>
      </c>
      <c r="M475">
        <v>13.244479</v>
      </c>
      <c r="N475">
        <v>12.833672999999999</v>
      </c>
      <c r="O475">
        <v>12.871074999999999</v>
      </c>
      <c r="P475">
        <v>12.987926</v>
      </c>
      <c r="Q475">
        <v>13.1914835</v>
      </c>
      <c r="R475">
        <v>12.992165</v>
      </c>
      <c r="S475">
        <v>8.8158560000000001</v>
      </c>
      <c r="T475">
        <v>11.982661999999999</v>
      </c>
      <c r="U475">
        <v>11.755637999999999</v>
      </c>
      <c r="V475">
        <v>12.025615999999999</v>
      </c>
      <c r="W475">
        <v>11.318225</v>
      </c>
      <c r="X475">
        <v>11.868569000000001</v>
      </c>
      <c r="Y475">
        <v>11.560447</v>
      </c>
      <c r="Z475">
        <v>12.009933999999999</v>
      </c>
      <c r="AA475">
        <v>12.579226999999999</v>
      </c>
      <c r="AB475">
        <v>11.880136</v>
      </c>
      <c r="AC475">
        <v>10.253553999999999</v>
      </c>
      <c r="AD475">
        <v>12.893916000000001</v>
      </c>
      <c r="AE475">
        <v>11.427177</v>
      </c>
      <c r="AF475">
        <v>13.185945</v>
      </c>
      <c r="AG475">
        <v>12.113936000000001</v>
      </c>
    </row>
    <row r="476" spans="1:33" x14ac:dyDescent="0.25">
      <c r="A476" s="1">
        <v>44527</v>
      </c>
      <c r="B476">
        <v>12.049521</v>
      </c>
      <c r="C476">
        <v>12.820940999999999</v>
      </c>
      <c r="D476">
        <v>12.240027</v>
      </c>
      <c r="E476">
        <v>12.068343</v>
      </c>
      <c r="F476">
        <v>13.178291</v>
      </c>
      <c r="G476">
        <v>13.171613000000001</v>
      </c>
      <c r="H476">
        <v>13.237871999999999</v>
      </c>
      <c r="I476">
        <v>12.223644999999999</v>
      </c>
      <c r="J476">
        <v>11.460319</v>
      </c>
      <c r="K476">
        <v>13.437519999999999</v>
      </c>
      <c r="L476">
        <v>12.784488</v>
      </c>
      <c r="M476">
        <v>13.196678</v>
      </c>
      <c r="N476">
        <v>12.77068</v>
      </c>
      <c r="O476">
        <v>12.798697000000001</v>
      </c>
      <c r="P476">
        <v>12.871902</v>
      </c>
      <c r="Q476">
        <v>13.159566</v>
      </c>
      <c r="R476">
        <v>12.944927</v>
      </c>
      <c r="S476">
        <v>8.7883899999999997</v>
      </c>
      <c r="T476">
        <v>11.899889999999999</v>
      </c>
      <c r="U476">
        <v>11.366054</v>
      </c>
      <c r="V476">
        <v>11.963623</v>
      </c>
      <c r="W476">
        <v>11.153252999999999</v>
      </c>
      <c r="X476">
        <v>11.818489</v>
      </c>
      <c r="Y476">
        <v>11.464078000000001</v>
      </c>
      <c r="Z476">
        <v>11.863885</v>
      </c>
      <c r="AA476">
        <v>12.5030985</v>
      </c>
      <c r="AB476">
        <v>11.792805</v>
      </c>
      <c r="AC476">
        <v>10.043049999999999</v>
      </c>
      <c r="AD476">
        <v>12.784883000000001</v>
      </c>
      <c r="AE476">
        <v>11.507771</v>
      </c>
      <c r="AF476">
        <v>13.106228</v>
      </c>
      <c r="AG476">
        <v>12.108456</v>
      </c>
    </row>
    <row r="477" spans="1:33" x14ac:dyDescent="0.25">
      <c r="A477" s="1">
        <v>44528</v>
      </c>
      <c r="B477">
        <v>12.147824</v>
      </c>
      <c r="C477">
        <v>12.862826999999999</v>
      </c>
      <c r="D477">
        <v>12.194474</v>
      </c>
      <c r="E477">
        <v>12.090058000000001</v>
      </c>
      <c r="F477">
        <v>13.196353</v>
      </c>
      <c r="G477">
        <v>13.175446000000001</v>
      </c>
      <c r="H477">
        <v>13.275774999999999</v>
      </c>
      <c r="I477">
        <v>12.425934</v>
      </c>
      <c r="J477">
        <v>11.480332000000001</v>
      </c>
      <c r="K477">
        <v>13.385384999999999</v>
      </c>
      <c r="L477">
        <v>12.724898</v>
      </c>
      <c r="M477">
        <v>13.165606500000001</v>
      </c>
      <c r="N477">
        <v>12.708233</v>
      </c>
      <c r="O477">
        <v>12.662024499999999</v>
      </c>
      <c r="P477">
        <v>12.814406</v>
      </c>
      <c r="Q477">
        <v>13.139789</v>
      </c>
      <c r="R477">
        <v>12.874661</v>
      </c>
      <c r="S477">
        <v>8.8804864999999999</v>
      </c>
      <c r="T477">
        <v>11.844726</v>
      </c>
      <c r="U477">
        <v>11.225275999999999</v>
      </c>
      <c r="V477">
        <v>11.875976</v>
      </c>
      <c r="W477">
        <v>11.199688999999999</v>
      </c>
      <c r="X477">
        <v>11.726001999999999</v>
      </c>
      <c r="Y477">
        <v>11.298923500000001</v>
      </c>
      <c r="Z477">
        <v>11.871627</v>
      </c>
      <c r="AA477">
        <v>12.462764999999999</v>
      </c>
      <c r="AB477">
        <v>11.752166000000001</v>
      </c>
      <c r="AC477">
        <v>9.8056780000000003</v>
      </c>
      <c r="AD477">
        <v>12.713608000000001</v>
      </c>
      <c r="AE477">
        <v>11.627084</v>
      </c>
      <c r="AF477">
        <v>13.026524999999999</v>
      </c>
      <c r="AG477">
        <v>12.096119</v>
      </c>
    </row>
    <row r="478" spans="1:33" x14ac:dyDescent="0.25">
      <c r="A478" s="1">
        <v>44529</v>
      </c>
      <c r="B478">
        <v>12.296493999999999</v>
      </c>
      <c r="C478">
        <v>12.923318</v>
      </c>
      <c r="D478">
        <v>12.246307</v>
      </c>
      <c r="E478">
        <v>12.240646</v>
      </c>
      <c r="F478">
        <v>13.231166</v>
      </c>
      <c r="G478">
        <v>13.199496999999999</v>
      </c>
      <c r="H478">
        <v>13.310017</v>
      </c>
      <c r="I478">
        <v>12.663055999999999</v>
      </c>
      <c r="J478">
        <v>11.603783999999999</v>
      </c>
      <c r="K478">
        <v>13.361217999999999</v>
      </c>
      <c r="L478">
        <v>12.709811</v>
      </c>
      <c r="M478">
        <v>13.164883</v>
      </c>
      <c r="N478">
        <v>12.694998999999999</v>
      </c>
      <c r="O478">
        <v>12.643317</v>
      </c>
      <c r="P478">
        <v>12.793847</v>
      </c>
      <c r="Q478">
        <v>13.136623</v>
      </c>
      <c r="R478">
        <v>12.833421</v>
      </c>
      <c r="S478">
        <v>9.1407340000000001</v>
      </c>
      <c r="T478">
        <v>11.830761000000001</v>
      </c>
      <c r="U478">
        <v>11.307079999999999</v>
      </c>
      <c r="V478">
        <v>11.83947</v>
      </c>
      <c r="W478">
        <v>11.158030999999999</v>
      </c>
      <c r="X478">
        <v>11.661949</v>
      </c>
      <c r="Y478">
        <v>11.267587000000001</v>
      </c>
      <c r="Z478">
        <v>11.962888</v>
      </c>
      <c r="AA478">
        <v>12.467510000000001</v>
      </c>
      <c r="AB478">
        <v>11.786023</v>
      </c>
      <c r="AC478">
        <v>9.7735970000000005</v>
      </c>
      <c r="AD478">
        <v>12.691689500000001</v>
      </c>
      <c r="AE478">
        <v>11.726870999999999</v>
      </c>
      <c r="AF478">
        <v>13.011554</v>
      </c>
      <c r="AG478">
        <v>12.147088</v>
      </c>
    </row>
    <row r="479" spans="1:33" x14ac:dyDescent="0.25">
      <c r="A479" s="1">
        <v>44530</v>
      </c>
      <c r="B479">
        <v>12.355964999999999</v>
      </c>
      <c r="C479">
        <v>13.12215</v>
      </c>
      <c r="D479">
        <v>12.2799225</v>
      </c>
      <c r="E479">
        <v>12.402576</v>
      </c>
      <c r="F479">
        <v>13.227311</v>
      </c>
      <c r="G479">
        <v>13.227154000000001</v>
      </c>
      <c r="H479">
        <v>13.338366499999999</v>
      </c>
      <c r="I479">
        <v>12.837645999999999</v>
      </c>
      <c r="J479">
        <v>11.715888</v>
      </c>
      <c r="K479">
        <v>13.305915000000001</v>
      </c>
      <c r="L479">
        <v>12.710311000000001</v>
      </c>
      <c r="M479">
        <v>13.178402</v>
      </c>
      <c r="N479">
        <v>12.711665</v>
      </c>
      <c r="O479">
        <v>12.649025999999999</v>
      </c>
      <c r="P479">
        <v>12.779626</v>
      </c>
      <c r="Q479">
        <v>13.154942</v>
      </c>
      <c r="R479">
        <v>12.822925</v>
      </c>
      <c r="S479">
        <v>9.5020190000000007</v>
      </c>
      <c r="T479">
        <v>11.874245</v>
      </c>
      <c r="U479">
        <v>11.287575</v>
      </c>
      <c r="V479">
        <v>11.830567</v>
      </c>
      <c r="W479">
        <v>11.281136500000001</v>
      </c>
      <c r="X479">
        <v>11.644271</v>
      </c>
      <c r="Y479">
        <v>11.366383000000001</v>
      </c>
      <c r="Z479">
        <v>12.032992</v>
      </c>
      <c r="AA479">
        <v>12.513664</v>
      </c>
      <c r="AB479">
        <v>11.871857</v>
      </c>
      <c r="AC479">
        <v>9.9184359999999998</v>
      </c>
      <c r="AD479">
        <v>12.694077</v>
      </c>
      <c r="AE479">
        <v>11.894282</v>
      </c>
      <c r="AF479">
        <v>13.046052</v>
      </c>
      <c r="AG479">
        <v>12.193816999999999</v>
      </c>
    </row>
    <row r="480" spans="1:33" x14ac:dyDescent="0.25">
      <c r="A480" s="1">
        <v>44531</v>
      </c>
      <c r="B480">
        <v>12.376339</v>
      </c>
      <c r="C480">
        <v>13.107802</v>
      </c>
      <c r="D480">
        <v>12.412159000000001</v>
      </c>
      <c r="E480">
        <v>12.513622</v>
      </c>
      <c r="F480">
        <v>13.169833000000001</v>
      </c>
      <c r="G480">
        <v>13.224935</v>
      </c>
      <c r="H480">
        <v>13.3337755</v>
      </c>
      <c r="I480">
        <v>12.869918</v>
      </c>
      <c r="J480">
        <v>11.8558</v>
      </c>
      <c r="K480">
        <v>13.280327</v>
      </c>
      <c r="L480">
        <v>12.71767</v>
      </c>
      <c r="M480">
        <v>13.180350000000001</v>
      </c>
      <c r="N480">
        <v>12.729457999999999</v>
      </c>
      <c r="O480">
        <v>12.677749</v>
      </c>
      <c r="P480">
        <v>12.782851000000001</v>
      </c>
      <c r="Q480">
        <v>13.15142</v>
      </c>
      <c r="R480">
        <v>12.811192</v>
      </c>
      <c r="S480">
        <v>9.8452214999999992</v>
      </c>
      <c r="T480">
        <v>11.908059</v>
      </c>
      <c r="U480">
        <v>11.298767</v>
      </c>
      <c r="V480">
        <v>11.802806</v>
      </c>
      <c r="W480">
        <v>11.464650000000001</v>
      </c>
      <c r="X480">
        <v>11.587464000000001</v>
      </c>
      <c r="Y480">
        <v>11.3969755</v>
      </c>
      <c r="Z480">
        <v>12.053588</v>
      </c>
      <c r="AA480">
        <v>12.57389</v>
      </c>
      <c r="AB480">
        <v>11.957089</v>
      </c>
      <c r="AC480">
        <v>10.005385</v>
      </c>
      <c r="AD480">
        <v>12.686555</v>
      </c>
      <c r="AE480">
        <v>12.128738999999999</v>
      </c>
      <c r="AF480">
        <v>13.039794000000001</v>
      </c>
      <c r="AG480">
        <v>12.237282</v>
      </c>
    </row>
    <row r="481" spans="1:33" x14ac:dyDescent="0.25">
      <c r="A481" s="1">
        <v>44532</v>
      </c>
      <c r="B481">
        <v>12.391925000000001</v>
      </c>
      <c r="C481">
        <v>13.115933</v>
      </c>
      <c r="D481">
        <v>12.587363</v>
      </c>
      <c r="E481">
        <v>12.663243</v>
      </c>
      <c r="F481">
        <v>13.183801000000001</v>
      </c>
      <c r="G481">
        <v>13.228134000000001</v>
      </c>
      <c r="H481">
        <v>13.316361000000001</v>
      </c>
      <c r="I481">
        <v>12.872128500000001</v>
      </c>
      <c r="J481">
        <v>12.031853999999999</v>
      </c>
      <c r="K481">
        <v>13.260494</v>
      </c>
      <c r="L481">
        <v>12.718253000000001</v>
      </c>
      <c r="M481">
        <v>13.197459</v>
      </c>
      <c r="N481">
        <v>12.782417000000001</v>
      </c>
      <c r="O481">
        <v>12.699066</v>
      </c>
      <c r="P481">
        <v>12.796405</v>
      </c>
      <c r="Q481">
        <v>13.169025</v>
      </c>
      <c r="R481">
        <v>12.79799</v>
      </c>
      <c r="S481">
        <v>10.302472</v>
      </c>
      <c r="T481">
        <v>11.982267999999999</v>
      </c>
      <c r="U481">
        <v>11.417057</v>
      </c>
      <c r="V481">
        <v>11.867801</v>
      </c>
      <c r="W481">
        <v>11.753207</v>
      </c>
      <c r="X481">
        <v>11.648315999999999</v>
      </c>
      <c r="Y481">
        <v>11.530811</v>
      </c>
      <c r="Z481">
        <v>12.050357999999999</v>
      </c>
      <c r="AA481">
        <v>12.602683000000001</v>
      </c>
      <c r="AB481">
        <v>11.999919999999999</v>
      </c>
      <c r="AC481">
        <v>10.098839</v>
      </c>
      <c r="AD481">
        <v>12.682427000000001</v>
      </c>
      <c r="AE481">
        <v>12.028325000000001</v>
      </c>
      <c r="AF481">
        <v>13.022629999999999</v>
      </c>
      <c r="AG481">
        <v>12.235576</v>
      </c>
    </row>
    <row r="482" spans="1:33" x14ac:dyDescent="0.25">
      <c r="A482" s="1">
        <v>44533</v>
      </c>
      <c r="B482">
        <v>12.540402</v>
      </c>
      <c r="C482">
        <v>13.03938</v>
      </c>
      <c r="D482">
        <v>12.706967000000001</v>
      </c>
      <c r="E482">
        <v>12.7346115</v>
      </c>
      <c r="F482">
        <v>13.070392999999999</v>
      </c>
      <c r="G482">
        <v>13.196064</v>
      </c>
      <c r="H482">
        <v>13.260028</v>
      </c>
      <c r="I482">
        <v>12.769104</v>
      </c>
      <c r="J482">
        <v>12.072303</v>
      </c>
      <c r="K482">
        <v>13.187260999999999</v>
      </c>
      <c r="L482">
        <v>12.677789000000001</v>
      </c>
      <c r="M482">
        <v>13.150871</v>
      </c>
      <c r="N482">
        <v>12.792308</v>
      </c>
      <c r="O482">
        <v>12.663639</v>
      </c>
      <c r="P482">
        <v>12.758264</v>
      </c>
      <c r="Q482">
        <v>13.144551</v>
      </c>
      <c r="R482">
        <v>12.730052000000001</v>
      </c>
      <c r="S482">
        <v>10.500766</v>
      </c>
      <c r="T482">
        <v>12.018768</v>
      </c>
      <c r="U482">
        <v>11.502957</v>
      </c>
      <c r="V482">
        <v>11.896397</v>
      </c>
      <c r="W482">
        <v>11.758755000000001</v>
      </c>
      <c r="X482">
        <v>11.684186</v>
      </c>
      <c r="Y482">
        <v>11.618503</v>
      </c>
      <c r="Z482">
        <v>12.02454</v>
      </c>
      <c r="AA482">
        <v>12.601841</v>
      </c>
      <c r="AB482">
        <v>11.981521000000001</v>
      </c>
      <c r="AC482">
        <v>10.286865000000001</v>
      </c>
      <c r="AD482">
        <v>12.664531999999999</v>
      </c>
      <c r="AE482">
        <v>11.800758</v>
      </c>
      <c r="AF482">
        <v>13.024232</v>
      </c>
      <c r="AG482">
        <v>12.257015000000001</v>
      </c>
    </row>
    <row r="483" spans="1:33" x14ac:dyDescent="0.25">
      <c r="A483" s="1">
        <v>44534</v>
      </c>
      <c r="B483">
        <v>12.47688</v>
      </c>
      <c r="C483">
        <v>13.031777</v>
      </c>
      <c r="D483">
        <v>12.783898000000001</v>
      </c>
      <c r="E483">
        <v>12.651035</v>
      </c>
      <c r="F483">
        <v>13.016343000000001</v>
      </c>
      <c r="G483">
        <v>13.121544</v>
      </c>
      <c r="H483">
        <v>13.209346999999999</v>
      </c>
      <c r="I483">
        <v>12.62928</v>
      </c>
      <c r="J483">
        <v>11.882274000000001</v>
      </c>
      <c r="K483">
        <v>13.043414</v>
      </c>
      <c r="L483">
        <v>12.529631999999999</v>
      </c>
      <c r="M483">
        <v>13.074551</v>
      </c>
      <c r="N483">
        <v>12.695441000000001</v>
      </c>
      <c r="O483">
        <v>12.509931</v>
      </c>
      <c r="P483">
        <v>12.640067</v>
      </c>
      <c r="Q483">
        <v>13.052505999999999</v>
      </c>
      <c r="R483">
        <v>12.594859</v>
      </c>
      <c r="S483">
        <v>10.4014635</v>
      </c>
      <c r="T483">
        <v>11.934943000000001</v>
      </c>
      <c r="U483">
        <v>11.521736000000001</v>
      </c>
      <c r="V483">
        <v>11.803115</v>
      </c>
      <c r="W483">
        <v>11.742466</v>
      </c>
      <c r="X483">
        <v>11.632095</v>
      </c>
      <c r="Y483">
        <v>11.568526</v>
      </c>
      <c r="Z483">
        <v>11.834697999999999</v>
      </c>
      <c r="AA483">
        <v>12.518383999999999</v>
      </c>
      <c r="AB483">
        <v>11.931919000000001</v>
      </c>
      <c r="AC483">
        <v>10.244386</v>
      </c>
      <c r="AD483">
        <v>12.532613</v>
      </c>
      <c r="AE483">
        <v>11.9762945</v>
      </c>
      <c r="AF483">
        <v>12.934699</v>
      </c>
      <c r="AG483">
        <v>12.18547</v>
      </c>
    </row>
    <row r="484" spans="1:33" x14ac:dyDescent="0.25">
      <c r="A484" s="1">
        <v>44535</v>
      </c>
      <c r="B484">
        <v>12.415906</v>
      </c>
      <c r="C484">
        <v>12.890949000000001</v>
      </c>
      <c r="D484">
        <v>12.7772255</v>
      </c>
      <c r="E484">
        <v>12.551479</v>
      </c>
      <c r="F484">
        <v>12.893177</v>
      </c>
      <c r="G484">
        <v>13.000809</v>
      </c>
      <c r="H484">
        <v>13.109658</v>
      </c>
      <c r="I484">
        <v>12.5314455</v>
      </c>
      <c r="J484">
        <v>12.000533000000001</v>
      </c>
      <c r="K484">
        <v>12.976209000000001</v>
      </c>
      <c r="L484">
        <v>12.440651000000001</v>
      </c>
      <c r="M484">
        <v>12.966672000000001</v>
      </c>
      <c r="N484">
        <v>12.530747</v>
      </c>
      <c r="O484">
        <v>12.393770999999999</v>
      </c>
      <c r="P484">
        <v>12.593273999999999</v>
      </c>
      <c r="Q484">
        <v>12.910771</v>
      </c>
      <c r="R484">
        <v>12.492646000000001</v>
      </c>
      <c r="S484">
        <v>10.477092000000001</v>
      </c>
      <c r="T484">
        <v>11.817360000000001</v>
      </c>
      <c r="U484">
        <v>11.601333</v>
      </c>
      <c r="V484">
        <v>11.832196</v>
      </c>
      <c r="W484">
        <v>11.790982</v>
      </c>
      <c r="X484">
        <v>11.774938000000001</v>
      </c>
      <c r="Y484">
        <v>11.368354</v>
      </c>
      <c r="Z484">
        <v>11.722462999999999</v>
      </c>
      <c r="AA484">
        <v>12.493124999999999</v>
      </c>
      <c r="AB484">
        <v>11.786324499999999</v>
      </c>
      <c r="AC484">
        <v>10.16709</v>
      </c>
      <c r="AD484">
        <v>12.446104999999999</v>
      </c>
      <c r="AE484">
        <v>12.276589</v>
      </c>
      <c r="AF484">
        <v>12.831521</v>
      </c>
      <c r="AG484">
        <v>12.167012</v>
      </c>
    </row>
    <row r="485" spans="1:33" x14ac:dyDescent="0.25">
      <c r="A485" s="1">
        <v>44536</v>
      </c>
      <c r="B485">
        <v>12.242898</v>
      </c>
      <c r="C485">
        <v>12.757159</v>
      </c>
      <c r="D485">
        <v>12.644636999999999</v>
      </c>
      <c r="E485">
        <v>12.432007</v>
      </c>
      <c r="F485">
        <v>12.729789999999999</v>
      </c>
      <c r="G485">
        <v>12.894996000000001</v>
      </c>
      <c r="H485">
        <v>12.996937000000001</v>
      </c>
      <c r="I485">
        <v>12.415149</v>
      </c>
      <c r="J485">
        <v>11.914139</v>
      </c>
      <c r="K485">
        <v>12.846943</v>
      </c>
      <c r="L485">
        <v>12.274654999999999</v>
      </c>
      <c r="M485">
        <v>12.851279</v>
      </c>
      <c r="N485">
        <v>12.383305</v>
      </c>
      <c r="O485">
        <v>12.211123000000001</v>
      </c>
      <c r="P485">
        <v>12.480905</v>
      </c>
      <c r="Q485">
        <v>12.783841000000001</v>
      </c>
      <c r="R485">
        <v>12.334788</v>
      </c>
      <c r="S485">
        <v>10.162535</v>
      </c>
      <c r="T485">
        <v>11.692052</v>
      </c>
      <c r="U485">
        <v>11.518579000000001</v>
      </c>
      <c r="V485">
        <v>11.699816999999999</v>
      </c>
      <c r="W485">
        <v>11.669245999999999</v>
      </c>
      <c r="X485">
        <v>11.623948</v>
      </c>
      <c r="Y485">
        <v>11.2178755</v>
      </c>
      <c r="Z485">
        <v>11.546611</v>
      </c>
      <c r="AA485">
        <v>12.312381</v>
      </c>
      <c r="AB485">
        <v>11.632308</v>
      </c>
      <c r="AC485">
        <v>9.9594509999999996</v>
      </c>
      <c r="AD485">
        <v>12.286704</v>
      </c>
      <c r="AE485">
        <v>11.807116499999999</v>
      </c>
      <c r="AF485">
        <v>12.616637000000001</v>
      </c>
      <c r="AG485">
        <v>11.926595000000001</v>
      </c>
    </row>
    <row r="486" spans="1:33" x14ac:dyDescent="0.25">
      <c r="A486" s="1">
        <v>44537</v>
      </c>
      <c r="B486">
        <v>12.205640000000001</v>
      </c>
      <c r="C486">
        <v>12.699164</v>
      </c>
      <c r="D486">
        <v>12.47878</v>
      </c>
      <c r="E486">
        <v>12.334622</v>
      </c>
      <c r="F486">
        <v>12.699170000000001</v>
      </c>
      <c r="G486">
        <v>12.794521</v>
      </c>
      <c r="H486">
        <v>12.888818000000001</v>
      </c>
      <c r="I486">
        <v>12.395792999999999</v>
      </c>
      <c r="J486">
        <v>11.983033000000001</v>
      </c>
      <c r="K486">
        <v>12.764659999999999</v>
      </c>
      <c r="L486">
        <v>12.207985000000001</v>
      </c>
      <c r="M486">
        <v>12.776691</v>
      </c>
      <c r="N486">
        <v>12.31033</v>
      </c>
      <c r="O486">
        <v>12.185688000000001</v>
      </c>
      <c r="P486">
        <v>12.402692</v>
      </c>
      <c r="Q486">
        <v>12.682558999999999</v>
      </c>
      <c r="R486">
        <v>12.276484999999999</v>
      </c>
      <c r="S486">
        <v>10.287239</v>
      </c>
      <c r="T486">
        <v>11.648182</v>
      </c>
      <c r="U486">
        <v>11.54232</v>
      </c>
      <c r="V486">
        <v>11.708468999999999</v>
      </c>
      <c r="W486">
        <v>11.934291999999999</v>
      </c>
      <c r="X486">
        <v>11.644764</v>
      </c>
      <c r="Y486">
        <v>11.32475</v>
      </c>
      <c r="Z486">
        <v>11.4993105</v>
      </c>
      <c r="AA486">
        <v>12.236511</v>
      </c>
      <c r="AB486">
        <v>11.630315</v>
      </c>
      <c r="AC486">
        <v>9.9599419999999999</v>
      </c>
      <c r="AD486">
        <v>12.215309</v>
      </c>
      <c r="AE486">
        <v>11.955873</v>
      </c>
      <c r="AF486">
        <v>12.539071</v>
      </c>
      <c r="AG486">
        <v>11.927593</v>
      </c>
    </row>
    <row r="487" spans="1:33" x14ac:dyDescent="0.25">
      <c r="A487" s="1">
        <v>44538</v>
      </c>
      <c r="B487">
        <v>11.903816000000001</v>
      </c>
      <c r="C487">
        <v>12.545968</v>
      </c>
      <c r="D487">
        <v>12.2928915</v>
      </c>
      <c r="E487">
        <v>12.130502</v>
      </c>
      <c r="F487">
        <v>12.574180999999999</v>
      </c>
      <c r="G487">
        <v>12.689278</v>
      </c>
      <c r="H487">
        <v>12.817686999999999</v>
      </c>
      <c r="I487">
        <v>12.241816999999999</v>
      </c>
      <c r="J487">
        <v>11.802365</v>
      </c>
      <c r="K487">
        <v>12.625309</v>
      </c>
      <c r="L487">
        <v>12.088879</v>
      </c>
      <c r="M487">
        <v>12.665798000000001</v>
      </c>
      <c r="N487">
        <v>12.19361</v>
      </c>
      <c r="O487">
        <v>12.068184</v>
      </c>
      <c r="P487">
        <v>12.259809000000001</v>
      </c>
      <c r="Q487">
        <v>12.574672</v>
      </c>
      <c r="R487">
        <v>12.152438999999999</v>
      </c>
      <c r="S487">
        <v>10.148254</v>
      </c>
      <c r="T487">
        <v>11.543635</v>
      </c>
      <c r="U487">
        <v>11.462484999999999</v>
      </c>
      <c r="V487">
        <v>11.601357</v>
      </c>
      <c r="W487">
        <v>11.920958499999999</v>
      </c>
      <c r="X487">
        <v>11.546875999999999</v>
      </c>
      <c r="Y487">
        <v>11.249055</v>
      </c>
      <c r="Z487">
        <v>11.390461</v>
      </c>
      <c r="AA487">
        <v>12.110538500000001</v>
      </c>
      <c r="AB487">
        <v>11.542521000000001</v>
      </c>
      <c r="AC487">
        <v>9.8640129999999999</v>
      </c>
      <c r="AD487">
        <v>12.096705999999999</v>
      </c>
      <c r="AE487">
        <v>11.733605000000001</v>
      </c>
      <c r="AF487">
        <v>12.3858595</v>
      </c>
      <c r="AG487">
        <v>11.796020499999999</v>
      </c>
    </row>
    <row r="488" spans="1:33" x14ac:dyDescent="0.25">
      <c r="A488" s="1">
        <v>44539</v>
      </c>
      <c r="B488">
        <v>11.719645999999999</v>
      </c>
      <c r="C488">
        <v>12.427564</v>
      </c>
      <c r="D488">
        <v>12.130259499999999</v>
      </c>
      <c r="E488">
        <v>11.95049</v>
      </c>
      <c r="F488">
        <v>12.389355</v>
      </c>
      <c r="G488">
        <v>12.553542</v>
      </c>
      <c r="H488">
        <v>12.662162</v>
      </c>
      <c r="I488">
        <v>11.978455</v>
      </c>
      <c r="J488">
        <v>11.623047</v>
      </c>
      <c r="K488">
        <v>12.511101999999999</v>
      </c>
      <c r="L488">
        <v>12.036498</v>
      </c>
      <c r="M488">
        <v>12.496937000000001</v>
      </c>
      <c r="N488">
        <v>12.044788</v>
      </c>
      <c r="O488">
        <v>12.024089999999999</v>
      </c>
      <c r="P488">
        <v>12.130440999999999</v>
      </c>
      <c r="Q488">
        <v>12.458095999999999</v>
      </c>
      <c r="R488">
        <v>12.100168999999999</v>
      </c>
      <c r="S488">
        <v>10.129422</v>
      </c>
      <c r="T488">
        <v>11.49009</v>
      </c>
      <c r="U488">
        <v>11.426479</v>
      </c>
      <c r="V488">
        <v>11.525883</v>
      </c>
      <c r="W488">
        <v>11.827271</v>
      </c>
      <c r="X488">
        <v>11.519947999999999</v>
      </c>
      <c r="Y488">
        <v>11.233974999999999</v>
      </c>
      <c r="Z488">
        <v>11.318505</v>
      </c>
      <c r="AA488">
        <v>12.038459</v>
      </c>
      <c r="AB488">
        <v>11.517493999999999</v>
      </c>
      <c r="AC488">
        <v>9.9373729999999991</v>
      </c>
      <c r="AD488">
        <v>12.029119</v>
      </c>
      <c r="AE488">
        <v>12.02608</v>
      </c>
      <c r="AF488">
        <v>12.292007</v>
      </c>
      <c r="AG488">
        <v>11.751321000000001</v>
      </c>
    </row>
    <row r="489" spans="1:33" x14ac:dyDescent="0.25">
      <c r="A489" s="1">
        <v>44540</v>
      </c>
      <c r="B489">
        <v>11.116936000000001</v>
      </c>
      <c r="C489">
        <v>12.060692</v>
      </c>
      <c r="D489">
        <v>11.748803000000001</v>
      </c>
      <c r="E489">
        <v>11.462825</v>
      </c>
      <c r="F489">
        <v>11.986356000000001</v>
      </c>
      <c r="G489">
        <v>12.205577</v>
      </c>
      <c r="H489">
        <v>12.331383000000001</v>
      </c>
      <c r="I489">
        <v>11.326489</v>
      </c>
      <c r="J489">
        <v>10.830437999999999</v>
      </c>
      <c r="K489">
        <v>12.214454</v>
      </c>
      <c r="L489">
        <v>11.585202000000001</v>
      </c>
      <c r="M489">
        <v>12.137543000000001</v>
      </c>
      <c r="N489">
        <v>11.630315</v>
      </c>
      <c r="O489">
        <v>11.602221999999999</v>
      </c>
      <c r="P489">
        <v>11.824120000000001</v>
      </c>
      <c r="Q489">
        <v>12.097267</v>
      </c>
      <c r="R489">
        <v>11.719443</v>
      </c>
      <c r="S489">
        <v>9.0732510000000008</v>
      </c>
      <c r="T489">
        <v>11.152493</v>
      </c>
      <c r="U489">
        <v>11.012456</v>
      </c>
      <c r="V489">
        <v>11.297504999999999</v>
      </c>
      <c r="W489">
        <v>11.532700999999999</v>
      </c>
      <c r="X489">
        <v>11.384883</v>
      </c>
      <c r="Y489">
        <v>10.558166999999999</v>
      </c>
      <c r="Z489">
        <v>10.872704000000001</v>
      </c>
      <c r="AA489">
        <v>11.586297</v>
      </c>
      <c r="AB489">
        <v>10.929176999999999</v>
      </c>
      <c r="AC489">
        <v>9.4950480000000006</v>
      </c>
      <c r="AD489">
        <v>11.683566000000001</v>
      </c>
      <c r="AE489">
        <v>11.240686999999999</v>
      </c>
      <c r="AF489">
        <v>11.901702</v>
      </c>
      <c r="AG489">
        <v>10.974762</v>
      </c>
    </row>
    <row r="490" spans="1:33" x14ac:dyDescent="0.25">
      <c r="A490" s="1">
        <v>44541</v>
      </c>
      <c r="B490">
        <v>10.780021</v>
      </c>
      <c r="C490">
        <v>11.726039</v>
      </c>
      <c r="D490">
        <v>11.357894999999999</v>
      </c>
      <c r="E490">
        <v>11.118702000000001</v>
      </c>
      <c r="F490">
        <v>11.751448999999999</v>
      </c>
      <c r="G490">
        <v>11.948485</v>
      </c>
      <c r="H490">
        <v>12.079361</v>
      </c>
      <c r="I490">
        <v>11.007348</v>
      </c>
      <c r="J490">
        <v>10.158455999999999</v>
      </c>
      <c r="K490">
        <v>11.927417999999999</v>
      </c>
      <c r="L490">
        <v>11.185707000000001</v>
      </c>
      <c r="M490">
        <v>11.884167</v>
      </c>
      <c r="N490">
        <v>11.337705</v>
      </c>
      <c r="O490">
        <v>11.251747999999999</v>
      </c>
      <c r="P490">
        <v>11.511134999999999</v>
      </c>
      <c r="Q490">
        <v>11.832814000000001</v>
      </c>
      <c r="R490">
        <v>11.398498999999999</v>
      </c>
      <c r="S490">
        <v>7.9911523000000004</v>
      </c>
      <c r="T490">
        <v>10.793715499999999</v>
      </c>
      <c r="U490">
        <v>10.577422</v>
      </c>
      <c r="V490">
        <v>10.994161</v>
      </c>
      <c r="W490">
        <v>11.142868999999999</v>
      </c>
      <c r="X490">
        <v>11.015986</v>
      </c>
      <c r="Y490">
        <v>9.9712759999999996</v>
      </c>
      <c r="Z490">
        <v>10.412203</v>
      </c>
      <c r="AA490">
        <v>11.13531</v>
      </c>
      <c r="AB490">
        <v>10.389505</v>
      </c>
      <c r="AC490">
        <v>8.9518260000000005</v>
      </c>
      <c r="AD490">
        <v>11.317591999999999</v>
      </c>
      <c r="AE490">
        <v>10.218717</v>
      </c>
      <c r="AF490">
        <v>11.531200999999999</v>
      </c>
      <c r="AG490">
        <v>10.365516</v>
      </c>
    </row>
    <row r="491" spans="1:33" x14ac:dyDescent="0.25">
      <c r="A491" s="1">
        <v>44542</v>
      </c>
      <c r="B491">
        <v>10.757171</v>
      </c>
      <c r="C491">
        <v>11.538779</v>
      </c>
      <c r="D491">
        <v>11.145237</v>
      </c>
      <c r="E491">
        <v>11.067126</v>
      </c>
      <c r="F491">
        <v>11.616538</v>
      </c>
      <c r="G491">
        <v>11.809288</v>
      </c>
      <c r="H491">
        <v>11.838008</v>
      </c>
      <c r="I491">
        <v>11.033147</v>
      </c>
      <c r="J491">
        <v>9.9261009999999992</v>
      </c>
      <c r="K491">
        <v>11.673788999999999</v>
      </c>
      <c r="L491">
        <v>10.969201</v>
      </c>
      <c r="M491">
        <v>11.740131</v>
      </c>
      <c r="N491">
        <v>11.230492999999999</v>
      </c>
      <c r="O491">
        <v>11.070800999999999</v>
      </c>
      <c r="P491">
        <v>11.259128</v>
      </c>
      <c r="Q491">
        <v>11.695897</v>
      </c>
      <c r="R491">
        <v>11.197015</v>
      </c>
      <c r="S491">
        <v>7.8183626999999998</v>
      </c>
      <c r="T491">
        <v>10.582421</v>
      </c>
      <c r="U491">
        <v>10.227028000000001</v>
      </c>
      <c r="V491">
        <v>10.754695999999999</v>
      </c>
      <c r="W491">
        <v>10.869287</v>
      </c>
      <c r="X491">
        <v>10.779987</v>
      </c>
      <c r="Y491">
        <v>9.7965730000000004</v>
      </c>
      <c r="Z491">
        <v>10.125438000000001</v>
      </c>
      <c r="AA491">
        <v>10.822869000000001</v>
      </c>
      <c r="AB491">
        <v>10.164239</v>
      </c>
      <c r="AC491">
        <v>8.5866399999999992</v>
      </c>
      <c r="AD491">
        <v>11.083553</v>
      </c>
      <c r="AE491">
        <v>9.8633930000000003</v>
      </c>
      <c r="AF491">
        <v>11.274229999999999</v>
      </c>
      <c r="AG491">
        <v>10.007755</v>
      </c>
    </row>
    <row r="492" spans="1:33" x14ac:dyDescent="0.25">
      <c r="A492" s="1">
        <v>44543</v>
      </c>
      <c r="B492">
        <v>10.500043</v>
      </c>
      <c r="C492">
        <v>11.506907</v>
      </c>
      <c r="D492">
        <v>11.0845175</v>
      </c>
      <c r="E492">
        <v>11.083278</v>
      </c>
      <c r="F492">
        <v>11.630141999999999</v>
      </c>
      <c r="G492">
        <v>11.693398</v>
      </c>
      <c r="H492">
        <v>11.735329</v>
      </c>
      <c r="I492">
        <v>11.287786000000001</v>
      </c>
      <c r="J492">
        <v>9.9879350000000002</v>
      </c>
      <c r="K492">
        <v>11.395064</v>
      </c>
      <c r="L492">
        <v>10.807522000000001</v>
      </c>
      <c r="M492">
        <v>11.644857999999999</v>
      </c>
      <c r="N492">
        <v>11.138237</v>
      </c>
      <c r="O492">
        <v>10.887257999999999</v>
      </c>
      <c r="P492">
        <v>11.091022499999999</v>
      </c>
      <c r="Q492">
        <v>11.572818</v>
      </c>
      <c r="R492">
        <v>11.016292999999999</v>
      </c>
      <c r="S492">
        <v>8.5298259999999999</v>
      </c>
      <c r="T492">
        <v>10.457243999999999</v>
      </c>
      <c r="U492">
        <v>9.9912209999999995</v>
      </c>
      <c r="V492">
        <v>10.646155</v>
      </c>
      <c r="W492">
        <v>10.48368</v>
      </c>
      <c r="X492">
        <v>10.640508000000001</v>
      </c>
      <c r="Y492">
        <v>9.7065509999999993</v>
      </c>
      <c r="Z492">
        <v>9.9774799999999999</v>
      </c>
      <c r="AA492">
        <v>10.631879</v>
      </c>
      <c r="AB492">
        <v>10.093252</v>
      </c>
      <c r="AC492">
        <v>8.6134160000000008</v>
      </c>
      <c r="AD492">
        <v>10.899440999999999</v>
      </c>
      <c r="AE492">
        <v>10.023588999999999</v>
      </c>
      <c r="AF492">
        <v>11.039008000000001</v>
      </c>
      <c r="AG492">
        <v>9.8222190000000005</v>
      </c>
    </row>
    <row r="493" spans="1:33" x14ac:dyDescent="0.25">
      <c r="A493" s="1">
        <v>44544</v>
      </c>
      <c r="B493">
        <v>9.9100859999999997</v>
      </c>
      <c r="C493">
        <v>11.305956999999999</v>
      </c>
      <c r="D493">
        <v>10.961709000000001</v>
      </c>
      <c r="E493">
        <v>10.774022</v>
      </c>
      <c r="F493">
        <v>11.279652</v>
      </c>
      <c r="G493">
        <v>11.496354</v>
      </c>
      <c r="H493">
        <v>11.514205</v>
      </c>
      <c r="I493">
        <v>10.810046</v>
      </c>
      <c r="J493">
        <v>9.8783709999999996</v>
      </c>
      <c r="K493">
        <v>11.231114</v>
      </c>
      <c r="L493">
        <v>10.638366</v>
      </c>
      <c r="M493">
        <v>11.372811</v>
      </c>
      <c r="N493">
        <v>10.791957</v>
      </c>
      <c r="O493">
        <v>10.654074</v>
      </c>
      <c r="P493">
        <v>10.946387</v>
      </c>
      <c r="Q493">
        <v>11.33821</v>
      </c>
      <c r="R493">
        <v>10.818301999999999</v>
      </c>
      <c r="S493">
        <v>8.9639845000000005</v>
      </c>
      <c r="T493">
        <v>10.235412</v>
      </c>
      <c r="U493">
        <v>9.8923900000000007</v>
      </c>
      <c r="V493">
        <v>10.501503</v>
      </c>
      <c r="W493">
        <v>10.123381999999999</v>
      </c>
      <c r="X493">
        <v>10.534827999999999</v>
      </c>
      <c r="Y493">
        <v>9.4411950000000004</v>
      </c>
      <c r="Z493">
        <v>9.9744650000000004</v>
      </c>
      <c r="AA493">
        <v>10.532023000000001</v>
      </c>
      <c r="AB493">
        <v>9.9000880000000002</v>
      </c>
      <c r="AC493">
        <v>8.6569990000000008</v>
      </c>
      <c r="AD493">
        <v>10.726364</v>
      </c>
      <c r="AE493">
        <v>10.107483999999999</v>
      </c>
      <c r="AF493">
        <v>10.883554999999999</v>
      </c>
      <c r="AG493">
        <v>10.083356999999999</v>
      </c>
    </row>
    <row r="494" spans="1:33" x14ac:dyDescent="0.25">
      <c r="A494" s="1">
        <v>44545</v>
      </c>
      <c r="B494">
        <v>8.9011549999999993</v>
      </c>
      <c r="C494">
        <v>10.820005999999999</v>
      </c>
      <c r="D494">
        <v>10.631269</v>
      </c>
      <c r="E494">
        <v>10.345905999999999</v>
      </c>
      <c r="F494">
        <v>10.815422999999999</v>
      </c>
      <c r="G494">
        <v>11.110493</v>
      </c>
      <c r="H494">
        <v>11.117190000000001</v>
      </c>
      <c r="I494">
        <v>10.079848999999999</v>
      </c>
      <c r="J494">
        <v>9.2129964999999991</v>
      </c>
      <c r="K494">
        <v>10.923071999999999</v>
      </c>
      <c r="L494">
        <v>10.209084000000001</v>
      </c>
      <c r="M494">
        <v>11.001531</v>
      </c>
      <c r="N494">
        <v>10.344352000000001</v>
      </c>
      <c r="O494">
        <v>10.197153999999999</v>
      </c>
      <c r="P494">
        <v>10.658942</v>
      </c>
      <c r="Q494">
        <v>10.931357</v>
      </c>
      <c r="R494">
        <v>10.371401000000001</v>
      </c>
      <c r="S494">
        <v>8.5060920000000007</v>
      </c>
      <c r="T494">
        <v>9.8272490000000001</v>
      </c>
      <c r="U494">
        <v>9.5471210000000006</v>
      </c>
      <c r="V494">
        <v>9.8143834999999999</v>
      </c>
      <c r="W494">
        <v>9.7090239999999994</v>
      </c>
      <c r="X494">
        <v>9.8217870000000005</v>
      </c>
      <c r="Y494">
        <v>8.8203209999999999</v>
      </c>
      <c r="Z494">
        <v>9.6596810000000009</v>
      </c>
      <c r="AA494">
        <v>10.177979000000001</v>
      </c>
      <c r="AB494">
        <v>9.5556319999999992</v>
      </c>
      <c r="AC494">
        <v>8.0073600000000003</v>
      </c>
      <c r="AD494">
        <v>10.366446</v>
      </c>
      <c r="AE494">
        <v>9.515549</v>
      </c>
      <c r="AF494">
        <v>10.556685</v>
      </c>
      <c r="AG494">
        <v>9.6528670000000005</v>
      </c>
    </row>
    <row r="495" spans="1:33" x14ac:dyDescent="0.25">
      <c r="A495" s="1">
        <v>44546</v>
      </c>
      <c r="B495">
        <v>8.8424119999999995</v>
      </c>
      <c r="C495">
        <v>10.734940999999999</v>
      </c>
      <c r="D495">
        <v>10.512544999999999</v>
      </c>
      <c r="E495">
        <v>10.200013</v>
      </c>
      <c r="F495">
        <v>10.846437999999999</v>
      </c>
      <c r="G495">
        <v>10.827529</v>
      </c>
      <c r="H495">
        <v>11.002151</v>
      </c>
      <c r="I495">
        <v>10.180966</v>
      </c>
      <c r="J495">
        <v>9.3072210000000002</v>
      </c>
      <c r="K495">
        <v>10.758853</v>
      </c>
      <c r="L495">
        <v>10.105646</v>
      </c>
      <c r="M495">
        <v>10.776014999999999</v>
      </c>
      <c r="N495">
        <v>10.096311999999999</v>
      </c>
      <c r="O495">
        <v>9.9829550000000005</v>
      </c>
      <c r="P495">
        <v>10.461963000000001</v>
      </c>
      <c r="Q495">
        <v>10.600764</v>
      </c>
      <c r="R495">
        <v>10.223490999999999</v>
      </c>
      <c r="S495">
        <v>8.71021</v>
      </c>
      <c r="T495">
        <v>9.5453580000000002</v>
      </c>
      <c r="U495">
        <v>9.31921</v>
      </c>
      <c r="V495">
        <v>9.590643</v>
      </c>
      <c r="W495">
        <v>9.8654489999999999</v>
      </c>
      <c r="X495">
        <v>9.5973869999999994</v>
      </c>
      <c r="Y495">
        <v>9.0797509999999999</v>
      </c>
      <c r="Z495">
        <v>9.6166429999999998</v>
      </c>
      <c r="AA495">
        <v>10.026210000000001</v>
      </c>
      <c r="AB495">
        <v>9.6373470000000001</v>
      </c>
      <c r="AC495">
        <v>7.9467869999999996</v>
      </c>
      <c r="AD495">
        <v>10.140243</v>
      </c>
      <c r="AE495">
        <v>9.3805130000000005</v>
      </c>
      <c r="AF495">
        <v>10.289531</v>
      </c>
      <c r="AG495">
        <v>9.7347800000000007</v>
      </c>
    </row>
    <row r="496" spans="1:33" x14ac:dyDescent="0.25">
      <c r="A496" s="1">
        <v>44547</v>
      </c>
      <c r="B496">
        <v>8.2906929999999992</v>
      </c>
      <c r="C496">
        <v>10.271781000000001</v>
      </c>
      <c r="D496">
        <v>10.328457999999999</v>
      </c>
      <c r="E496">
        <v>9.9522929999999992</v>
      </c>
      <c r="F496">
        <v>10.382796000000001</v>
      </c>
      <c r="G496">
        <v>10.510743</v>
      </c>
      <c r="H496">
        <v>10.836156000000001</v>
      </c>
      <c r="I496">
        <v>9.9045629999999996</v>
      </c>
      <c r="J496">
        <v>9.0895430000000008</v>
      </c>
      <c r="K496">
        <v>10.632129000000001</v>
      </c>
      <c r="L496">
        <v>9.8884369999999997</v>
      </c>
      <c r="M496">
        <v>10.438549999999999</v>
      </c>
      <c r="N496">
        <v>9.6685140000000001</v>
      </c>
      <c r="O496">
        <v>9.7817240000000005</v>
      </c>
      <c r="P496">
        <v>10.254106</v>
      </c>
      <c r="Q496">
        <v>10.229744</v>
      </c>
      <c r="R496">
        <v>9.9582449999999998</v>
      </c>
      <c r="S496">
        <v>8.261158</v>
      </c>
      <c r="T496">
        <v>9.3536429999999999</v>
      </c>
      <c r="U496">
        <v>9.1202880000000004</v>
      </c>
      <c r="V496">
        <v>9.7129569999999994</v>
      </c>
      <c r="W496">
        <v>9.2339889999999993</v>
      </c>
      <c r="X496">
        <v>9.7079570000000004</v>
      </c>
      <c r="Y496">
        <v>8.6623339999999995</v>
      </c>
      <c r="Z496">
        <v>9.5552790000000005</v>
      </c>
      <c r="AA496">
        <v>9.8800570000000008</v>
      </c>
      <c r="AB496">
        <v>9.4190470000000008</v>
      </c>
      <c r="AC496">
        <v>7.8978770000000003</v>
      </c>
      <c r="AD496">
        <v>9.9176120000000001</v>
      </c>
      <c r="AE496">
        <v>9.2082789999999992</v>
      </c>
      <c r="AF496">
        <v>10.095731000000001</v>
      </c>
      <c r="AG496">
        <v>9.6512209999999996</v>
      </c>
    </row>
    <row r="497" spans="1:33" x14ac:dyDescent="0.25">
      <c r="A497" s="1">
        <v>44548</v>
      </c>
      <c r="B497">
        <v>8.6228599999999993</v>
      </c>
      <c r="C497">
        <v>9.834263</v>
      </c>
      <c r="D497">
        <v>10.041315000000001</v>
      </c>
      <c r="E497">
        <v>9.7097449999999998</v>
      </c>
      <c r="F497">
        <v>9.9720549999999992</v>
      </c>
      <c r="G497">
        <v>10.166539</v>
      </c>
      <c r="H497">
        <v>10.584524</v>
      </c>
      <c r="I497">
        <v>9.5435839999999992</v>
      </c>
      <c r="J497">
        <v>8.7821245000000001</v>
      </c>
      <c r="K497">
        <v>10.404748</v>
      </c>
      <c r="L497">
        <v>9.7023930000000007</v>
      </c>
      <c r="M497">
        <v>10.103399</v>
      </c>
      <c r="N497">
        <v>9.4692889999999998</v>
      </c>
      <c r="O497">
        <v>9.6124749999999999</v>
      </c>
      <c r="P497">
        <v>9.9638170000000006</v>
      </c>
      <c r="Q497">
        <v>9.9058080000000004</v>
      </c>
      <c r="R497">
        <v>9.7820929999999997</v>
      </c>
      <c r="S497">
        <v>7.6843469999999998</v>
      </c>
      <c r="T497">
        <v>8.9480090000000008</v>
      </c>
      <c r="U497">
        <v>8.9075574999999994</v>
      </c>
      <c r="V497">
        <v>8.8580129999999997</v>
      </c>
      <c r="W497">
        <v>8.5785850000000003</v>
      </c>
      <c r="X497">
        <v>8.8529440000000008</v>
      </c>
      <c r="Y497">
        <v>8.2980280000000004</v>
      </c>
      <c r="Z497">
        <v>9.3545390000000008</v>
      </c>
      <c r="AA497">
        <v>9.6699479999999998</v>
      </c>
      <c r="AB497">
        <v>9.1698749999999993</v>
      </c>
      <c r="AC497">
        <v>7.6767479999999999</v>
      </c>
      <c r="AD497">
        <v>9.7159929999999992</v>
      </c>
      <c r="AE497">
        <v>8.6834589999999992</v>
      </c>
      <c r="AF497">
        <v>9.8949940000000005</v>
      </c>
      <c r="AG497">
        <v>9.3894939999999991</v>
      </c>
    </row>
    <row r="498" spans="1:33" x14ac:dyDescent="0.25">
      <c r="A498" s="1">
        <v>44549</v>
      </c>
      <c r="B498">
        <v>9.0694590000000002</v>
      </c>
      <c r="C498">
        <v>9.6778899999999997</v>
      </c>
      <c r="D498">
        <v>9.7993539999999992</v>
      </c>
      <c r="E498">
        <v>9.6603510000000004</v>
      </c>
      <c r="F498">
        <v>9.8520570000000003</v>
      </c>
      <c r="G498">
        <v>9.9523109999999999</v>
      </c>
      <c r="H498">
        <v>10.39226</v>
      </c>
      <c r="I498">
        <v>9.4196139999999993</v>
      </c>
      <c r="J498">
        <v>8.9467759999999998</v>
      </c>
      <c r="K498">
        <v>10.238337</v>
      </c>
      <c r="L498">
        <v>9.6220879999999998</v>
      </c>
      <c r="M498">
        <v>9.9092129999999994</v>
      </c>
      <c r="N498">
        <v>9.2683870000000006</v>
      </c>
      <c r="O498">
        <v>9.478612</v>
      </c>
      <c r="P498">
        <v>9.7528860000000002</v>
      </c>
      <c r="Q498">
        <v>9.7012219999999996</v>
      </c>
      <c r="R498">
        <v>9.6884300000000003</v>
      </c>
      <c r="S498">
        <v>7.5411533999999998</v>
      </c>
      <c r="T498">
        <v>8.6698850000000007</v>
      </c>
      <c r="U498">
        <v>8.8498210000000004</v>
      </c>
      <c r="V498">
        <v>8.4190740000000002</v>
      </c>
      <c r="W498">
        <v>8.3357229999999998</v>
      </c>
      <c r="X498">
        <v>8.4071230000000003</v>
      </c>
      <c r="Y498">
        <v>8.098903</v>
      </c>
      <c r="Z498">
        <v>9.2182209999999998</v>
      </c>
      <c r="AA498">
        <v>9.5544619999999991</v>
      </c>
      <c r="AB498">
        <v>9.0495079999999994</v>
      </c>
      <c r="AC498">
        <v>7.672091</v>
      </c>
      <c r="AD498">
        <v>9.5945789999999995</v>
      </c>
      <c r="AE498">
        <v>8.4251839999999998</v>
      </c>
      <c r="AF498">
        <v>9.7685809999999993</v>
      </c>
      <c r="AG498">
        <v>9.2977650000000001</v>
      </c>
    </row>
    <row r="499" spans="1:33" x14ac:dyDescent="0.25">
      <c r="A499" s="1">
        <v>44550</v>
      </c>
      <c r="B499">
        <v>9.3006469999999997</v>
      </c>
      <c r="C499">
        <v>9.4718894999999996</v>
      </c>
      <c r="D499">
        <v>9.6112579999999994</v>
      </c>
      <c r="E499">
        <v>9.5906990000000008</v>
      </c>
      <c r="F499">
        <v>9.6537210000000009</v>
      </c>
      <c r="G499">
        <v>9.7606269999999995</v>
      </c>
      <c r="H499">
        <v>10.208600000000001</v>
      </c>
      <c r="I499">
        <v>9.3289799999999996</v>
      </c>
      <c r="J499">
        <v>8.7331179999999993</v>
      </c>
      <c r="K499">
        <v>10.081485000000001</v>
      </c>
      <c r="L499">
        <v>9.4544289999999993</v>
      </c>
      <c r="M499">
        <v>9.7229220000000005</v>
      </c>
      <c r="N499">
        <v>8.9479780000000009</v>
      </c>
      <c r="O499">
        <v>9.2341090000000001</v>
      </c>
      <c r="P499">
        <v>9.524165</v>
      </c>
      <c r="Q499">
        <v>9.4855319999999992</v>
      </c>
      <c r="R499">
        <v>9.4996349999999996</v>
      </c>
      <c r="S499">
        <v>7.3328819999999997</v>
      </c>
      <c r="T499">
        <v>8.4108499999999999</v>
      </c>
      <c r="U499">
        <v>8.7402960000000007</v>
      </c>
      <c r="V499">
        <v>8.2638590000000001</v>
      </c>
      <c r="W499">
        <v>8.1130084999999994</v>
      </c>
      <c r="X499">
        <v>8.2642209999999992</v>
      </c>
      <c r="Y499">
        <v>8.3729580000000006</v>
      </c>
      <c r="Z499">
        <v>9.036486</v>
      </c>
      <c r="AA499">
        <v>9.3388150000000003</v>
      </c>
      <c r="AB499">
        <v>8.7393330000000002</v>
      </c>
      <c r="AC499">
        <v>7.4609665999999999</v>
      </c>
      <c r="AD499">
        <v>9.4092520000000004</v>
      </c>
      <c r="AE499">
        <v>8.5135280000000009</v>
      </c>
      <c r="AF499">
        <v>9.5991070000000001</v>
      </c>
      <c r="AG499">
        <v>9.0826119999999992</v>
      </c>
    </row>
    <row r="500" spans="1:33" x14ac:dyDescent="0.25">
      <c r="A500" s="1">
        <v>44551</v>
      </c>
      <c r="B500">
        <v>9.1241769999999995</v>
      </c>
      <c r="C500">
        <v>9.3247440000000008</v>
      </c>
      <c r="D500">
        <v>9.3902350000000006</v>
      </c>
      <c r="E500">
        <v>9.3776349999999997</v>
      </c>
      <c r="F500">
        <v>9.4336389999999994</v>
      </c>
      <c r="G500">
        <v>9.5160590000000003</v>
      </c>
      <c r="H500">
        <v>9.9557660000000006</v>
      </c>
      <c r="I500">
        <v>9.1236859999999993</v>
      </c>
      <c r="J500">
        <v>8.6276200000000003</v>
      </c>
      <c r="K500">
        <v>9.9078660000000003</v>
      </c>
      <c r="L500">
        <v>9.2885960000000001</v>
      </c>
      <c r="M500">
        <v>9.4914369999999995</v>
      </c>
      <c r="N500">
        <v>8.7040229999999994</v>
      </c>
      <c r="O500">
        <v>9.0217600000000004</v>
      </c>
      <c r="P500">
        <v>9.3845569999999991</v>
      </c>
      <c r="Q500">
        <v>9.2289929999999991</v>
      </c>
      <c r="R500">
        <v>9.2952279999999998</v>
      </c>
      <c r="S500">
        <v>7.3031730000000001</v>
      </c>
      <c r="T500">
        <v>8.2196979999999993</v>
      </c>
      <c r="U500">
        <v>8.7393830000000001</v>
      </c>
      <c r="V500">
        <v>8.0730939999999993</v>
      </c>
      <c r="W500">
        <v>8.2703679999999995</v>
      </c>
      <c r="X500">
        <v>8.0790120000000005</v>
      </c>
      <c r="Y500">
        <v>8.2854320000000001</v>
      </c>
      <c r="Z500">
        <v>8.8457240000000006</v>
      </c>
      <c r="AA500">
        <v>9.2335560000000001</v>
      </c>
      <c r="AB500">
        <v>8.6342859999999995</v>
      </c>
      <c r="AC500">
        <v>7.0886269999999998</v>
      </c>
      <c r="AD500">
        <v>9.2604220000000002</v>
      </c>
      <c r="AE500">
        <v>8.6619869999999999</v>
      </c>
      <c r="AF500">
        <v>9.4591460000000005</v>
      </c>
      <c r="AG500">
        <v>8.9697739999999992</v>
      </c>
    </row>
    <row r="501" spans="1:33" x14ac:dyDescent="0.25">
      <c r="A501" s="1">
        <v>44552</v>
      </c>
      <c r="B501">
        <v>8.9166410000000003</v>
      </c>
      <c r="C501">
        <v>9.0372269999999997</v>
      </c>
      <c r="D501">
        <v>9.2487030000000008</v>
      </c>
      <c r="E501">
        <v>9.2226269999999992</v>
      </c>
      <c r="F501">
        <v>9.3340859999999992</v>
      </c>
      <c r="G501">
        <v>9.3665400000000005</v>
      </c>
      <c r="H501">
        <v>9.8613689999999998</v>
      </c>
      <c r="I501">
        <v>9.0135090000000009</v>
      </c>
      <c r="J501">
        <v>8.6604620000000008</v>
      </c>
      <c r="K501">
        <v>9.7610860000000006</v>
      </c>
      <c r="L501">
        <v>9.1675229999999992</v>
      </c>
      <c r="M501">
        <v>9.3466009999999997</v>
      </c>
      <c r="N501">
        <v>8.6139989999999997</v>
      </c>
      <c r="O501">
        <v>8.9283479999999997</v>
      </c>
      <c r="P501">
        <v>9.2389799999999997</v>
      </c>
      <c r="Q501">
        <v>9.0958605000000006</v>
      </c>
      <c r="R501">
        <v>9.1821950000000001</v>
      </c>
      <c r="S501">
        <v>7.4399319999999998</v>
      </c>
      <c r="T501">
        <v>8.1829710000000002</v>
      </c>
      <c r="U501">
        <v>8.7891860000000008</v>
      </c>
      <c r="V501">
        <v>8.2844169999999995</v>
      </c>
      <c r="W501">
        <v>8.155564</v>
      </c>
      <c r="X501">
        <v>8.2936929999999993</v>
      </c>
      <c r="Y501">
        <v>8.1959090000000003</v>
      </c>
      <c r="Z501">
        <v>8.7240950000000002</v>
      </c>
      <c r="AA501">
        <v>9.1471009999999993</v>
      </c>
      <c r="AB501">
        <v>8.6001600000000007</v>
      </c>
      <c r="AC501">
        <v>6.9862275</v>
      </c>
      <c r="AD501">
        <v>9.1489809999999991</v>
      </c>
      <c r="AE501">
        <v>9.0423609999999996</v>
      </c>
      <c r="AF501">
        <v>9.3273770000000003</v>
      </c>
      <c r="AG501">
        <v>8.9176444999999998</v>
      </c>
    </row>
    <row r="502" spans="1:33" x14ac:dyDescent="0.25">
      <c r="A502" s="1">
        <v>44553</v>
      </c>
      <c r="B502">
        <v>9.0705960000000001</v>
      </c>
      <c r="C502">
        <v>9.1506019999999992</v>
      </c>
      <c r="D502">
        <v>9.3504930000000002</v>
      </c>
      <c r="E502">
        <v>9.3851739999999992</v>
      </c>
      <c r="F502">
        <v>9.5484270000000002</v>
      </c>
      <c r="G502">
        <v>9.4035620000000009</v>
      </c>
      <c r="H502">
        <v>9.9503939999999993</v>
      </c>
      <c r="I502">
        <v>9.4561349999999997</v>
      </c>
      <c r="J502">
        <v>8.9303950000000007</v>
      </c>
      <c r="K502">
        <v>9.7304980000000008</v>
      </c>
      <c r="L502">
        <v>9.2343410000000006</v>
      </c>
      <c r="M502">
        <v>9.3931930000000001</v>
      </c>
      <c r="N502">
        <v>8.6536170000000006</v>
      </c>
      <c r="O502">
        <v>9.0671280000000003</v>
      </c>
      <c r="P502">
        <v>9.1892560000000003</v>
      </c>
      <c r="Q502">
        <v>9.1313180000000003</v>
      </c>
      <c r="R502">
        <v>9.2537529999999997</v>
      </c>
      <c r="S502">
        <v>7.9532259999999999</v>
      </c>
      <c r="T502">
        <v>8.3654010000000003</v>
      </c>
      <c r="U502">
        <v>8.927467</v>
      </c>
      <c r="V502">
        <v>8.409262</v>
      </c>
      <c r="W502">
        <v>8.1873090000000008</v>
      </c>
      <c r="X502">
        <v>8.3834420000000005</v>
      </c>
      <c r="Y502">
        <v>8.4652720000000006</v>
      </c>
      <c r="Z502">
        <v>8.84863</v>
      </c>
      <c r="AA502">
        <v>9.2552389999999995</v>
      </c>
      <c r="AB502">
        <v>8.7312600000000007</v>
      </c>
      <c r="AC502">
        <v>7.5258139999999996</v>
      </c>
      <c r="AD502">
        <v>9.1983669999999993</v>
      </c>
      <c r="AE502">
        <v>9.8396460000000001</v>
      </c>
      <c r="AF502">
        <v>9.3560130000000008</v>
      </c>
      <c r="AG502">
        <v>9.1187140000000007</v>
      </c>
    </row>
    <row r="503" spans="1:33" x14ac:dyDescent="0.25">
      <c r="A503" s="1">
        <v>44554</v>
      </c>
      <c r="B503">
        <v>9.0775760000000005</v>
      </c>
      <c r="C503">
        <v>9.2720950000000002</v>
      </c>
      <c r="D503">
        <v>9.4083760000000005</v>
      </c>
      <c r="E503">
        <v>9.4581669999999995</v>
      </c>
      <c r="F503">
        <v>9.5533900000000003</v>
      </c>
      <c r="G503">
        <v>9.3495229999999996</v>
      </c>
      <c r="H503">
        <v>9.9646749999999997</v>
      </c>
      <c r="I503">
        <v>9.6512619999999991</v>
      </c>
      <c r="J503">
        <v>9.072146</v>
      </c>
      <c r="K503">
        <v>9.7161740000000005</v>
      </c>
      <c r="L503">
        <v>9.3022530000000003</v>
      </c>
      <c r="M503">
        <v>9.3300129999999992</v>
      </c>
      <c r="N503">
        <v>8.6817270000000004</v>
      </c>
      <c r="O503">
        <v>9.0802370000000003</v>
      </c>
      <c r="P503">
        <v>9.2275589999999994</v>
      </c>
      <c r="Q503">
        <v>9.0918989999999997</v>
      </c>
      <c r="R503">
        <v>9.2480755000000006</v>
      </c>
      <c r="S503">
        <v>8.4221649999999997</v>
      </c>
      <c r="T503">
        <v>8.5371539999999992</v>
      </c>
      <c r="U503">
        <v>9.1251040000000003</v>
      </c>
      <c r="V503">
        <v>8.4068839999999998</v>
      </c>
      <c r="W503">
        <v>8.5413239999999995</v>
      </c>
      <c r="X503">
        <v>8.3979269999999993</v>
      </c>
      <c r="Y503">
        <v>8.4804329999999997</v>
      </c>
      <c r="Z503">
        <v>9.1786549999999991</v>
      </c>
      <c r="AA503">
        <v>9.3687315000000009</v>
      </c>
      <c r="AB503">
        <v>8.755414</v>
      </c>
      <c r="AC503">
        <v>8.0667880000000007</v>
      </c>
      <c r="AD503">
        <v>9.2388010000000005</v>
      </c>
      <c r="AE503">
        <v>10.5742855</v>
      </c>
      <c r="AF503">
        <v>9.3763249999999996</v>
      </c>
      <c r="AG503">
        <v>9.2962030000000002</v>
      </c>
    </row>
    <row r="504" spans="1:33" x14ac:dyDescent="0.25">
      <c r="A504" s="1">
        <v>44555</v>
      </c>
      <c r="B504">
        <v>8.6757629999999999</v>
      </c>
      <c r="C504">
        <v>9.1418750000000006</v>
      </c>
      <c r="D504">
        <v>9.3048289999999998</v>
      </c>
      <c r="E504">
        <v>9.3037360000000007</v>
      </c>
      <c r="F504">
        <v>9.3403410000000004</v>
      </c>
      <c r="G504">
        <v>9.1544089999999994</v>
      </c>
      <c r="H504">
        <v>9.8515359999999994</v>
      </c>
      <c r="I504">
        <v>9.4860530000000001</v>
      </c>
      <c r="J504">
        <v>8.9244599999999998</v>
      </c>
      <c r="K504">
        <v>9.6121130000000008</v>
      </c>
      <c r="L504">
        <v>9.1990060000000007</v>
      </c>
      <c r="M504">
        <v>9.1412689999999994</v>
      </c>
      <c r="N504">
        <v>8.6494665000000008</v>
      </c>
      <c r="O504">
        <v>9.0786010000000008</v>
      </c>
      <c r="P504">
        <v>9.2082499999999996</v>
      </c>
      <c r="Q504">
        <v>8.9305430000000001</v>
      </c>
      <c r="R504">
        <v>9.1455450000000003</v>
      </c>
      <c r="S504">
        <v>8.4601240000000004</v>
      </c>
      <c r="T504">
        <v>8.5702870000000004</v>
      </c>
      <c r="U504">
        <v>9.1300190000000008</v>
      </c>
      <c r="V504">
        <v>8.5995589999999993</v>
      </c>
      <c r="W504">
        <v>8.9776559999999996</v>
      </c>
      <c r="X504">
        <v>8.6211719999999996</v>
      </c>
      <c r="Y504">
        <v>8.3047190000000004</v>
      </c>
      <c r="Z504">
        <v>9.8549620000000004</v>
      </c>
      <c r="AA504">
        <v>9.2837510000000005</v>
      </c>
      <c r="AB504">
        <v>8.5610470000000003</v>
      </c>
      <c r="AC504">
        <v>8.7245559999999998</v>
      </c>
      <c r="AD504">
        <v>9.1929169999999996</v>
      </c>
      <c r="AE504">
        <v>10.531218000000001</v>
      </c>
      <c r="AF504">
        <v>9.2648030000000006</v>
      </c>
      <c r="AG504">
        <v>9.2994979999999998</v>
      </c>
    </row>
    <row r="505" spans="1:33" x14ac:dyDescent="0.25">
      <c r="A505" s="1">
        <v>44556</v>
      </c>
      <c r="B505">
        <v>7.8383139999999996</v>
      </c>
      <c r="C505">
        <v>8.7793270000000003</v>
      </c>
      <c r="D505">
        <v>9.0273959999999995</v>
      </c>
      <c r="E505">
        <v>8.9287609999999997</v>
      </c>
      <c r="F505">
        <v>8.8648969999999991</v>
      </c>
      <c r="G505">
        <v>8.7793840000000003</v>
      </c>
      <c r="H505">
        <v>9.5087790000000005</v>
      </c>
      <c r="I505">
        <v>8.7606610000000007</v>
      </c>
      <c r="J505">
        <v>8.3491990000000005</v>
      </c>
      <c r="K505">
        <v>9.3322319999999994</v>
      </c>
      <c r="L505">
        <v>8.8574280000000005</v>
      </c>
      <c r="M505">
        <v>8.7611950000000007</v>
      </c>
      <c r="N505">
        <v>8.4641450000000003</v>
      </c>
      <c r="O505">
        <v>8.8663469999999993</v>
      </c>
      <c r="P505">
        <v>9.0208589999999997</v>
      </c>
      <c r="Q505">
        <v>8.6336980000000008</v>
      </c>
      <c r="R505">
        <v>8.9189240000000005</v>
      </c>
      <c r="S505">
        <v>7.8178000000000001</v>
      </c>
      <c r="T505">
        <v>8.4742920000000002</v>
      </c>
      <c r="U505">
        <v>8.9132639999999999</v>
      </c>
      <c r="V505">
        <v>8.8853460000000002</v>
      </c>
      <c r="W505">
        <v>9.1719639999999991</v>
      </c>
      <c r="X505">
        <v>8.9091590000000007</v>
      </c>
      <c r="Y505">
        <v>8.3687989999999992</v>
      </c>
      <c r="Z505">
        <v>9.7771080000000001</v>
      </c>
      <c r="AA505">
        <v>9.0313199999999991</v>
      </c>
      <c r="AB505">
        <v>8.4433910000000001</v>
      </c>
      <c r="AC505">
        <v>9.1719489999999997</v>
      </c>
      <c r="AD505">
        <v>8.9606980000000007</v>
      </c>
      <c r="AE505">
        <v>9.7654200000000007</v>
      </c>
      <c r="AF505">
        <v>9.0094209999999997</v>
      </c>
      <c r="AG505">
        <v>9.0230440000000005</v>
      </c>
    </row>
    <row r="506" spans="1:33" x14ac:dyDescent="0.25">
      <c r="A506" s="1">
        <v>44557</v>
      </c>
      <c r="B506">
        <v>7.3830833</v>
      </c>
      <c r="C506">
        <v>8.589893</v>
      </c>
      <c r="D506">
        <v>8.7654820000000004</v>
      </c>
      <c r="E506">
        <v>8.6778030000000008</v>
      </c>
      <c r="F506">
        <v>8.6049229999999994</v>
      </c>
      <c r="G506">
        <v>8.6084599999999991</v>
      </c>
      <c r="H506">
        <v>9.1197579999999991</v>
      </c>
      <c r="I506">
        <v>8.4281380000000006</v>
      </c>
      <c r="J506">
        <v>8.2058149999999994</v>
      </c>
      <c r="K506">
        <v>9.18032</v>
      </c>
      <c r="L506">
        <v>8.7093609999999995</v>
      </c>
      <c r="M506">
        <v>8.6089020000000005</v>
      </c>
      <c r="N506">
        <v>8.5090839999999996</v>
      </c>
      <c r="O506">
        <v>8.985868</v>
      </c>
      <c r="P506">
        <v>8.8747019999999992</v>
      </c>
      <c r="Q506">
        <v>8.5509439999999994</v>
      </c>
      <c r="R506">
        <v>8.8944609999999997</v>
      </c>
      <c r="S506">
        <v>7.7298119999999999</v>
      </c>
      <c r="T506">
        <v>8.4988189999999992</v>
      </c>
      <c r="U506">
        <v>8.7429380000000005</v>
      </c>
      <c r="V506">
        <v>9.1685719999999993</v>
      </c>
      <c r="W506">
        <v>9.2042590000000004</v>
      </c>
      <c r="X506">
        <v>9.1808820000000004</v>
      </c>
      <c r="Y506">
        <v>8.7997390000000006</v>
      </c>
      <c r="Z506">
        <v>9.5731219999999997</v>
      </c>
      <c r="AA506">
        <v>8.8859499999999993</v>
      </c>
      <c r="AB506">
        <v>8.7048769999999998</v>
      </c>
      <c r="AC506">
        <v>9.0841370000000001</v>
      </c>
      <c r="AD506">
        <v>8.8436920000000008</v>
      </c>
      <c r="AE506">
        <v>9.4592285</v>
      </c>
      <c r="AF506">
        <v>8.7806010000000008</v>
      </c>
      <c r="AG506">
        <v>8.8723679999999998</v>
      </c>
    </row>
    <row r="507" spans="1:33" x14ac:dyDescent="0.25">
      <c r="A507" s="1">
        <v>44558</v>
      </c>
      <c r="B507">
        <v>6.6676444999999998</v>
      </c>
      <c r="C507">
        <v>8.2128180000000004</v>
      </c>
      <c r="D507">
        <v>8.3466834999999993</v>
      </c>
      <c r="E507">
        <v>8.2819900000000004</v>
      </c>
      <c r="F507">
        <v>8.1523179999999993</v>
      </c>
      <c r="G507">
        <v>8.4158530000000003</v>
      </c>
      <c r="H507">
        <v>8.6279319999999995</v>
      </c>
      <c r="I507">
        <v>7.7292230000000002</v>
      </c>
      <c r="J507">
        <v>7.6971015999999999</v>
      </c>
      <c r="K507">
        <v>8.9507549999999991</v>
      </c>
      <c r="L507">
        <v>8.4608790000000003</v>
      </c>
      <c r="M507">
        <v>8.4085439999999991</v>
      </c>
      <c r="N507">
        <v>8.4666440000000005</v>
      </c>
      <c r="O507">
        <v>8.8210899999999999</v>
      </c>
      <c r="P507">
        <v>8.6837700000000009</v>
      </c>
      <c r="Q507">
        <v>8.4618520000000004</v>
      </c>
      <c r="R507">
        <v>8.7295885000000002</v>
      </c>
      <c r="S507">
        <v>7.0888324000000003</v>
      </c>
      <c r="T507">
        <v>8.2913099999999993</v>
      </c>
      <c r="U507">
        <v>8.5451270000000008</v>
      </c>
      <c r="V507">
        <v>8.8638314999999999</v>
      </c>
      <c r="W507">
        <v>8.7758990000000008</v>
      </c>
      <c r="X507">
        <v>8.8675639999999998</v>
      </c>
      <c r="Y507">
        <v>8.5184440000000006</v>
      </c>
      <c r="Z507">
        <v>8.9398029999999995</v>
      </c>
      <c r="AA507">
        <v>8.5731649999999995</v>
      </c>
      <c r="AB507">
        <v>8.4926019999999998</v>
      </c>
      <c r="AC507">
        <v>8.3581269999999996</v>
      </c>
      <c r="AD507">
        <v>8.6479009999999992</v>
      </c>
      <c r="AE507">
        <v>9.1267259999999997</v>
      </c>
      <c r="AF507">
        <v>8.4028139999999993</v>
      </c>
      <c r="AG507">
        <v>8.3086669999999998</v>
      </c>
    </row>
    <row r="508" spans="1:33" x14ac:dyDescent="0.25">
      <c r="A508" s="1">
        <v>44559</v>
      </c>
      <c r="B508">
        <v>6.5916132999999997</v>
      </c>
      <c r="C508">
        <v>8.0732909999999993</v>
      </c>
      <c r="D508">
        <v>8.1128400000000003</v>
      </c>
      <c r="E508">
        <v>8.0924425000000006</v>
      </c>
      <c r="F508">
        <v>8.1014110000000006</v>
      </c>
      <c r="G508">
        <v>8.3481799999999993</v>
      </c>
      <c r="H508">
        <v>8.4534099999999999</v>
      </c>
      <c r="I508">
        <v>7.5730833999999998</v>
      </c>
      <c r="J508">
        <v>7.5791820000000003</v>
      </c>
      <c r="K508">
        <v>8.7318090000000002</v>
      </c>
      <c r="L508">
        <v>8.3998989999999996</v>
      </c>
      <c r="M508">
        <v>8.3234290000000009</v>
      </c>
      <c r="N508">
        <v>8.4617769999999997</v>
      </c>
      <c r="O508">
        <v>8.5810860000000009</v>
      </c>
      <c r="P508">
        <v>8.5652229999999996</v>
      </c>
      <c r="Q508">
        <v>8.4080399999999997</v>
      </c>
      <c r="R508">
        <v>8.5748169999999995</v>
      </c>
      <c r="S508">
        <v>7.1147236999999999</v>
      </c>
      <c r="T508">
        <v>8.1467890000000001</v>
      </c>
      <c r="U508">
        <v>8.323359</v>
      </c>
      <c r="V508">
        <v>8.33324</v>
      </c>
      <c r="W508">
        <v>7.9374789999999997</v>
      </c>
      <c r="X508">
        <v>8.3181080000000005</v>
      </c>
      <c r="Y508">
        <v>8.2395639999999997</v>
      </c>
      <c r="Z508">
        <v>8.6415609999999994</v>
      </c>
      <c r="AA508">
        <v>8.3785930000000004</v>
      </c>
      <c r="AB508">
        <v>8.2768429999999995</v>
      </c>
      <c r="AC508">
        <v>7.9242872999999996</v>
      </c>
      <c r="AD508">
        <v>8.5338930000000008</v>
      </c>
      <c r="AE508">
        <v>8.7258790000000008</v>
      </c>
      <c r="AF508">
        <v>8.3324230000000004</v>
      </c>
      <c r="AG508">
        <v>8.0370244999999993</v>
      </c>
    </row>
    <row r="509" spans="1:33" x14ac:dyDescent="0.25">
      <c r="A509" s="1">
        <v>44560</v>
      </c>
      <c r="B509">
        <v>7.2199397000000003</v>
      </c>
      <c r="C509">
        <v>8.0361429999999991</v>
      </c>
      <c r="D509">
        <v>7.9889454999999998</v>
      </c>
      <c r="E509">
        <v>8.0428029999999993</v>
      </c>
      <c r="F509">
        <v>8.204637</v>
      </c>
      <c r="G509">
        <v>8.3363809999999994</v>
      </c>
      <c r="H509">
        <v>8.4784480000000002</v>
      </c>
      <c r="I509">
        <v>7.5566009999999997</v>
      </c>
      <c r="J509">
        <v>7.6254372999999998</v>
      </c>
      <c r="K509">
        <v>8.5790009999999999</v>
      </c>
      <c r="L509">
        <v>8.3576090000000001</v>
      </c>
      <c r="M509">
        <v>8.3175860000000004</v>
      </c>
      <c r="N509">
        <v>8.338813</v>
      </c>
      <c r="O509">
        <v>8.3616910000000004</v>
      </c>
      <c r="P509">
        <v>8.4718149999999994</v>
      </c>
      <c r="Q509">
        <v>8.3449829999999992</v>
      </c>
      <c r="R509">
        <v>8.4749130000000008</v>
      </c>
      <c r="S509">
        <v>7.4468613000000001</v>
      </c>
      <c r="T509">
        <v>7.7911143000000003</v>
      </c>
      <c r="U509">
        <v>8.157743</v>
      </c>
      <c r="V509">
        <v>7.8312229999999996</v>
      </c>
      <c r="W509">
        <v>7.8289549999999997</v>
      </c>
      <c r="X509">
        <v>7.8338640000000002</v>
      </c>
      <c r="Y509">
        <v>8.1264210000000006</v>
      </c>
      <c r="Z509">
        <v>8.3978269999999995</v>
      </c>
      <c r="AA509">
        <v>8.310238</v>
      </c>
      <c r="AB509">
        <v>8.1918059999999997</v>
      </c>
      <c r="AC509">
        <v>11.255687</v>
      </c>
      <c r="AD509">
        <v>8.4381695000000008</v>
      </c>
      <c r="AE509">
        <v>8.8733939999999993</v>
      </c>
      <c r="AF509">
        <v>8.4683630000000001</v>
      </c>
      <c r="AG509">
        <v>8.1344429999999992</v>
      </c>
    </row>
    <row r="510" spans="1:33" x14ac:dyDescent="0.25">
      <c r="A510" s="1">
        <v>44561</v>
      </c>
      <c r="B510">
        <v>7.5114254999999996</v>
      </c>
      <c r="C510">
        <v>8.0483899999999995</v>
      </c>
      <c r="D510">
        <v>7.9450849999999997</v>
      </c>
      <c r="E510">
        <v>7.9913563999999999</v>
      </c>
      <c r="F510">
        <v>8.1710639999999994</v>
      </c>
      <c r="G510">
        <v>8.3036940000000001</v>
      </c>
      <c r="H510">
        <v>8.5307919999999999</v>
      </c>
      <c r="I510">
        <v>7.5913599999999999</v>
      </c>
      <c r="J510">
        <v>7.5340220000000002</v>
      </c>
      <c r="K510">
        <v>8.4983360000000001</v>
      </c>
      <c r="L510">
        <v>8.2919389999999993</v>
      </c>
      <c r="M510">
        <v>8.3100439999999995</v>
      </c>
      <c r="N510">
        <v>8.1031010000000006</v>
      </c>
      <c r="O510">
        <v>8.1849679999999996</v>
      </c>
      <c r="P510">
        <v>8.3579000000000008</v>
      </c>
      <c r="Q510">
        <v>8.2580310000000008</v>
      </c>
      <c r="R510">
        <v>8.3480299999999996</v>
      </c>
      <c r="S510">
        <v>7.332344</v>
      </c>
      <c r="T510">
        <v>7.6710859999999998</v>
      </c>
      <c r="U510">
        <v>8.1350379999999998</v>
      </c>
      <c r="V510">
        <v>7.7763629999999999</v>
      </c>
      <c r="W510">
        <v>7.9578230000000003</v>
      </c>
      <c r="X510">
        <v>7.7885260000000001</v>
      </c>
      <c r="Y510">
        <v>8.7514105000000004</v>
      </c>
      <c r="Z510">
        <v>8.2408319999999993</v>
      </c>
      <c r="AA510">
        <v>8.2438134999999999</v>
      </c>
      <c r="AB510">
        <v>8.4083539999999992</v>
      </c>
      <c r="AC510">
        <v>12.746347999999999</v>
      </c>
      <c r="AD510">
        <v>8.3388349999999996</v>
      </c>
      <c r="AE510">
        <v>9.2520209999999992</v>
      </c>
      <c r="AF510">
        <v>8.4078820000000007</v>
      </c>
      <c r="AG510">
        <v>8.0373470000000005</v>
      </c>
    </row>
    <row r="511" spans="1:33" x14ac:dyDescent="0.25">
      <c r="A511" s="1">
        <v>44562</v>
      </c>
      <c r="B511">
        <v>7.4037156</v>
      </c>
      <c r="C511">
        <v>7.9538526999999997</v>
      </c>
      <c r="D511">
        <v>7.8164470000000001</v>
      </c>
      <c r="E511">
        <v>7.8331840000000001</v>
      </c>
      <c r="F511">
        <v>8.0225690000000007</v>
      </c>
      <c r="G511">
        <v>8.1871010000000002</v>
      </c>
      <c r="H511">
        <v>8.4219830000000009</v>
      </c>
      <c r="I511">
        <v>7.5370150000000002</v>
      </c>
      <c r="J511">
        <v>7.2228208</v>
      </c>
      <c r="K511">
        <v>8.3667470000000002</v>
      </c>
      <c r="L511">
        <v>8.0703449999999997</v>
      </c>
      <c r="M511">
        <v>8.1953700000000005</v>
      </c>
      <c r="N511">
        <v>7.8005789999999999</v>
      </c>
      <c r="O511">
        <v>7.9759172999999999</v>
      </c>
      <c r="P511">
        <v>8.18126</v>
      </c>
      <c r="Q511">
        <v>8.0690190000000008</v>
      </c>
      <c r="R511">
        <v>8.1179140000000007</v>
      </c>
      <c r="S511">
        <v>6.8508760000000004</v>
      </c>
      <c r="T511">
        <v>7.5146709999999999</v>
      </c>
      <c r="U511">
        <v>7.9121075000000003</v>
      </c>
      <c r="V511">
        <v>7.8408065000000002</v>
      </c>
      <c r="W511">
        <v>7.8013180000000002</v>
      </c>
      <c r="X511">
        <v>7.8477969999999999</v>
      </c>
      <c r="Y511">
        <v>9.8368590000000005</v>
      </c>
      <c r="Z511">
        <v>8.0362489999999998</v>
      </c>
      <c r="AA511">
        <v>8.0523205000000004</v>
      </c>
      <c r="AB511">
        <v>8.9204910000000002</v>
      </c>
      <c r="AC511">
        <v>10.871181</v>
      </c>
      <c r="AD511">
        <v>8.1349850000000004</v>
      </c>
      <c r="AE511">
        <v>8.7818509999999996</v>
      </c>
      <c r="AF511">
        <v>8.1494739999999997</v>
      </c>
      <c r="AG511">
        <v>7.7527429999999997</v>
      </c>
    </row>
    <row r="512" spans="1:33" x14ac:dyDescent="0.25">
      <c r="A512" t="s">
        <v>37</v>
      </c>
      <c r="B512">
        <f>COUNTIF(B$3:B$511,"&gt;=19")</f>
        <v>199</v>
      </c>
      <c r="C512">
        <f t="shared" ref="C512:AG512" si="0">COUNTIF(C$3:C$511,"&gt;=19")</f>
        <v>204</v>
      </c>
      <c r="D512">
        <f t="shared" si="0"/>
        <v>196</v>
      </c>
      <c r="E512">
        <f t="shared" si="0"/>
        <v>194</v>
      </c>
      <c r="F512">
        <f t="shared" si="0"/>
        <v>198</v>
      </c>
      <c r="G512">
        <f t="shared" si="0"/>
        <v>198</v>
      </c>
      <c r="H512">
        <f t="shared" si="0"/>
        <v>158</v>
      </c>
      <c r="I512">
        <f t="shared" si="0"/>
        <v>161</v>
      </c>
      <c r="J512">
        <f t="shared" si="0"/>
        <v>220</v>
      </c>
      <c r="K512">
        <f t="shared" si="0"/>
        <v>228</v>
      </c>
      <c r="L512">
        <f t="shared" si="0"/>
        <v>233</v>
      </c>
      <c r="M512">
        <f t="shared" si="0"/>
        <v>203</v>
      </c>
      <c r="N512">
        <f t="shared" si="0"/>
        <v>213</v>
      </c>
      <c r="O512">
        <f t="shared" si="0"/>
        <v>232</v>
      </c>
      <c r="P512">
        <f t="shared" si="0"/>
        <v>225</v>
      </c>
      <c r="Q512">
        <f t="shared" si="0"/>
        <v>203</v>
      </c>
      <c r="R512">
        <f t="shared" si="0"/>
        <v>232</v>
      </c>
      <c r="S512">
        <f t="shared" si="0"/>
        <v>152</v>
      </c>
      <c r="T512">
        <f t="shared" si="0"/>
        <v>217</v>
      </c>
      <c r="U512">
        <f t="shared" si="0"/>
        <v>214</v>
      </c>
      <c r="V512">
        <f t="shared" si="0"/>
        <v>216</v>
      </c>
      <c r="W512">
        <f t="shared" si="0"/>
        <v>208</v>
      </c>
      <c r="X512">
        <f t="shared" si="0"/>
        <v>214</v>
      </c>
      <c r="Y512">
        <f t="shared" si="0"/>
        <v>226</v>
      </c>
      <c r="Z512">
        <f t="shared" si="0"/>
        <v>229</v>
      </c>
      <c r="AA512">
        <f t="shared" si="0"/>
        <v>245</v>
      </c>
      <c r="AB512">
        <f t="shared" si="0"/>
        <v>228</v>
      </c>
      <c r="AC512">
        <f t="shared" si="0"/>
        <v>196</v>
      </c>
      <c r="AD512">
        <f t="shared" si="0"/>
        <v>234</v>
      </c>
      <c r="AE512">
        <f t="shared" si="0"/>
        <v>202</v>
      </c>
      <c r="AF512">
        <f t="shared" si="0"/>
        <v>240</v>
      </c>
      <c r="AG512">
        <f t="shared" si="0"/>
        <v>232</v>
      </c>
    </row>
    <row r="513" spans="1:57" x14ac:dyDescent="0.25">
      <c r="A513" t="s">
        <v>38</v>
      </c>
      <c r="B513">
        <f>COUNTIF(B$54:B$235,"&gt;=19")</f>
        <v>22</v>
      </c>
      <c r="C513">
        <f t="shared" ref="C513:AG513" si="1">COUNTIF(C$54:C$235,"&gt;=19")</f>
        <v>23</v>
      </c>
      <c r="D513">
        <f t="shared" si="1"/>
        <v>23</v>
      </c>
      <c r="E513">
        <f t="shared" si="1"/>
        <v>22</v>
      </c>
      <c r="F513">
        <f t="shared" si="1"/>
        <v>22</v>
      </c>
      <c r="G513">
        <f t="shared" si="1"/>
        <v>23</v>
      </c>
      <c r="H513">
        <f t="shared" si="1"/>
        <v>12</v>
      </c>
      <c r="I513">
        <f t="shared" si="1"/>
        <v>6</v>
      </c>
      <c r="J513">
        <f t="shared" si="1"/>
        <v>22</v>
      </c>
      <c r="K513">
        <f t="shared" si="1"/>
        <v>23</v>
      </c>
      <c r="L513">
        <f t="shared" si="1"/>
        <v>24</v>
      </c>
      <c r="M513">
        <f t="shared" si="1"/>
        <v>23</v>
      </c>
      <c r="N513">
        <f t="shared" si="1"/>
        <v>23</v>
      </c>
      <c r="O513">
        <f t="shared" si="1"/>
        <v>24</v>
      </c>
      <c r="P513">
        <f t="shared" si="1"/>
        <v>23</v>
      </c>
      <c r="Q513">
        <f t="shared" si="1"/>
        <v>23</v>
      </c>
      <c r="R513">
        <f t="shared" si="1"/>
        <v>24</v>
      </c>
      <c r="S513">
        <f t="shared" si="1"/>
        <v>5</v>
      </c>
      <c r="T513">
        <f t="shared" si="1"/>
        <v>17</v>
      </c>
      <c r="U513">
        <f t="shared" si="1"/>
        <v>7</v>
      </c>
      <c r="V513">
        <f t="shared" si="1"/>
        <v>11</v>
      </c>
      <c r="W513">
        <f t="shared" si="1"/>
        <v>6</v>
      </c>
      <c r="X513">
        <f t="shared" si="1"/>
        <v>9</v>
      </c>
      <c r="Y513">
        <f t="shared" si="1"/>
        <v>23</v>
      </c>
      <c r="Z513">
        <f t="shared" si="1"/>
        <v>22</v>
      </c>
      <c r="AA513">
        <f t="shared" si="1"/>
        <v>25</v>
      </c>
      <c r="AB513">
        <f t="shared" si="1"/>
        <v>24</v>
      </c>
      <c r="AC513">
        <f t="shared" si="1"/>
        <v>12</v>
      </c>
      <c r="AD513">
        <f t="shared" si="1"/>
        <v>24</v>
      </c>
      <c r="AE513">
        <f t="shared" si="1"/>
        <v>16</v>
      </c>
      <c r="AF513">
        <f t="shared" si="1"/>
        <v>25</v>
      </c>
      <c r="AG513">
        <f t="shared" si="1"/>
        <v>24</v>
      </c>
      <c r="AH513" t="s">
        <v>139</v>
      </c>
    </row>
    <row r="514" spans="1:57" x14ac:dyDescent="0.25">
      <c r="A514" t="s">
        <v>39</v>
      </c>
      <c r="B514">
        <f>COUNTIF(B$419:B$511,"&gt;=19")</f>
        <v>5</v>
      </c>
      <c r="C514">
        <f t="shared" ref="C514:AG514" si="2">COUNTIF(C$419:C$511,"&gt;=19")</f>
        <v>6</v>
      </c>
      <c r="D514">
        <f t="shared" si="2"/>
        <v>5</v>
      </c>
      <c r="E514">
        <f t="shared" si="2"/>
        <v>4</v>
      </c>
      <c r="F514">
        <f t="shared" si="2"/>
        <v>5</v>
      </c>
      <c r="G514">
        <f t="shared" si="2"/>
        <v>5</v>
      </c>
      <c r="H514">
        <f t="shared" si="2"/>
        <v>0</v>
      </c>
      <c r="I514">
        <f t="shared" si="2"/>
        <v>3</v>
      </c>
      <c r="J514">
        <f t="shared" si="2"/>
        <v>6</v>
      </c>
      <c r="K514">
        <f t="shared" si="2"/>
        <v>10</v>
      </c>
      <c r="L514">
        <f t="shared" si="2"/>
        <v>8</v>
      </c>
      <c r="M514">
        <f t="shared" si="2"/>
        <v>6</v>
      </c>
      <c r="N514">
        <f t="shared" si="2"/>
        <v>6</v>
      </c>
      <c r="O514">
        <f t="shared" si="2"/>
        <v>8</v>
      </c>
      <c r="P514">
        <f t="shared" si="2"/>
        <v>7</v>
      </c>
      <c r="Q514">
        <f t="shared" si="2"/>
        <v>6</v>
      </c>
      <c r="R514">
        <f t="shared" si="2"/>
        <v>8</v>
      </c>
      <c r="S514">
        <f t="shared" si="2"/>
        <v>0</v>
      </c>
      <c r="T514">
        <f t="shared" si="2"/>
        <v>5</v>
      </c>
      <c r="U514">
        <f t="shared" si="2"/>
        <v>5</v>
      </c>
      <c r="V514">
        <f t="shared" si="2"/>
        <v>5</v>
      </c>
      <c r="W514">
        <f t="shared" si="2"/>
        <v>2</v>
      </c>
      <c r="X514">
        <f t="shared" si="2"/>
        <v>5</v>
      </c>
      <c r="Y514">
        <f t="shared" si="2"/>
        <v>7</v>
      </c>
      <c r="Z514">
        <f t="shared" si="2"/>
        <v>7</v>
      </c>
      <c r="AA514">
        <f t="shared" si="2"/>
        <v>10</v>
      </c>
      <c r="AB514">
        <f t="shared" si="2"/>
        <v>8</v>
      </c>
      <c r="AC514">
        <f t="shared" si="2"/>
        <v>0</v>
      </c>
      <c r="AD514">
        <f t="shared" si="2"/>
        <v>9</v>
      </c>
      <c r="AE514">
        <f t="shared" si="2"/>
        <v>5</v>
      </c>
      <c r="AF514">
        <f t="shared" si="2"/>
        <v>11</v>
      </c>
      <c r="AG514">
        <f t="shared" si="2"/>
        <v>8</v>
      </c>
      <c r="AH514" t="s">
        <v>140</v>
      </c>
    </row>
    <row r="515" spans="1:57" x14ac:dyDescent="0.25">
      <c r="A515" t="s">
        <v>40</v>
      </c>
      <c r="B515">
        <f>COUNTIF(B$3:B$53,"&gt;=19")</f>
        <v>51</v>
      </c>
      <c r="C515">
        <f t="shared" ref="C515:AG515" si="3">COUNTIF(C$3:C$53,"&gt;=19")</f>
        <v>51</v>
      </c>
      <c r="D515">
        <f t="shared" si="3"/>
        <v>51</v>
      </c>
      <c r="E515">
        <f t="shared" si="3"/>
        <v>51</v>
      </c>
      <c r="F515">
        <f t="shared" si="3"/>
        <v>51</v>
      </c>
      <c r="G515">
        <f t="shared" si="3"/>
        <v>51</v>
      </c>
      <c r="H515">
        <f t="shared" si="3"/>
        <v>51</v>
      </c>
      <c r="I515">
        <f t="shared" si="3"/>
        <v>49</v>
      </c>
      <c r="J515">
        <f t="shared" si="3"/>
        <v>51</v>
      </c>
      <c r="K515">
        <f t="shared" si="3"/>
        <v>51</v>
      </c>
      <c r="L515">
        <f t="shared" si="3"/>
        <v>51</v>
      </c>
      <c r="M515">
        <f t="shared" si="3"/>
        <v>51</v>
      </c>
      <c r="N515">
        <f t="shared" si="3"/>
        <v>51</v>
      </c>
      <c r="O515">
        <f t="shared" si="3"/>
        <v>51</v>
      </c>
      <c r="P515">
        <f t="shared" si="3"/>
        <v>51</v>
      </c>
      <c r="Q515">
        <f t="shared" si="3"/>
        <v>51</v>
      </c>
      <c r="R515">
        <f t="shared" si="3"/>
        <v>51</v>
      </c>
      <c r="S515">
        <f t="shared" si="3"/>
        <v>50</v>
      </c>
      <c r="T515">
        <f t="shared" si="3"/>
        <v>51</v>
      </c>
      <c r="U515">
        <f t="shared" si="3"/>
        <v>50</v>
      </c>
      <c r="V515">
        <f t="shared" si="3"/>
        <v>51</v>
      </c>
      <c r="W515">
        <f t="shared" si="3"/>
        <v>49</v>
      </c>
      <c r="X515">
        <f t="shared" si="3"/>
        <v>51</v>
      </c>
      <c r="Y515">
        <f t="shared" si="3"/>
        <v>51</v>
      </c>
      <c r="Z515">
        <f t="shared" si="3"/>
        <v>51</v>
      </c>
      <c r="AA515">
        <f t="shared" si="3"/>
        <v>51</v>
      </c>
      <c r="AB515">
        <f t="shared" si="3"/>
        <v>51</v>
      </c>
      <c r="AC515">
        <f t="shared" si="3"/>
        <v>51</v>
      </c>
      <c r="AD515">
        <f t="shared" si="3"/>
        <v>51</v>
      </c>
      <c r="AE515">
        <f t="shared" si="3"/>
        <v>51</v>
      </c>
      <c r="AF515">
        <f t="shared" si="3"/>
        <v>51</v>
      </c>
      <c r="AG515">
        <f t="shared" si="3"/>
        <v>51</v>
      </c>
      <c r="AH515" t="s">
        <v>141</v>
      </c>
    </row>
    <row r="516" spans="1:57" x14ac:dyDescent="0.25">
      <c r="A516" t="s">
        <v>41</v>
      </c>
      <c r="B516">
        <f>COUNTIF(B$236:B$418,"&gt;=19")</f>
        <v>121</v>
      </c>
      <c r="C516">
        <f t="shared" ref="C516:AG516" si="4">COUNTIF(C$236:C$418,"&gt;=19")</f>
        <v>124</v>
      </c>
      <c r="D516">
        <f t="shared" si="4"/>
        <v>117</v>
      </c>
      <c r="E516">
        <f t="shared" si="4"/>
        <v>117</v>
      </c>
      <c r="F516">
        <f t="shared" si="4"/>
        <v>120</v>
      </c>
      <c r="G516">
        <f t="shared" si="4"/>
        <v>119</v>
      </c>
      <c r="H516">
        <f t="shared" si="4"/>
        <v>95</v>
      </c>
      <c r="I516">
        <f t="shared" si="4"/>
        <v>103</v>
      </c>
      <c r="J516">
        <f t="shared" si="4"/>
        <v>141</v>
      </c>
      <c r="K516">
        <f t="shared" si="4"/>
        <v>144</v>
      </c>
      <c r="L516">
        <f t="shared" si="4"/>
        <v>150</v>
      </c>
      <c r="M516">
        <f t="shared" si="4"/>
        <v>123</v>
      </c>
      <c r="N516">
        <f t="shared" si="4"/>
        <v>133</v>
      </c>
      <c r="O516">
        <f t="shared" si="4"/>
        <v>149</v>
      </c>
      <c r="P516">
        <f t="shared" si="4"/>
        <v>144</v>
      </c>
      <c r="Q516">
        <f t="shared" si="4"/>
        <v>123</v>
      </c>
      <c r="R516">
        <f t="shared" si="4"/>
        <v>149</v>
      </c>
      <c r="S516">
        <f t="shared" si="4"/>
        <v>97</v>
      </c>
      <c r="T516">
        <f t="shared" si="4"/>
        <v>144</v>
      </c>
      <c r="U516">
        <f t="shared" si="4"/>
        <v>152</v>
      </c>
      <c r="V516">
        <f t="shared" si="4"/>
        <v>149</v>
      </c>
      <c r="W516">
        <f t="shared" si="4"/>
        <v>151</v>
      </c>
      <c r="X516">
        <f t="shared" si="4"/>
        <v>149</v>
      </c>
      <c r="Y516">
        <f t="shared" si="4"/>
        <v>145</v>
      </c>
      <c r="Z516">
        <f t="shared" si="4"/>
        <v>149</v>
      </c>
      <c r="AA516">
        <f t="shared" si="4"/>
        <v>159</v>
      </c>
      <c r="AB516">
        <f t="shared" si="4"/>
        <v>145</v>
      </c>
      <c r="AC516">
        <f t="shared" si="4"/>
        <v>133</v>
      </c>
      <c r="AD516">
        <f t="shared" si="4"/>
        <v>150</v>
      </c>
      <c r="AE516">
        <f t="shared" si="4"/>
        <v>130</v>
      </c>
      <c r="AF516">
        <f t="shared" si="4"/>
        <v>153</v>
      </c>
      <c r="AG516">
        <f t="shared" si="4"/>
        <v>149</v>
      </c>
      <c r="AH516" t="s">
        <v>142</v>
      </c>
    </row>
    <row r="517" spans="1:57" x14ac:dyDescent="0.25">
      <c r="A517" t="s">
        <v>42</v>
      </c>
      <c r="B517">
        <f>SUM(B$513,B$514)</f>
        <v>27</v>
      </c>
      <c r="C517">
        <f t="shared" ref="C517:AG517" si="5">SUM(C$513,C$514)</f>
        <v>29</v>
      </c>
      <c r="D517">
        <f t="shared" si="5"/>
        <v>28</v>
      </c>
      <c r="E517">
        <f t="shared" si="5"/>
        <v>26</v>
      </c>
      <c r="F517">
        <f t="shared" si="5"/>
        <v>27</v>
      </c>
      <c r="G517">
        <f t="shared" si="5"/>
        <v>28</v>
      </c>
      <c r="H517">
        <f t="shared" si="5"/>
        <v>12</v>
      </c>
      <c r="I517">
        <f t="shared" si="5"/>
        <v>9</v>
      </c>
      <c r="J517">
        <f t="shared" si="5"/>
        <v>28</v>
      </c>
      <c r="K517">
        <f t="shared" si="5"/>
        <v>33</v>
      </c>
      <c r="L517">
        <f t="shared" si="5"/>
        <v>32</v>
      </c>
      <c r="M517">
        <f t="shared" si="5"/>
        <v>29</v>
      </c>
      <c r="N517">
        <f t="shared" si="5"/>
        <v>29</v>
      </c>
      <c r="O517">
        <f t="shared" si="5"/>
        <v>32</v>
      </c>
      <c r="P517">
        <f t="shared" si="5"/>
        <v>30</v>
      </c>
      <c r="Q517">
        <f t="shared" si="5"/>
        <v>29</v>
      </c>
      <c r="R517">
        <f t="shared" si="5"/>
        <v>32</v>
      </c>
      <c r="S517">
        <f t="shared" si="5"/>
        <v>5</v>
      </c>
      <c r="T517">
        <f t="shared" si="5"/>
        <v>22</v>
      </c>
      <c r="U517">
        <f t="shared" si="5"/>
        <v>12</v>
      </c>
      <c r="V517">
        <f t="shared" si="5"/>
        <v>16</v>
      </c>
      <c r="W517">
        <f t="shared" si="5"/>
        <v>8</v>
      </c>
      <c r="X517">
        <f t="shared" si="5"/>
        <v>14</v>
      </c>
      <c r="Y517">
        <f t="shared" si="5"/>
        <v>30</v>
      </c>
      <c r="Z517">
        <f t="shared" si="5"/>
        <v>29</v>
      </c>
      <c r="AA517">
        <f t="shared" si="5"/>
        <v>35</v>
      </c>
      <c r="AB517">
        <f t="shared" si="5"/>
        <v>32</v>
      </c>
      <c r="AC517">
        <f t="shared" si="5"/>
        <v>12</v>
      </c>
      <c r="AD517">
        <f t="shared" si="5"/>
        <v>33</v>
      </c>
      <c r="AE517">
        <f t="shared" si="5"/>
        <v>21</v>
      </c>
      <c r="AF517">
        <f t="shared" si="5"/>
        <v>36</v>
      </c>
      <c r="AG517">
        <f t="shared" si="5"/>
        <v>32</v>
      </c>
    </row>
    <row r="518" spans="1:57" x14ac:dyDescent="0.25">
      <c r="A518" t="s">
        <v>43</v>
      </c>
      <c r="B518">
        <f>SUM(B$515,B$516)</f>
        <v>172</v>
      </c>
      <c r="C518">
        <f t="shared" ref="C518:AG518" si="6">SUM(C$515,C$516)</f>
        <v>175</v>
      </c>
      <c r="D518">
        <f t="shared" si="6"/>
        <v>168</v>
      </c>
      <c r="E518">
        <f t="shared" si="6"/>
        <v>168</v>
      </c>
      <c r="F518">
        <f t="shared" si="6"/>
        <v>171</v>
      </c>
      <c r="G518">
        <f t="shared" si="6"/>
        <v>170</v>
      </c>
      <c r="H518">
        <f t="shared" si="6"/>
        <v>146</v>
      </c>
      <c r="I518">
        <f t="shared" si="6"/>
        <v>152</v>
      </c>
      <c r="J518">
        <f t="shared" si="6"/>
        <v>192</v>
      </c>
      <c r="K518">
        <f t="shared" si="6"/>
        <v>195</v>
      </c>
      <c r="L518">
        <f t="shared" si="6"/>
        <v>201</v>
      </c>
      <c r="M518">
        <f t="shared" si="6"/>
        <v>174</v>
      </c>
      <c r="N518">
        <f t="shared" si="6"/>
        <v>184</v>
      </c>
      <c r="O518">
        <f t="shared" si="6"/>
        <v>200</v>
      </c>
      <c r="P518">
        <f t="shared" si="6"/>
        <v>195</v>
      </c>
      <c r="Q518">
        <f t="shared" si="6"/>
        <v>174</v>
      </c>
      <c r="R518">
        <f t="shared" si="6"/>
        <v>200</v>
      </c>
      <c r="S518">
        <f t="shared" si="6"/>
        <v>147</v>
      </c>
      <c r="T518">
        <f t="shared" si="6"/>
        <v>195</v>
      </c>
      <c r="U518">
        <f t="shared" si="6"/>
        <v>202</v>
      </c>
      <c r="V518">
        <f t="shared" si="6"/>
        <v>200</v>
      </c>
      <c r="W518">
        <f t="shared" si="6"/>
        <v>200</v>
      </c>
      <c r="X518">
        <f t="shared" si="6"/>
        <v>200</v>
      </c>
      <c r="Y518">
        <f t="shared" si="6"/>
        <v>196</v>
      </c>
      <c r="Z518">
        <f t="shared" si="6"/>
        <v>200</v>
      </c>
      <c r="AA518">
        <f t="shared" si="6"/>
        <v>210</v>
      </c>
      <c r="AB518">
        <f t="shared" si="6"/>
        <v>196</v>
      </c>
      <c r="AC518">
        <f t="shared" si="6"/>
        <v>184</v>
      </c>
      <c r="AD518">
        <f t="shared" si="6"/>
        <v>201</v>
      </c>
      <c r="AE518">
        <f t="shared" si="6"/>
        <v>181</v>
      </c>
      <c r="AF518">
        <f t="shared" si="6"/>
        <v>204</v>
      </c>
      <c r="AG518">
        <f t="shared" si="6"/>
        <v>200</v>
      </c>
    </row>
    <row r="521" spans="1:57" x14ac:dyDescent="0.25">
      <c r="D521" t="s">
        <v>70</v>
      </c>
      <c r="F521" t="s">
        <v>78</v>
      </c>
      <c r="S521" t="s">
        <v>44</v>
      </c>
      <c r="AA521" t="s">
        <v>44</v>
      </c>
      <c r="AE521" t="s">
        <v>44</v>
      </c>
      <c r="AI521" t="s">
        <v>44</v>
      </c>
      <c r="AQ521" t="s">
        <v>44</v>
      </c>
      <c r="AY521" t="s">
        <v>44</v>
      </c>
    </row>
    <row r="522" spans="1:57" x14ac:dyDescent="0.25">
      <c r="F522" t="s">
        <v>45</v>
      </c>
      <c r="S522" t="s">
        <v>46</v>
      </c>
      <c r="AA522" t="s">
        <v>47</v>
      </c>
      <c r="AE522" t="s">
        <v>48</v>
      </c>
      <c r="AI522" t="s">
        <v>46</v>
      </c>
      <c r="AK522" t="s">
        <v>49</v>
      </c>
      <c r="AL522" t="s">
        <v>33</v>
      </c>
      <c r="AM522" t="s">
        <v>34</v>
      </c>
      <c r="AN522" t="s">
        <v>35</v>
      </c>
      <c r="AO522" t="s">
        <v>36</v>
      </c>
      <c r="AQ522" t="s">
        <v>47</v>
      </c>
      <c r="AS522" t="s">
        <v>49</v>
      </c>
      <c r="AT522" t="s">
        <v>33</v>
      </c>
      <c r="AU522" t="s">
        <v>34</v>
      </c>
      <c r="AV522" t="s">
        <v>35</v>
      </c>
      <c r="AW522" t="s">
        <v>36</v>
      </c>
      <c r="AY522" t="s">
        <v>48</v>
      </c>
      <c r="BA522" t="s">
        <v>49</v>
      </c>
      <c r="BB522" t="s">
        <v>33</v>
      </c>
      <c r="BC522" t="s">
        <v>34</v>
      </c>
      <c r="BD522" t="s">
        <v>35</v>
      </c>
      <c r="BE522" t="s">
        <v>36</v>
      </c>
    </row>
    <row r="523" spans="1:57" x14ac:dyDescent="0.25">
      <c r="F523" t="s">
        <v>50</v>
      </c>
      <c r="M523" t="s">
        <v>51</v>
      </c>
      <c r="S523" t="s">
        <v>52</v>
      </c>
      <c r="U523">
        <f>COUNTIF(B2:AG2,"&lt;&gt;")</f>
        <v>32</v>
      </c>
      <c r="AA523" t="s">
        <v>52</v>
      </c>
      <c r="AC523">
        <f>COUNTIF(B2:AG2,"&lt;&gt;")</f>
        <v>32</v>
      </c>
      <c r="AE523" t="s">
        <v>52</v>
      </c>
      <c r="AG523">
        <f>COUNTIF(B2:AG2,"&lt;&gt;")</f>
        <v>32</v>
      </c>
      <c r="AI523" t="s">
        <v>52</v>
      </c>
      <c r="AK523">
        <f>COUNTIF($B$2:$AG$2,"&lt;&gt;")</f>
        <v>32</v>
      </c>
      <c r="AL523">
        <f>COUNTIF($B$2:$I$2,"&lt;&gt;")</f>
        <v>8</v>
      </c>
      <c r="AM523">
        <f>COUNTIF($J$2:$R$2,"&lt;&gt;")</f>
        <v>9</v>
      </c>
      <c r="AN523">
        <f>COUNTIF($S$2:$X$2,"&lt;&gt;")</f>
        <v>6</v>
      </c>
      <c r="AO523">
        <f>COUNTIF($Y$2:$AG$2,"&lt;&gt;")</f>
        <v>9</v>
      </c>
      <c r="AQ523" t="s">
        <v>52</v>
      </c>
      <c r="AS523">
        <f>COUNTIF($B$2:$AG$2,"&lt;&gt;")</f>
        <v>32</v>
      </c>
      <c r="AT523">
        <f>COUNTIF($B$2:$I$2,"&lt;&gt;")</f>
        <v>8</v>
      </c>
      <c r="AU523">
        <f>COUNTIF($J$2:$R$2,"&lt;&gt;")</f>
        <v>9</v>
      </c>
      <c r="AV523">
        <f>COUNTIF($S$2:$X$2,"&lt;&gt;")</f>
        <v>6</v>
      </c>
      <c r="AW523">
        <f>COUNTIF($Y$2:$AG$2,"&lt;&gt;")</f>
        <v>9</v>
      </c>
      <c r="AY523" t="s">
        <v>52</v>
      </c>
      <c r="BA523">
        <f>COUNTIF($B$2:$AG$2,"&lt;&gt;")</f>
        <v>32</v>
      </c>
      <c r="BB523">
        <f>COUNTIF($B$2:$I$2,"&lt;&gt;")</f>
        <v>8</v>
      </c>
      <c r="BC523">
        <f>COUNTIF($J$2:$R$2,"&lt;&gt;")</f>
        <v>9</v>
      </c>
      <c r="BD523">
        <f>COUNTIF($S$2:$X$2,"&lt;&gt;")</f>
        <v>6</v>
      </c>
      <c r="BE523">
        <f>COUNTIF($Y$2:$AG$2,"&lt;&gt;")</f>
        <v>9</v>
      </c>
    </row>
    <row r="524" spans="1:57" x14ac:dyDescent="0.25">
      <c r="F524" t="s">
        <v>53</v>
      </c>
      <c r="H524" t="s">
        <v>134</v>
      </c>
      <c r="J524">
        <f>COUNTIF($B$54:$B$235,"&lt;&gt;")</f>
        <v>182</v>
      </c>
      <c r="M524" t="s">
        <v>54</v>
      </c>
      <c r="S524" t="s">
        <v>55</v>
      </c>
      <c r="U524">
        <f>COUNTIF($A$3:$A$511,"&lt;&gt;")</f>
        <v>509</v>
      </c>
      <c r="AA524" t="s">
        <v>55</v>
      </c>
      <c r="AC524">
        <f>SUM($J$524:$J$525)</f>
        <v>275</v>
      </c>
      <c r="AE524" t="s">
        <v>55</v>
      </c>
      <c r="AG524">
        <f>SUM($Q$525:$Q$526)</f>
        <v>234</v>
      </c>
      <c r="AI524" t="s">
        <v>55</v>
      </c>
      <c r="AK524">
        <f>COUNTIF($A$3:$A$511,"&lt;&gt;")</f>
        <v>509</v>
      </c>
      <c r="AL524">
        <f t="shared" ref="AL524:AO524" si="7">COUNTIF($A$3:$A$511,"&lt;&gt;")</f>
        <v>509</v>
      </c>
      <c r="AM524">
        <f t="shared" si="7"/>
        <v>509</v>
      </c>
      <c r="AN524">
        <f t="shared" si="7"/>
        <v>509</v>
      </c>
      <c r="AO524">
        <f t="shared" si="7"/>
        <v>509</v>
      </c>
      <c r="AQ524" t="s">
        <v>55</v>
      </c>
      <c r="AS524">
        <f>SUM($J$524:$J$525)</f>
        <v>275</v>
      </c>
      <c r="AT524">
        <f t="shared" ref="AT524:AW524" si="8">SUM($J$524:$J$525)</f>
        <v>275</v>
      </c>
      <c r="AU524">
        <f t="shared" si="8"/>
        <v>275</v>
      </c>
      <c r="AV524">
        <f t="shared" si="8"/>
        <v>275</v>
      </c>
      <c r="AW524">
        <f t="shared" si="8"/>
        <v>275</v>
      </c>
      <c r="AY524" t="s">
        <v>55</v>
      </c>
      <c r="BA524">
        <f>SUM($Q$525:$Q$526)</f>
        <v>234</v>
      </c>
      <c r="BB524">
        <f t="shared" ref="BB524:BE524" si="9">SUM($Q$525:$Q$526)</f>
        <v>234</v>
      </c>
      <c r="BC524">
        <f t="shared" si="9"/>
        <v>234</v>
      </c>
      <c r="BD524">
        <f t="shared" si="9"/>
        <v>234</v>
      </c>
      <c r="BE524">
        <f t="shared" si="9"/>
        <v>234</v>
      </c>
    </row>
    <row r="525" spans="1:57" x14ac:dyDescent="0.25">
      <c r="F525" t="s">
        <v>56</v>
      </c>
      <c r="H525" t="s">
        <v>135</v>
      </c>
      <c r="J525">
        <f>COUNTIF($B$419:$B$511,"&lt;&gt;")</f>
        <v>93</v>
      </c>
      <c r="M525" t="s">
        <v>57</v>
      </c>
      <c r="O525" t="s">
        <v>137</v>
      </c>
      <c r="Q525">
        <f>COUNTIF($B$3:$B$53,"&lt;&gt;")</f>
        <v>51</v>
      </c>
      <c r="S525" t="s">
        <v>58</v>
      </c>
      <c r="U525">
        <f>U524*U523</f>
        <v>16288</v>
      </c>
      <c r="V525" t="s">
        <v>59</v>
      </c>
      <c r="AA525" t="s">
        <v>58</v>
      </c>
      <c r="AC525">
        <f>AC524*AC523</f>
        <v>8800</v>
      </c>
      <c r="AE525" t="s">
        <v>58</v>
      </c>
      <c r="AG525">
        <f>AG523*AG524</f>
        <v>7488</v>
      </c>
      <c r="AI525" t="s">
        <v>58</v>
      </c>
      <c r="AK525">
        <f>AK524*AK523</f>
        <v>16288</v>
      </c>
      <c r="AL525">
        <f t="shared" ref="AL525:AO525" si="10">AL524*AL523</f>
        <v>4072</v>
      </c>
      <c r="AM525">
        <f t="shared" si="10"/>
        <v>4581</v>
      </c>
      <c r="AN525">
        <f t="shared" si="10"/>
        <v>3054</v>
      </c>
      <c r="AO525">
        <f t="shared" si="10"/>
        <v>4581</v>
      </c>
      <c r="AQ525" t="s">
        <v>58</v>
      </c>
      <c r="AS525">
        <f>AS524*AS523</f>
        <v>8800</v>
      </c>
      <c r="AT525">
        <f t="shared" ref="AT525:AW525" si="11">AT524*AT523</f>
        <v>2200</v>
      </c>
      <c r="AU525">
        <f t="shared" si="11"/>
        <v>2475</v>
      </c>
      <c r="AV525">
        <f t="shared" si="11"/>
        <v>1650</v>
      </c>
      <c r="AW525">
        <f t="shared" si="11"/>
        <v>2475</v>
      </c>
      <c r="AY525" t="s">
        <v>58</v>
      </c>
      <c r="BA525">
        <f>BA524*BA523</f>
        <v>7488</v>
      </c>
      <c r="BB525">
        <f t="shared" ref="BB525:BE525" si="12">BB524*BB523</f>
        <v>1872</v>
      </c>
      <c r="BC525">
        <f t="shared" si="12"/>
        <v>2106</v>
      </c>
      <c r="BD525">
        <f t="shared" si="12"/>
        <v>1404</v>
      </c>
      <c r="BE525">
        <f t="shared" si="12"/>
        <v>2106</v>
      </c>
    </row>
    <row r="526" spans="1:57" x14ac:dyDescent="0.25">
      <c r="F526" t="s">
        <v>60</v>
      </c>
      <c r="H526" t="s">
        <v>136</v>
      </c>
      <c r="J526">
        <f>COUNTIF($A$737:$A$798,"&lt;&gt;")</f>
        <v>0</v>
      </c>
      <c r="M526" t="s">
        <v>61</v>
      </c>
      <c r="O526" t="s">
        <v>138</v>
      </c>
      <c r="Q526">
        <f>COUNTIF($B$236:$B$418,"&lt;&gt;")</f>
        <v>183</v>
      </c>
      <c r="S526" t="s">
        <v>75</v>
      </c>
      <c r="U526">
        <f>SUM(B512:AG512)</f>
        <v>6750</v>
      </c>
      <c r="V526" t="s">
        <v>63</v>
      </c>
      <c r="AA526" t="s">
        <v>75</v>
      </c>
      <c r="AC526">
        <f>SUM($B$517:$AG$517)</f>
        <v>797</v>
      </c>
      <c r="AE526" t="s">
        <v>75</v>
      </c>
      <c r="AG526">
        <f>SUM($B$518:$AG$518)</f>
        <v>5953</v>
      </c>
      <c r="AI526" t="s">
        <v>75</v>
      </c>
      <c r="AK526">
        <f>SUM(B512:AG512)</f>
        <v>6750</v>
      </c>
      <c r="AL526">
        <f>SUM(B512:I512)</f>
        <v>1508</v>
      </c>
      <c r="AM526">
        <f>SUM(J512:R512)</f>
        <v>1989</v>
      </c>
      <c r="AN526">
        <f>SUM(S512:X512)</f>
        <v>1221</v>
      </c>
      <c r="AO526">
        <f>SUM(Y512:AG512)</f>
        <v>2032</v>
      </c>
      <c r="AQ526" t="s">
        <v>75</v>
      </c>
      <c r="AS526">
        <f>SUM(B517:AG517)</f>
        <v>797</v>
      </c>
      <c r="AT526">
        <f>SUM(B517:I517)</f>
        <v>186</v>
      </c>
      <c r="AU526">
        <f>SUM(J517:R517)</f>
        <v>274</v>
      </c>
      <c r="AV526">
        <f>SUM(S517:X517)</f>
        <v>77</v>
      </c>
      <c r="AW526">
        <f>SUM(Y517:AG517)</f>
        <v>260</v>
      </c>
      <c r="AY526" t="s">
        <v>75</v>
      </c>
      <c r="BA526">
        <f>SUM($B518:$AG518)</f>
        <v>5953</v>
      </c>
      <c r="BB526">
        <f>SUM(B518:I518)</f>
        <v>1322</v>
      </c>
      <c r="BC526">
        <f>SUM(J518:R518)</f>
        <v>1715</v>
      </c>
      <c r="BD526">
        <f>SUM(S518:X518)</f>
        <v>1144</v>
      </c>
      <c r="BE526">
        <f>SUM(Y518:AG518)</f>
        <v>1772</v>
      </c>
    </row>
    <row r="527" spans="1:57" x14ac:dyDescent="0.25">
      <c r="S527" t="s">
        <v>64</v>
      </c>
      <c r="U527">
        <f>$U526/$U525</f>
        <v>0.4144155206286837</v>
      </c>
      <c r="AA527" t="s">
        <v>65</v>
      </c>
      <c r="AC527">
        <f>AC526/AC525</f>
        <v>9.0568181818181812E-2</v>
      </c>
      <c r="AE527" t="s">
        <v>66</v>
      </c>
      <c r="AG527">
        <f>AG526/AG525</f>
        <v>0.79500534188034189</v>
      </c>
      <c r="AI527" t="s">
        <v>64</v>
      </c>
      <c r="AK527">
        <f>AK526/AK525</f>
        <v>0.4144155206286837</v>
      </c>
      <c r="AL527">
        <f t="shared" ref="AL527:AO527" si="13">AL526/AL525</f>
        <v>0.37033398821218072</v>
      </c>
      <c r="AM527">
        <f t="shared" si="13"/>
        <v>0.43418467583497056</v>
      </c>
      <c r="AN527">
        <f t="shared" si="13"/>
        <v>0.39980353634577603</v>
      </c>
      <c r="AO527">
        <f t="shared" si="13"/>
        <v>0.44357127264789348</v>
      </c>
      <c r="AQ527" t="s">
        <v>65</v>
      </c>
      <c r="AS527">
        <f>AS526/AS525</f>
        <v>9.0568181818181812E-2</v>
      </c>
      <c r="AT527">
        <f t="shared" ref="AT527:AW527" si="14">AT526/AT525</f>
        <v>8.4545454545454549E-2</v>
      </c>
      <c r="AU527">
        <f t="shared" si="14"/>
        <v>0.11070707070707071</v>
      </c>
      <c r="AV527">
        <f t="shared" si="14"/>
        <v>4.6666666666666669E-2</v>
      </c>
      <c r="AW527">
        <f t="shared" si="14"/>
        <v>0.10505050505050505</v>
      </c>
      <c r="AY527" t="s">
        <v>66</v>
      </c>
      <c r="BA527">
        <f>BA526/BA525</f>
        <v>0.79500534188034189</v>
      </c>
      <c r="BB527">
        <f t="shared" ref="BB527:BE527" si="15">BB526/BB525</f>
        <v>0.70619658119658124</v>
      </c>
      <c r="BC527">
        <f t="shared" si="15"/>
        <v>0.81433998100664773</v>
      </c>
      <c r="BD527">
        <f t="shared" si="15"/>
        <v>0.81481481481481477</v>
      </c>
      <c r="BE527">
        <f t="shared" si="15"/>
        <v>0.84140550807217473</v>
      </c>
    </row>
    <row r="529" spans="1:57" x14ac:dyDescent="0.25">
      <c r="A529" t="s">
        <v>37</v>
      </c>
      <c r="B529">
        <f>COUNTIF(B$3:B$511,"&gt;=20")</f>
        <v>152</v>
      </c>
      <c r="C529">
        <f t="shared" ref="C529:AG529" si="16">COUNTIF(C$3:C$511,"&gt;=20")</f>
        <v>172</v>
      </c>
      <c r="D529">
        <f t="shared" si="16"/>
        <v>147</v>
      </c>
      <c r="E529">
        <f t="shared" si="16"/>
        <v>139</v>
      </c>
      <c r="F529">
        <f t="shared" si="16"/>
        <v>159</v>
      </c>
      <c r="G529">
        <f t="shared" si="16"/>
        <v>161</v>
      </c>
      <c r="H529">
        <f t="shared" si="16"/>
        <v>105</v>
      </c>
      <c r="I529">
        <f t="shared" si="16"/>
        <v>103</v>
      </c>
      <c r="J529">
        <f t="shared" si="16"/>
        <v>187</v>
      </c>
      <c r="K529">
        <f t="shared" si="16"/>
        <v>201</v>
      </c>
      <c r="L529">
        <f t="shared" si="16"/>
        <v>212</v>
      </c>
      <c r="M529">
        <f t="shared" si="16"/>
        <v>166</v>
      </c>
      <c r="N529">
        <f t="shared" si="16"/>
        <v>174</v>
      </c>
      <c r="O529">
        <f t="shared" si="16"/>
        <v>202</v>
      </c>
      <c r="P529">
        <f t="shared" si="16"/>
        <v>196</v>
      </c>
      <c r="Q529">
        <f t="shared" si="16"/>
        <v>167</v>
      </c>
      <c r="R529">
        <f t="shared" si="16"/>
        <v>206</v>
      </c>
      <c r="S529">
        <f t="shared" si="16"/>
        <v>108</v>
      </c>
      <c r="T529">
        <f t="shared" si="16"/>
        <v>177</v>
      </c>
      <c r="U529">
        <f t="shared" si="16"/>
        <v>185</v>
      </c>
      <c r="V529">
        <f t="shared" si="16"/>
        <v>188</v>
      </c>
      <c r="W529">
        <f t="shared" si="16"/>
        <v>182</v>
      </c>
      <c r="X529">
        <f t="shared" si="16"/>
        <v>192</v>
      </c>
      <c r="Y529">
        <f t="shared" si="16"/>
        <v>207</v>
      </c>
      <c r="Z529">
        <f t="shared" si="16"/>
        <v>199</v>
      </c>
      <c r="AA529">
        <f t="shared" si="16"/>
        <v>228</v>
      </c>
      <c r="AB529">
        <f t="shared" si="16"/>
        <v>212</v>
      </c>
      <c r="AC529">
        <f t="shared" si="16"/>
        <v>176</v>
      </c>
      <c r="AD529">
        <f t="shared" si="16"/>
        <v>215</v>
      </c>
      <c r="AE529">
        <f t="shared" si="16"/>
        <v>138</v>
      </c>
      <c r="AF529">
        <f t="shared" si="16"/>
        <v>228</v>
      </c>
      <c r="AG529">
        <f t="shared" si="16"/>
        <v>221</v>
      </c>
    </row>
    <row r="530" spans="1:57" x14ac:dyDescent="0.25">
      <c r="A530" t="s">
        <v>38</v>
      </c>
      <c r="B530">
        <f>COUNTIF(B$54:B$235,"&gt;=20")</f>
        <v>8</v>
      </c>
      <c r="C530">
        <f t="shared" ref="C530:AG530" si="17">COUNTIF(C$54:C$235,"&gt;=20")</f>
        <v>9</v>
      </c>
      <c r="D530">
        <f t="shared" si="17"/>
        <v>9</v>
      </c>
      <c r="E530">
        <f t="shared" si="17"/>
        <v>7</v>
      </c>
      <c r="F530">
        <f t="shared" si="17"/>
        <v>7</v>
      </c>
      <c r="G530">
        <f t="shared" si="17"/>
        <v>8</v>
      </c>
      <c r="H530">
        <f t="shared" si="17"/>
        <v>5</v>
      </c>
      <c r="I530">
        <f t="shared" si="17"/>
        <v>3</v>
      </c>
      <c r="J530">
        <f t="shared" si="17"/>
        <v>7</v>
      </c>
      <c r="K530">
        <f t="shared" si="17"/>
        <v>16</v>
      </c>
      <c r="L530">
        <f t="shared" si="17"/>
        <v>20</v>
      </c>
      <c r="M530">
        <f t="shared" si="17"/>
        <v>8</v>
      </c>
      <c r="N530">
        <f t="shared" si="17"/>
        <v>9</v>
      </c>
      <c r="O530">
        <f t="shared" si="17"/>
        <v>11</v>
      </c>
      <c r="P530">
        <f t="shared" si="17"/>
        <v>17</v>
      </c>
      <c r="Q530">
        <f t="shared" si="17"/>
        <v>8</v>
      </c>
      <c r="R530">
        <f t="shared" si="17"/>
        <v>17</v>
      </c>
      <c r="S530">
        <f t="shared" si="17"/>
        <v>3</v>
      </c>
      <c r="T530">
        <f t="shared" si="17"/>
        <v>7</v>
      </c>
      <c r="U530">
        <f t="shared" si="17"/>
        <v>4</v>
      </c>
      <c r="V530">
        <f t="shared" si="17"/>
        <v>7</v>
      </c>
      <c r="W530">
        <f t="shared" si="17"/>
        <v>1</v>
      </c>
      <c r="X530">
        <f t="shared" si="17"/>
        <v>6</v>
      </c>
      <c r="Y530">
        <f t="shared" si="17"/>
        <v>19</v>
      </c>
      <c r="Z530">
        <f t="shared" si="17"/>
        <v>8</v>
      </c>
      <c r="AA530">
        <f t="shared" si="17"/>
        <v>22</v>
      </c>
      <c r="AB530">
        <f t="shared" si="17"/>
        <v>21</v>
      </c>
      <c r="AC530">
        <f t="shared" si="17"/>
        <v>7</v>
      </c>
      <c r="AD530">
        <f t="shared" si="17"/>
        <v>20</v>
      </c>
      <c r="AE530">
        <f t="shared" si="17"/>
        <v>10</v>
      </c>
      <c r="AF530">
        <f t="shared" si="17"/>
        <v>19</v>
      </c>
      <c r="AG530">
        <f t="shared" si="17"/>
        <v>21</v>
      </c>
      <c r="AH530" t="s">
        <v>139</v>
      </c>
    </row>
    <row r="531" spans="1:57" x14ac:dyDescent="0.25">
      <c r="A531" t="s">
        <v>39</v>
      </c>
      <c r="B531">
        <f>COUNTIF(B$419:B$511,"&gt;=20")</f>
        <v>0</v>
      </c>
      <c r="C531">
        <f t="shared" ref="C531:AG531" si="18">COUNTIF(C$419:C$511,"&gt;=20")</f>
        <v>0</v>
      </c>
      <c r="D531">
        <f t="shared" si="18"/>
        <v>0</v>
      </c>
      <c r="E531">
        <f t="shared" si="18"/>
        <v>0</v>
      </c>
      <c r="F531">
        <f t="shared" si="18"/>
        <v>0</v>
      </c>
      <c r="G531">
        <f t="shared" si="18"/>
        <v>0</v>
      </c>
      <c r="H531">
        <f t="shared" si="18"/>
        <v>0</v>
      </c>
      <c r="I531">
        <f t="shared" si="18"/>
        <v>0</v>
      </c>
      <c r="J531">
        <f t="shared" si="18"/>
        <v>1</v>
      </c>
      <c r="K531">
        <f t="shared" si="18"/>
        <v>6</v>
      </c>
      <c r="L531">
        <f t="shared" si="18"/>
        <v>5</v>
      </c>
      <c r="M531">
        <f t="shared" si="18"/>
        <v>0</v>
      </c>
      <c r="N531">
        <f t="shared" si="18"/>
        <v>0</v>
      </c>
      <c r="O531">
        <f t="shared" si="18"/>
        <v>4</v>
      </c>
      <c r="P531">
        <f t="shared" si="18"/>
        <v>2</v>
      </c>
      <c r="Q531">
        <f t="shared" si="18"/>
        <v>0</v>
      </c>
      <c r="R531">
        <f t="shared" si="18"/>
        <v>5</v>
      </c>
      <c r="S531">
        <f t="shared" si="18"/>
        <v>0</v>
      </c>
      <c r="T531">
        <f t="shared" si="18"/>
        <v>0</v>
      </c>
      <c r="U531">
        <f t="shared" si="18"/>
        <v>0</v>
      </c>
      <c r="V531">
        <f t="shared" si="18"/>
        <v>0</v>
      </c>
      <c r="W531">
        <f t="shared" si="18"/>
        <v>0</v>
      </c>
      <c r="X531">
        <f t="shared" si="18"/>
        <v>0</v>
      </c>
      <c r="Y531">
        <f t="shared" si="18"/>
        <v>5</v>
      </c>
      <c r="Z531">
        <f t="shared" si="18"/>
        <v>3</v>
      </c>
      <c r="AA531">
        <f t="shared" si="18"/>
        <v>7</v>
      </c>
      <c r="AB531">
        <f t="shared" si="18"/>
        <v>6</v>
      </c>
      <c r="AC531">
        <f t="shared" si="18"/>
        <v>0</v>
      </c>
      <c r="AD531">
        <f t="shared" si="18"/>
        <v>5</v>
      </c>
      <c r="AE531">
        <f t="shared" si="18"/>
        <v>0</v>
      </c>
      <c r="AF531">
        <f t="shared" si="18"/>
        <v>9</v>
      </c>
      <c r="AG531">
        <f t="shared" si="18"/>
        <v>6</v>
      </c>
      <c r="AH531" t="s">
        <v>140</v>
      </c>
    </row>
    <row r="532" spans="1:57" x14ac:dyDescent="0.25">
      <c r="A532" t="s">
        <v>40</v>
      </c>
      <c r="B532">
        <f>COUNTIF(B$3:B$53,"&gt;=20")</f>
        <v>51</v>
      </c>
      <c r="C532">
        <f t="shared" ref="C532:AG532" si="19">COUNTIF(C$3:C$53,"&gt;=20")</f>
        <v>51</v>
      </c>
      <c r="D532">
        <f t="shared" si="19"/>
        <v>51</v>
      </c>
      <c r="E532">
        <f t="shared" si="19"/>
        <v>51</v>
      </c>
      <c r="F532">
        <f t="shared" si="19"/>
        <v>51</v>
      </c>
      <c r="G532">
        <f t="shared" si="19"/>
        <v>51</v>
      </c>
      <c r="H532">
        <f t="shared" si="19"/>
        <v>46</v>
      </c>
      <c r="I532">
        <f t="shared" si="19"/>
        <v>24</v>
      </c>
      <c r="J532">
        <f t="shared" si="19"/>
        <v>51</v>
      </c>
      <c r="K532">
        <f t="shared" si="19"/>
        <v>51</v>
      </c>
      <c r="L532">
        <f t="shared" si="19"/>
        <v>51</v>
      </c>
      <c r="M532">
        <f t="shared" si="19"/>
        <v>51</v>
      </c>
      <c r="N532">
        <f t="shared" si="19"/>
        <v>51</v>
      </c>
      <c r="O532">
        <f t="shared" si="19"/>
        <v>51</v>
      </c>
      <c r="P532">
        <f t="shared" si="19"/>
        <v>51</v>
      </c>
      <c r="Q532">
        <f t="shared" si="19"/>
        <v>51</v>
      </c>
      <c r="R532">
        <f t="shared" si="19"/>
        <v>51</v>
      </c>
      <c r="S532">
        <f t="shared" si="19"/>
        <v>29</v>
      </c>
      <c r="T532">
        <f t="shared" si="19"/>
        <v>51</v>
      </c>
      <c r="U532">
        <f t="shared" si="19"/>
        <v>41</v>
      </c>
      <c r="V532">
        <f t="shared" si="19"/>
        <v>51</v>
      </c>
      <c r="W532">
        <f t="shared" si="19"/>
        <v>39</v>
      </c>
      <c r="X532">
        <f t="shared" si="19"/>
        <v>49</v>
      </c>
      <c r="Y532">
        <f t="shared" si="19"/>
        <v>51</v>
      </c>
      <c r="Z532">
        <f t="shared" si="19"/>
        <v>51</v>
      </c>
      <c r="AA532">
        <f t="shared" si="19"/>
        <v>51</v>
      </c>
      <c r="AB532">
        <f t="shared" si="19"/>
        <v>51</v>
      </c>
      <c r="AC532">
        <f t="shared" si="19"/>
        <v>51</v>
      </c>
      <c r="AD532">
        <f t="shared" si="19"/>
        <v>51</v>
      </c>
      <c r="AE532">
        <f t="shared" si="19"/>
        <v>51</v>
      </c>
      <c r="AF532">
        <f t="shared" si="19"/>
        <v>51</v>
      </c>
      <c r="AG532">
        <f t="shared" si="19"/>
        <v>51</v>
      </c>
      <c r="AH532" t="s">
        <v>141</v>
      </c>
    </row>
    <row r="533" spans="1:57" x14ac:dyDescent="0.25">
      <c r="A533" t="s">
        <v>41</v>
      </c>
      <c r="B533">
        <f>COUNTIF(B$236:B$418,"&gt;=20")</f>
        <v>93</v>
      </c>
      <c r="C533">
        <f t="shared" ref="C533:AG533" si="20">COUNTIF(C$236:C$418,"&gt;=20")</f>
        <v>112</v>
      </c>
      <c r="D533">
        <f t="shared" si="20"/>
        <v>87</v>
      </c>
      <c r="E533">
        <f t="shared" si="20"/>
        <v>81</v>
      </c>
      <c r="F533">
        <f t="shared" si="20"/>
        <v>101</v>
      </c>
      <c r="G533">
        <f t="shared" si="20"/>
        <v>102</v>
      </c>
      <c r="H533">
        <f t="shared" si="20"/>
        <v>54</v>
      </c>
      <c r="I533">
        <f t="shared" si="20"/>
        <v>76</v>
      </c>
      <c r="J533">
        <f t="shared" si="20"/>
        <v>128</v>
      </c>
      <c r="K533">
        <f t="shared" si="20"/>
        <v>128</v>
      </c>
      <c r="L533">
        <f t="shared" si="20"/>
        <v>136</v>
      </c>
      <c r="M533">
        <f t="shared" si="20"/>
        <v>107</v>
      </c>
      <c r="N533">
        <f t="shared" si="20"/>
        <v>114</v>
      </c>
      <c r="O533">
        <f t="shared" si="20"/>
        <v>136</v>
      </c>
      <c r="P533">
        <f t="shared" si="20"/>
        <v>126</v>
      </c>
      <c r="Q533">
        <f t="shared" si="20"/>
        <v>108</v>
      </c>
      <c r="R533">
        <f t="shared" si="20"/>
        <v>133</v>
      </c>
      <c r="S533">
        <f t="shared" si="20"/>
        <v>76</v>
      </c>
      <c r="T533">
        <f t="shared" si="20"/>
        <v>119</v>
      </c>
      <c r="U533">
        <f t="shared" si="20"/>
        <v>140</v>
      </c>
      <c r="V533">
        <f t="shared" si="20"/>
        <v>130</v>
      </c>
      <c r="W533">
        <f t="shared" si="20"/>
        <v>142</v>
      </c>
      <c r="X533">
        <f t="shared" si="20"/>
        <v>137</v>
      </c>
      <c r="Y533">
        <f t="shared" si="20"/>
        <v>132</v>
      </c>
      <c r="Z533">
        <f t="shared" si="20"/>
        <v>137</v>
      </c>
      <c r="AA533">
        <f t="shared" si="20"/>
        <v>148</v>
      </c>
      <c r="AB533">
        <f t="shared" si="20"/>
        <v>134</v>
      </c>
      <c r="AC533">
        <f t="shared" si="20"/>
        <v>118</v>
      </c>
      <c r="AD533">
        <f t="shared" si="20"/>
        <v>139</v>
      </c>
      <c r="AE533">
        <f t="shared" si="20"/>
        <v>77</v>
      </c>
      <c r="AF533">
        <f t="shared" si="20"/>
        <v>149</v>
      </c>
      <c r="AG533">
        <f t="shared" si="20"/>
        <v>143</v>
      </c>
      <c r="AH533" t="s">
        <v>142</v>
      </c>
    </row>
    <row r="534" spans="1:57" x14ac:dyDescent="0.25">
      <c r="A534" t="s">
        <v>42</v>
      </c>
      <c r="B534">
        <f>SUM(B530,B531)</f>
        <v>8</v>
      </c>
      <c r="C534">
        <f t="shared" ref="C534:AG534" si="21">SUM(C530,C531)</f>
        <v>9</v>
      </c>
      <c r="D534">
        <f t="shared" si="21"/>
        <v>9</v>
      </c>
      <c r="E534">
        <f t="shared" si="21"/>
        <v>7</v>
      </c>
      <c r="F534">
        <f t="shared" si="21"/>
        <v>7</v>
      </c>
      <c r="G534">
        <f t="shared" si="21"/>
        <v>8</v>
      </c>
      <c r="H534">
        <f t="shared" si="21"/>
        <v>5</v>
      </c>
      <c r="I534">
        <f t="shared" si="21"/>
        <v>3</v>
      </c>
      <c r="J534">
        <f t="shared" si="21"/>
        <v>8</v>
      </c>
      <c r="K534">
        <f t="shared" si="21"/>
        <v>22</v>
      </c>
      <c r="L534">
        <f t="shared" si="21"/>
        <v>25</v>
      </c>
      <c r="M534">
        <f t="shared" si="21"/>
        <v>8</v>
      </c>
      <c r="N534">
        <f t="shared" si="21"/>
        <v>9</v>
      </c>
      <c r="O534">
        <f t="shared" si="21"/>
        <v>15</v>
      </c>
      <c r="P534">
        <f t="shared" si="21"/>
        <v>19</v>
      </c>
      <c r="Q534">
        <f t="shared" si="21"/>
        <v>8</v>
      </c>
      <c r="R534">
        <f t="shared" si="21"/>
        <v>22</v>
      </c>
      <c r="S534">
        <f t="shared" si="21"/>
        <v>3</v>
      </c>
      <c r="T534">
        <f t="shared" si="21"/>
        <v>7</v>
      </c>
      <c r="U534">
        <f t="shared" si="21"/>
        <v>4</v>
      </c>
      <c r="V534">
        <f t="shared" si="21"/>
        <v>7</v>
      </c>
      <c r="W534">
        <f t="shared" si="21"/>
        <v>1</v>
      </c>
      <c r="X534">
        <f t="shared" si="21"/>
        <v>6</v>
      </c>
      <c r="Y534">
        <f t="shared" si="21"/>
        <v>24</v>
      </c>
      <c r="Z534">
        <f t="shared" si="21"/>
        <v>11</v>
      </c>
      <c r="AA534">
        <f t="shared" si="21"/>
        <v>29</v>
      </c>
      <c r="AB534">
        <f t="shared" si="21"/>
        <v>27</v>
      </c>
      <c r="AC534">
        <f t="shared" si="21"/>
        <v>7</v>
      </c>
      <c r="AD534">
        <f t="shared" si="21"/>
        <v>25</v>
      </c>
      <c r="AE534">
        <f t="shared" si="21"/>
        <v>10</v>
      </c>
      <c r="AF534">
        <f t="shared" si="21"/>
        <v>28</v>
      </c>
      <c r="AG534">
        <f t="shared" si="21"/>
        <v>27</v>
      </c>
    </row>
    <row r="535" spans="1:57" x14ac:dyDescent="0.25">
      <c r="A535" t="s">
        <v>43</v>
      </c>
      <c r="B535">
        <f>SUM(B532,B533)</f>
        <v>144</v>
      </c>
      <c r="C535">
        <f t="shared" ref="C535:AG535" si="22">SUM(C532,C533)</f>
        <v>163</v>
      </c>
      <c r="D535">
        <f t="shared" si="22"/>
        <v>138</v>
      </c>
      <c r="E535">
        <f t="shared" si="22"/>
        <v>132</v>
      </c>
      <c r="F535">
        <f t="shared" si="22"/>
        <v>152</v>
      </c>
      <c r="G535">
        <f t="shared" si="22"/>
        <v>153</v>
      </c>
      <c r="H535">
        <f t="shared" si="22"/>
        <v>100</v>
      </c>
      <c r="I535">
        <f t="shared" si="22"/>
        <v>100</v>
      </c>
      <c r="J535">
        <f t="shared" si="22"/>
        <v>179</v>
      </c>
      <c r="K535">
        <f t="shared" si="22"/>
        <v>179</v>
      </c>
      <c r="L535">
        <f t="shared" si="22"/>
        <v>187</v>
      </c>
      <c r="M535">
        <f t="shared" si="22"/>
        <v>158</v>
      </c>
      <c r="N535">
        <f t="shared" si="22"/>
        <v>165</v>
      </c>
      <c r="O535">
        <f t="shared" si="22"/>
        <v>187</v>
      </c>
      <c r="P535">
        <f t="shared" si="22"/>
        <v>177</v>
      </c>
      <c r="Q535">
        <f t="shared" si="22"/>
        <v>159</v>
      </c>
      <c r="R535">
        <f t="shared" si="22"/>
        <v>184</v>
      </c>
      <c r="S535">
        <f t="shared" si="22"/>
        <v>105</v>
      </c>
      <c r="T535">
        <f t="shared" si="22"/>
        <v>170</v>
      </c>
      <c r="U535">
        <f t="shared" si="22"/>
        <v>181</v>
      </c>
      <c r="V535">
        <f t="shared" si="22"/>
        <v>181</v>
      </c>
      <c r="W535">
        <f t="shared" si="22"/>
        <v>181</v>
      </c>
      <c r="X535">
        <f t="shared" si="22"/>
        <v>186</v>
      </c>
      <c r="Y535">
        <f t="shared" si="22"/>
        <v>183</v>
      </c>
      <c r="Z535">
        <f t="shared" si="22"/>
        <v>188</v>
      </c>
      <c r="AA535">
        <f t="shared" si="22"/>
        <v>199</v>
      </c>
      <c r="AB535">
        <f t="shared" si="22"/>
        <v>185</v>
      </c>
      <c r="AC535">
        <f t="shared" si="22"/>
        <v>169</v>
      </c>
      <c r="AD535">
        <f t="shared" si="22"/>
        <v>190</v>
      </c>
      <c r="AE535">
        <f t="shared" si="22"/>
        <v>128</v>
      </c>
      <c r="AF535">
        <f t="shared" si="22"/>
        <v>200</v>
      </c>
      <c r="AG535">
        <f t="shared" si="22"/>
        <v>194</v>
      </c>
    </row>
    <row r="538" spans="1:57" x14ac:dyDescent="0.25">
      <c r="D538" t="s">
        <v>71</v>
      </c>
      <c r="F538" t="s">
        <v>77</v>
      </c>
      <c r="S538" t="s">
        <v>67</v>
      </c>
      <c r="AA538" t="s">
        <v>67</v>
      </c>
      <c r="AE538" t="s">
        <v>67</v>
      </c>
      <c r="AI538" t="s">
        <v>67</v>
      </c>
      <c r="AQ538" t="s">
        <v>67</v>
      </c>
      <c r="AY538" t="s">
        <v>67</v>
      </c>
    </row>
    <row r="539" spans="1:57" x14ac:dyDescent="0.25">
      <c r="F539" t="s">
        <v>45</v>
      </c>
      <c r="S539" t="s">
        <v>46</v>
      </c>
      <c r="AA539" t="s">
        <v>47</v>
      </c>
      <c r="AE539" t="s">
        <v>48</v>
      </c>
      <c r="AI539" t="s">
        <v>46</v>
      </c>
      <c r="AK539" t="s">
        <v>49</v>
      </c>
      <c r="AL539" t="s">
        <v>33</v>
      </c>
      <c r="AM539" t="s">
        <v>34</v>
      </c>
      <c r="AN539" t="s">
        <v>35</v>
      </c>
      <c r="AO539" t="s">
        <v>36</v>
      </c>
      <c r="AQ539" t="s">
        <v>47</v>
      </c>
      <c r="AS539" t="s">
        <v>49</v>
      </c>
      <c r="AT539" t="s">
        <v>33</v>
      </c>
      <c r="AU539" t="s">
        <v>34</v>
      </c>
      <c r="AV539" t="s">
        <v>35</v>
      </c>
      <c r="AW539" t="s">
        <v>36</v>
      </c>
      <c r="AY539" t="s">
        <v>48</v>
      </c>
      <c r="BA539" t="s">
        <v>49</v>
      </c>
      <c r="BB539" t="s">
        <v>33</v>
      </c>
      <c r="BC539" t="s">
        <v>34</v>
      </c>
      <c r="BD539" t="s">
        <v>35</v>
      </c>
      <c r="BE539" t="s">
        <v>36</v>
      </c>
    </row>
    <row r="540" spans="1:57" x14ac:dyDescent="0.25">
      <c r="F540" t="s">
        <v>50</v>
      </c>
      <c r="M540" t="s">
        <v>51</v>
      </c>
      <c r="S540" t="s">
        <v>52</v>
      </c>
      <c r="U540">
        <f>COUNTIF(B18:AG18,"&lt;&gt;")</f>
        <v>32</v>
      </c>
      <c r="AA540" t="s">
        <v>52</v>
      </c>
      <c r="AC540">
        <f>COUNTIF(B18:AG18,"&lt;&gt;")</f>
        <v>32</v>
      </c>
      <c r="AE540" t="s">
        <v>52</v>
      </c>
      <c r="AG540">
        <f>COUNTIF(B18:AG18,"&lt;&gt;")</f>
        <v>32</v>
      </c>
      <c r="AI540" t="s">
        <v>52</v>
      </c>
      <c r="AK540">
        <f>COUNTIF($B$2:$AG$2,"&lt;&gt;")</f>
        <v>32</v>
      </c>
      <c r="AL540">
        <f>COUNTIF($B$2:$I$2,"&lt;&gt;")</f>
        <v>8</v>
      </c>
      <c r="AM540">
        <f>COUNTIF($J$2:$R$2,"&lt;&gt;")</f>
        <v>9</v>
      </c>
      <c r="AN540">
        <f>COUNTIF($S$2:$X$2,"&lt;&gt;")</f>
        <v>6</v>
      </c>
      <c r="AO540">
        <f>COUNTIF($Y$2:$AG$2,"&lt;&gt;")</f>
        <v>9</v>
      </c>
      <c r="AQ540" t="s">
        <v>52</v>
      </c>
      <c r="AS540">
        <f>COUNTIF($B$2:$AG$2,"&lt;&gt;")</f>
        <v>32</v>
      </c>
      <c r="AT540">
        <f>COUNTIF($B$2:$I$2,"&lt;&gt;")</f>
        <v>8</v>
      </c>
      <c r="AU540">
        <f>COUNTIF($J$2:$R$2,"&lt;&gt;")</f>
        <v>9</v>
      </c>
      <c r="AV540">
        <f>COUNTIF($S$2:$X$2,"&lt;&gt;")</f>
        <v>6</v>
      </c>
      <c r="AW540">
        <f>COUNTIF($Y$2:$AG$2,"&lt;&gt;")</f>
        <v>9</v>
      </c>
      <c r="AY540" t="s">
        <v>52</v>
      </c>
      <c r="BA540">
        <f>COUNTIF($B$2:$AG$2,"&lt;&gt;")</f>
        <v>32</v>
      </c>
      <c r="BB540">
        <f>COUNTIF($B$2:$I$2,"&lt;&gt;")</f>
        <v>8</v>
      </c>
      <c r="BC540">
        <f>COUNTIF($J$2:$R$2,"&lt;&gt;")</f>
        <v>9</v>
      </c>
      <c r="BD540">
        <f>COUNTIF($S$2:$X$2,"&lt;&gt;")</f>
        <v>6</v>
      </c>
      <c r="BE540">
        <f>COUNTIF($Y$2:$AG$2,"&lt;&gt;")</f>
        <v>9</v>
      </c>
    </row>
    <row r="541" spans="1:57" x14ac:dyDescent="0.25">
      <c r="F541" t="s">
        <v>53</v>
      </c>
      <c r="H541" t="s">
        <v>134</v>
      </c>
      <c r="J541">
        <f>COUNTIF($B$54:$B$235,"&lt;&gt;")</f>
        <v>182</v>
      </c>
      <c r="M541" t="s">
        <v>54</v>
      </c>
      <c r="S541" t="s">
        <v>55</v>
      </c>
      <c r="U541">
        <f>COUNTIF($A$3:$A$511,"&lt;&gt;")</f>
        <v>509</v>
      </c>
      <c r="AA541" t="s">
        <v>55</v>
      </c>
      <c r="AC541">
        <f>SUM($J$524:$J$525)</f>
        <v>275</v>
      </c>
      <c r="AE541" t="s">
        <v>55</v>
      </c>
      <c r="AG541">
        <f>SUM($Q$525:$Q$526)</f>
        <v>234</v>
      </c>
      <c r="AI541" t="s">
        <v>55</v>
      </c>
      <c r="AK541">
        <f>COUNTIF($A$3:$A$511,"&lt;&gt;")</f>
        <v>509</v>
      </c>
      <c r="AL541">
        <f t="shared" ref="AL541:AO541" si="23">COUNTIF($A$3:$A$511,"&lt;&gt;")</f>
        <v>509</v>
      </c>
      <c r="AM541">
        <f t="shared" si="23"/>
        <v>509</v>
      </c>
      <c r="AN541">
        <f t="shared" si="23"/>
        <v>509</v>
      </c>
      <c r="AO541">
        <f t="shared" si="23"/>
        <v>509</v>
      </c>
      <c r="AQ541" t="s">
        <v>55</v>
      </c>
      <c r="AS541">
        <f>SUM($J$524:$J$525)</f>
        <v>275</v>
      </c>
      <c r="AT541">
        <f t="shared" ref="AT541:AW541" si="24">SUM($J$524:$J$525)</f>
        <v>275</v>
      </c>
      <c r="AU541">
        <f t="shared" si="24"/>
        <v>275</v>
      </c>
      <c r="AV541">
        <f t="shared" si="24"/>
        <v>275</v>
      </c>
      <c r="AW541">
        <f t="shared" si="24"/>
        <v>275</v>
      </c>
      <c r="AY541" t="s">
        <v>55</v>
      </c>
      <c r="BA541">
        <f>SUM($Q$525:$Q$526)</f>
        <v>234</v>
      </c>
      <c r="BB541">
        <f t="shared" ref="BB541:BE541" si="25">SUM($Q$525:$Q$526)</f>
        <v>234</v>
      </c>
      <c r="BC541">
        <f t="shared" si="25"/>
        <v>234</v>
      </c>
      <c r="BD541">
        <f t="shared" si="25"/>
        <v>234</v>
      </c>
      <c r="BE541">
        <f t="shared" si="25"/>
        <v>234</v>
      </c>
    </row>
    <row r="542" spans="1:57" x14ac:dyDescent="0.25">
      <c r="F542" t="s">
        <v>56</v>
      </c>
      <c r="H542" t="s">
        <v>135</v>
      </c>
      <c r="J542">
        <f>COUNTIF($B$419:$B$511,"&lt;&gt;")</f>
        <v>93</v>
      </c>
      <c r="M542" t="s">
        <v>57</v>
      </c>
      <c r="O542" t="s">
        <v>137</v>
      </c>
      <c r="Q542">
        <f>COUNTIF($B$3:$B$53,"&lt;&gt;")</f>
        <v>51</v>
      </c>
      <c r="S542" t="s">
        <v>58</v>
      </c>
      <c r="U542">
        <f>U541*U540</f>
        <v>16288</v>
      </c>
      <c r="V542" t="s">
        <v>59</v>
      </c>
      <c r="AA542" t="s">
        <v>58</v>
      </c>
      <c r="AC542">
        <f>AC541*AC540</f>
        <v>8800</v>
      </c>
      <c r="AE542" t="s">
        <v>58</v>
      </c>
      <c r="AG542">
        <f>AG540*AG541</f>
        <v>7488</v>
      </c>
      <c r="AI542" t="s">
        <v>58</v>
      </c>
      <c r="AK542">
        <f>AK541*AK540</f>
        <v>16288</v>
      </c>
      <c r="AL542">
        <f t="shared" ref="AL542:AO542" si="26">AL541*AL540</f>
        <v>4072</v>
      </c>
      <c r="AM542">
        <f t="shared" si="26"/>
        <v>4581</v>
      </c>
      <c r="AN542">
        <f t="shared" si="26"/>
        <v>3054</v>
      </c>
      <c r="AO542">
        <f t="shared" si="26"/>
        <v>4581</v>
      </c>
      <c r="AQ542" t="s">
        <v>58</v>
      </c>
      <c r="AS542">
        <f>AS541*AS540</f>
        <v>8800</v>
      </c>
      <c r="AT542">
        <f t="shared" ref="AT542:AW542" si="27">AT541*AT540</f>
        <v>2200</v>
      </c>
      <c r="AU542">
        <f t="shared" si="27"/>
        <v>2475</v>
      </c>
      <c r="AV542">
        <f t="shared" si="27"/>
        <v>1650</v>
      </c>
      <c r="AW542">
        <f t="shared" si="27"/>
        <v>2475</v>
      </c>
      <c r="AY542" t="s">
        <v>58</v>
      </c>
      <c r="BA542">
        <f>BA541*BA540</f>
        <v>7488</v>
      </c>
      <c r="BB542">
        <f t="shared" ref="BB542:BE542" si="28">BB541*BB540</f>
        <v>1872</v>
      </c>
      <c r="BC542">
        <f t="shared" si="28"/>
        <v>2106</v>
      </c>
      <c r="BD542">
        <f t="shared" si="28"/>
        <v>1404</v>
      </c>
      <c r="BE542">
        <f t="shared" si="28"/>
        <v>2106</v>
      </c>
    </row>
    <row r="543" spans="1:57" x14ac:dyDescent="0.25">
      <c r="F543" t="s">
        <v>60</v>
      </c>
      <c r="H543" t="s">
        <v>136</v>
      </c>
      <c r="J543">
        <f>COUNTIF($A$737:$A$798,"&lt;&gt;")</f>
        <v>0</v>
      </c>
      <c r="M543" t="s">
        <v>61</v>
      </c>
      <c r="O543" t="s">
        <v>138</v>
      </c>
      <c r="Q543">
        <f>COUNTIF($B$236:$B$418,"&lt;&gt;")</f>
        <v>183</v>
      </c>
      <c r="S543" t="s">
        <v>76</v>
      </c>
      <c r="U543">
        <f>SUM(B529:AG529)</f>
        <v>5705</v>
      </c>
      <c r="V543" t="s">
        <v>63</v>
      </c>
      <c r="AA543" t="s">
        <v>76</v>
      </c>
      <c r="AC543">
        <f>SUM(B534:AG534)</f>
        <v>408</v>
      </c>
      <c r="AE543" t="s">
        <v>76</v>
      </c>
      <c r="AG543">
        <f>SUM(B535:AG535)</f>
        <v>5297</v>
      </c>
      <c r="AI543" t="s">
        <v>76</v>
      </c>
      <c r="AK543">
        <f>SUM(B529:AG529)</f>
        <v>5705</v>
      </c>
      <c r="AL543">
        <f>SUM(B529:I529)</f>
        <v>1138</v>
      </c>
      <c r="AM543">
        <f>SUM(J529:R529)</f>
        <v>1711</v>
      </c>
      <c r="AN543">
        <f>SUM(S529:X529)</f>
        <v>1032</v>
      </c>
      <c r="AO543">
        <f>SUM(Y529:AG529)</f>
        <v>1824</v>
      </c>
      <c r="AQ543" t="s">
        <v>76</v>
      </c>
      <c r="AS543">
        <f>SUM(B534:AG534)</f>
        <v>408</v>
      </c>
      <c r="AT543">
        <f>SUM(B534:I534)</f>
        <v>56</v>
      </c>
      <c r="AU543">
        <f>SUM(J534:R534)</f>
        <v>136</v>
      </c>
      <c r="AV543">
        <f>SUM(S534:X534)</f>
        <v>28</v>
      </c>
      <c r="AW543">
        <f>SUM(Y534:AG534)</f>
        <v>188</v>
      </c>
      <c r="AY543" t="s">
        <v>76</v>
      </c>
      <c r="BA543">
        <f>SUM($B535:$AG535)</f>
        <v>5297</v>
      </c>
      <c r="BB543">
        <f>SUM(B535:I535)</f>
        <v>1082</v>
      </c>
      <c r="BC543">
        <f>SUM(J535:R535)</f>
        <v>1575</v>
      </c>
      <c r="BD543">
        <f>SUM(S535:X535)</f>
        <v>1004</v>
      </c>
      <c r="BE543">
        <f>SUM(Y535:AG535)</f>
        <v>1636</v>
      </c>
    </row>
    <row r="544" spans="1:57" x14ac:dyDescent="0.25">
      <c r="S544" t="s">
        <v>64</v>
      </c>
      <c r="U544">
        <f>$U543/$U542</f>
        <v>0.35025785854616898</v>
      </c>
      <c r="AA544" t="s">
        <v>65</v>
      </c>
      <c r="AC544">
        <f>AC543/AC542</f>
        <v>4.6363636363636364E-2</v>
      </c>
      <c r="AE544" t="s">
        <v>66</v>
      </c>
      <c r="AG544">
        <f>AG543/AG542</f>
        <v>0.70739850427350426</v>
      </c>
      <c r="AI544" t="s">
        <v>64</v>
      </c>
      <c r="AK544">
        <f>AK543/AK542</f>
        <v>0.35025785854616898</v>
      </c>
      <c r="AL544">
        <f t="shared" ref="AL544:AO544" si="29">AL543/AL542</f>
        <v>0.27946954813359526</v>
      </c>
      <c r="AM544">
        <f t="shared" si="29"/>
        <v>0.37349923597467805</v>
      </c>
      <c r="AN544">
        <f t="shared" si="29"/>
        <v>0.33791748526522591</v>
      </c>
      <c r="AO544">
        <f t="shared" si="29"/>
        <v>0.39816633922724298</v>
      </c>
      <c r="AQ544" t="s">
        <v>65</v>
      </c>
      <c r="AS544">
        <f>AS543/AS542</f>
        <v>4.6363636363636364E-2</v>
      </c>
      <c r="AT544">
        <f t="shared" ref="AT544:AW544" si="30">AT543/AT542</f>
        <v>2.5454545454545455E-2</v>
      </c>
      <c r="AU544">
        <f t="shared" si="30"/>
        <v>5.4949494949494949E-2</v>
      </c>
      <c r="AV544">
        <f t="shared" si="30"/>
        <v>1.6969696969696971E-2</v>
      </c>
      <c r="AW544">
        <f t="shared" si="30"/>
        <v>7.5959595959595963E-2</v>
      </c>
      <c r="AY544" t="s">
        <v>66</v>
      </c>
      <c r="BA544">
        <f>BA543/BA542</f>
        <v>0.70739850427350426</v>
      </c>
      <c r="BB544">
        <f t="shared" ref="BB544:BE544" si="31">BB543/BB542</f>
        <v>0.57799145299145294</v>
      </c>
      <c r="BC544">
        <f t="shared" si="31"/>
        <v>0.74786324786324787</v>
      </c>
      <c r="BD544">
        <f t="shared" si="31"/>
        <v>0.71509971509971515</v>
      </c>
      <c r="BE544">
        <f t="shared" si="31"/>
        <v>0.77682811016144349</v>
      </c>
    </row>
    <row r="546" spans="1:57" x14ac:dyDescent="0.25">
      <c r="A546" t="s">
        <v>37</v>
      </c>
      <c r="B546">
        <f>COUNTIF(B$3:B$511,"&gt;=23")</f>
        <v>15</v>
      </c>
      <c r="C546">
        <f t="shared" ref="C546:AG546" si="32">COUNTIF(C$3:C$511,"&gt;=23")</f>
        <v>14</v>
      </c>
      <c r="D546">
        <f t="shared" si="32"/>
        <v>12</v>
      </c>
      <c r="E546">
        <f t="shared" si="32"/>
        <v>11</v>
      </c>
      <c r="F546">
        <f t="shared" si="32"/>
        <v>4</v>
      </c>
      <c r="G546">
        <f t="shared" si="32"/>
        <v>4</v>
      </c>
      <c r="H546">
        <f t="shared" si="32"/>
        <v>0</v>
      </c>
      <c r="I546">
        <f t="shared" si="32"/>
        <v>0</v>
      </c>
      <c r="J546">
        <f t="shared" si="32"/>
        <v>97</v>
      </c>
      <c r="K546">
        <f t="shared" si="32"/>
        <v>76</v>
      </c>
      <c r="L546">
        <f t="shared" si="32"/>
        <v>107</v>
      </c>
      <c r="M546">
        <f t="shared" si="32"/>
        <v>7</v>
      </c>
      <c r="N546">
        <f t="shared" si="32"/>
        <v>13</v>
      </c>
      <c r="O546">
        <f t="shared" si="32"/>
        <v>90</v>
      </c>
      <c r="P546">
        <f t="shared" si="32"/>
        <v>58</v>
      </c>
      <c r="Q546">
        <f t="shared" si="32"/>
        <v>8</v>
      </c>
      <c r="R546">
        <f t="shared" si="32"/>
        <v>86</v>
      </c>
      <c r="S546">
        <f t="shared" si="32"/>
        <v>8</v>
      </c>
      <c r="T546">
        <f t="shared" si="32"/>
        <v>34</v>
      </c>
      <c r="U546">
        <f t="shared" si="32"/>
        <v>88</v>
      </c>
      <c r="V546">
        <f t="shared" si="32"/>
        <v>56</v>
      </c>
      <c r="W546">
        <f t="shared" si="32"/>
        <v>84</v>
      </c>
      <c r="X546">
        <f t="shared" si="32"/>
        <v>72</v>
      </c>
      <c r="Y546">
        <f t="shared" si="32"/>
        <v>144</v>
      </c>
      <c r="Z546">
        <f t="shared" si="32"/>
        <v>108</v>
      </c>
      <c r="AA546">
        <f t="shared" si="32"/>
        <v>163</v>
      </c>
      <c r="AB546">
        <f t="shared" si="32"/>
        <v>144</v>
      </c>
      <c r="AC546">
        <f t="shared" si="32"/>
        <v>104</v>
      </c>
      <c r="AD546">
        <f t="shared" si="32"/>
        <v>121</v>
      </c>
      <c r="AE546">
        <f t="shared" si="32"/>
        <v>42</v>
      </c>
      <c r="AF546">
        <f t="shared" si="32"/>
        <v>166</v>
      </c>
      <c r="AG546">
        <f t="shared" si="32"/>
        <v>148</v>
      </c>
    </row>
    <row r="547" spans="1:57" x14ac:dyDescent="0.25">
      <c r="A547" t="s">
        <v>38</v>
      </c>
      <c r="B547">
        <f>COUNTIF(B$54:B$235,"&gt;=23")</f>
        <v>0</v>
      </c>
      <c r="C547">
        <f t="shared" ref="C547:AG547" si="33">COUNTIF(C$54:C$235,"&gt;=23")</f>
        <v>0</v>
      </c>
      <c r="D547">
        <f t="shared" si="33"/>
        <v>0</v>
      </c>
      <c r="E547">
        <f t="shared" si="33"/>
        <v>0</v>
      </c>
      <c r="F547">
        <f t="shared" si="33"/>
        <v>0</v>
      </c>
      <c r="G547">
        <f t="shared" si="33"/>
        <v>0</v>
      </c>
      <c r="H547">
        <f t="shared" si="33"/>
        <v>0</v>
      </c>
      <c r="I547">
        <f t="shared" si="33"/>
        <v>0</v>
      </c>
      <c r="J547">
        <f t="shared" si="33"/>
        <v>0</v>
      </c>
      <c r="K547">
        <f t="shared" si="33"/>
        <v>0</v>
      </c>
      <c r="L547">
        <f t="shared" si="33"/>
        <v>0</v>
      </c>
      <c r="M547">
        <f t="shared" si="33"/>
        <v>0</v>
      </c>
      <c r="N547">
        <f t="shared" si="33"/>
        <v>0</v>
      </c>
      <c r="O547">
        <f t="shared" si="33"/>
        <v>0</v>
      </c>
      <c r="P547">
        <f t="shared" si="33"/>
        <v>0</v>
      </c>
      <c r="Q547">
        <f t="shared" si="33"/>
        <v>0</v>
      </c>
      <c r="R547">
        <f t="shared" si="33"/>
        <v>0</v>
      </c>
      <c r="S547">
        <f t="shared" si="33"/>
        <v>0</v>
      </c>
      <c r="T547">
        <f t="shared" si="33"/>
        <v>0</v>
      </c>
      <c r="U547">
        <f t="shared" si="33"/>
        <v>0</v>
      </c>
      <c r="V547">
        <f t="shared" si="33"/>
        <v>0</v>
      </c>
      <c r="W547">
        <f t="shared" si="33"/>
        <v>0</v>
      </c>
      <c r="X547">
        <f t="shared" si="33"/>
        <v>0</v>
      </c>
      <c r="Y547">
        <f t="shared" si="33"/>
        <v>3</v>
      </c>
      <c r="Z547">
        <f t="shared" si="33"/>
        <v>0</v>
      </c>
      <c r="AA547">
        <f t="shared" si="33"/>
        <v>3</v>
      </c>
      <c r="AB547">
        <f t="shared" si="33"/>
        <v>2</v>
      </c>
      <c r="AC547">
        <f t="shared" si="33"/>
        <v>0</v>
      </c>
      <c r="AD547">
        <f t="shared" si="33"/>
        <v>0</v>
      </c>
      <c r="AE547">
        <f t="shared" si="33"/>
        <v>0</v>
      </c>
      <c r="AF547">
        <f t="shared" si="33"/>
        <v>8</v>
      </c>
      <c r="AG547">
        <f t="shared" si="33"/>
        <v>1</v>
      </c>
      <c r="AH547" t="s">
        <v>139</v>
      </c>
    </row>
    <row r="548" spans="1:57" x14ac:dyDescent="0.25">
      <c r="A548" t="s">
        <v>39</v>
      </c>
      <c r="B548">
        <f>COUNTIF(B$419:B$511,"&gt;=23")</f>
        <v>0</v>
      </c>
      <c r="C548">
        <f t="shared" ref="C548:AG548" si="34">COUNTIF(C$419:C$511,"&gt;=23")</f>
        <v>0</v>
      </c>
      <c r="D548">
        <f t="shared" si="34"/>
        <v>0</v>
      </c>
      <c r="E548">
        <f t="shared" si="34"/>
        <v>0</v>
      </c>
      <c r="F548">
        <f t="shared" si="34"/>
        <v>0</v>
      </c>
      <c r="G548">
        <f t="shared" si="34"/>
        <v>0</v>
      </c>
      <c r="H548">
        <f t="shared" si="34"/>
        <v>0</v>
      </c>
      <c r="I548">
        <f t="shared" si="34"/>
        <v>0</v>
      </c>
      <c r="J548">
        <f t="shared" si="34"/>
        <v>0</v>
      </c>
      <c r="K548">
        <f t="shared" si="34"/>
        <v>0</v>
      </c>
      <c r="L548">
        <f t="shared" si="34"/>
        <v>0</v>
      </c>
      <c r="M548">
        <f t="shared" si="34"/>
        <v>0</v>
      </c>
      <c r="N548">
        <f t="shared" si="34"/>
        <v>0</v>
      </c>
      <c r="O548">
        <f t="shared" si="34"/>
        <v>0</v>
      </c>
      <c r="P548">
        <f t="shared" si="34"/>
        <v>0</v>
      </c>
      <c r="Q548">
        <f t="shared" si="34"/>
        <v>0</v>
      </c>
      <c r="R548">
        <f t="shared" si="34"/>
        <v>0</v>
      </c>
      <c r="S548">
        <f t="shared" si="34"/>
        <v>0</v>
      </c>
      <c r="T548">
        <f t="shared" si="34"/>
        <v>0</v>
      </c>
      <c r="U548">
        <f t="shared" si="34"/>
        <v>0</v>
      </c>
      <c r="V548">
        <f t="shared" si="34"/>
        <v>0</v>
      </c>
      <c r="W548">
        <f t="shared" si="34"/>
        <v>0</v>
      </c>
      <c r="X548">
        <f t="shared" si="34"/>
        <v>0</v>
      </c>
      <c r="Y548">
        <f t="shared" si="34"/>
        <v>0</v>
      </c>
      <c r="Z548">
        <f t="shared" si="34"/>
        <v>0</v>
      </c>
      <c r="AA548">
        <f t="shared" si="34"/>
        <v>0</v>
      </c>
      <c r="AB548">
        <f t="shared" si="34"/>
        <v>0</v>
      </c>
      <c r="AC548">
        <f t="shared" si="34"/>
        <v>0</v>
      </c>
      <c r="AD548">
        <f t="shared" si="34"/>
        <v>0</v>
      </c>
      <c r="AE548">
        <f t="shared" si="34"/>
        <v>0</v>
      </c>
      <c r="AF548">
        <f t="shared" si="34"/>
        <v>0</v>
      </c>
      <c r="AG548">
        <f t="shared" si="34"/>
        <v>0</v>
      </c>
      <c r="AH548" t="s">
        <v>140</v>
      </c>
    </row>
    <row r="549" spans="1:57" x14ac:dyDescent="0.25">
      <c r="A549" t="s">
        <v>40</v>
      </c>
      <c r="B549">
        <f>COUNTIF(B$3:B$53,"&gt;=23")</f>
        <v>15</v>
      </c>
      <c r="C549">
        <f t="shared" ref="C549:AG549" si="35">COUNTIF(C$3:C$53,"&gt;=23")</f>
        <v>13</v>
      </c>
      <c r="D549">
        <f t="shared" si="35"/>
        <v>12</v>
      </c>
      <c r="E549">
        <f t="shared" si="35"/>
        <v>11</v>
      </c>
      <c r="F549">
        <f t="shared" si="35"/>
        <v>4</v>
      </c>
      <c r="G549">
        <f t="shared" si="35"/>
        <v>4</v>
      </c>
      <c r="H549">
        <f t="shared" si="35"/>
        <v>0</v>
      </c>
      <c r="I549">
        <f t="shared" si="35"/>
        <v>0</v>
      </c>
      <c r="J549">
        <f t="shared" si="35"/>
        <v>26</v>
      </c>
      <c r="K549">
        <f t="shared" si="35"/>
        <v>19</v>
      </c>
      <c r="L549">
        <f t="shared" si="35"/>
        <v>29</v>
      </c>
      <c r="M549">
        <f t="shared" si="35"/>
        <v>7</v>
      </c>
      <c r="N549">
        <f t="shared" si="35"/>
        <v>13</v>
      </c>
      <c r="O549">
        <f t="shared" si="35"/>
        <v>23</v>
      </c>
      <c r="P549">
        <f t="shared" si="35"/>
        <v>16</v>
      </c>
      <c r="Q549">
        <f t="shared" si="35"/>
        <v>8</v>
      </c>
      <c r="R549">
        <f t="shared" si="35"/>
        <v>25</v>
      </c>
      <c r="S549">
        <f t="shared" si="35"/>
        <v>6</v>
      </c>
      <c r="T549">
        <f t="shared" si="35"/>
        <v>14</v>
      </c>
      <c r="U549">
        <f t="shared" si="35"/>
        <v>9</v>
      </c>
      <c r="V549">
        <f t="shared" si="35"/>
        <v>13</v>
      </c>
      <c r="W549">
        <f t="shared" si="35"/>
        <v>8</v>
      </c>
      <c r="X549">
        <f t="shared" si="35"/>
        <v>12</v>
      </c>
      <c r="Y549">
        <f t="shared" si="35"/>
        <v>42</v>
      </c>
      <c r="Z549">
        <f t="shared" si="35"/>
        <v>19</v>
      </c>
      <c r="AA549">
        <f t="shared" si="35"/>
        <v>47</v>
      </c>
      <c r="AB549">
        <f t="shared" si="35"/>
        <v>43</v>
      </c>
      <c r="AC549">
        <f t="shared" si="35"/>
        <v>35</v>
      </c>
      <c r="AD549">
        <f t="shared" si="35"/>
        <v>32</v>
      </c>
      <c r="AE549">
        <f t="shared" si="35"/>
        <v>34</v>
      </c>
      <c r="AF549">
        <f t="shared" si="35"/>
        <v>51</v>
      </c>
      <c r="AG549">
        <f t="shared" si="35"/>
        <v>44</v>
      </c>
      <c r="AH549" t="s">
        <v>141</v>
      </c>
    </row>
    <row r="550" spans="1:57" x14ac:dyDescent="0.25">
      <c r="A550" t="s">
        <v>41</v>
      </c>
      <c r="B550">
        <f>COUNTIF(B$236:B$418,"&gt;=23")</f>
        <v>0</v>
      </c>
      <c r="C550">
        <f t="shared" ref="C550:AG550" si="36">COUNTIF(C$236:C$418,"&gt;=23")</f>
        <v>1</v>
      </c>
      <c r="D550">
        <f t="shared" si="36"/>
        <v>0</v>
      </c>
      <c r="E550">
        <f t="shared" si="36"/>
        <v>0</v>
      </c>
      <c r="F550">
        <f t="shared" si="36"/>
        <v>0</v>
      </c>
      <c r="G550">
        <f t="shared" si="36"/>
        <v>0</v>
      </c>
      <c r="H550">
        <f t="shared" si="36"/>
        <v>0</v>
      </c>
      <c r="I550">
        <f t="shared" si="36"/>
        <v>0</v>
      </c>
      <c r="J550">
        <f t="shared" si="36"/>
        <v>71</v>
      </c>
      <c r="K550">
        <f t="shared" si="36"/>
        <v>57</v>
      </c>
      <c r="L550">
        <f t="shared" si="36"/>
        <v>78</v>
      </c>
      <c r="M550">
        <f t="shared" si="36"/>
        <v>0</v>
      </c>
      <c r="N550">
        <f t="shared" si="36"/>
        <v>0</v>
      </c>
      <c r="O550">
        <f t="shared" si="36"/>
        <v>67</v>
      </c>
      <c r="P550">
        <f t="shared" si="36"/>
        <v>42</v>
      </c>
      <c r="Q550">
        <f t="shared" si="36"/>
        <v>0</v>
      </c>
      <c r="R550">
        <f t="shared" si="36"/>
        <v>61</v>
      </c>
      <c r="S550">
        <f t="shared" si="36"/>
        <v>2</v>
      </c>
      <c r="T550">
        <f t="shared" si="36"/>
        <v>20</v>
      </c>
      <c r="U550">
        <f t="shared" si="36"/>
        <v>79</v>
      </c>
      <c r="V550">
        <f t="shared" si="36"/>
        <v>43</v>
      </c>
      <c r="W550">
        <f t="shared" si="36"/>
        <v>76</v>
      </c>
      <c r="X550">
        <f t="shared" si="36"/>
        <v>60</v>
      </c>
      <c r="Y550">
        <f t="shared" si="36"/>
        <v>99</v>
      </c>
      <c r="Z550">
        <f t="shared" si="36"/>
        <v>89</v>
      </c>
      <c r="AA550">
        <f t="shared" si="36"/>
        <v>113</v>
      </c>
      <c r="AB550">
        <f t="shared" si="36"/>
        <v>99</v>
      </c>
      <c r="AC550">
        <f t="shared" si="36"/>
        <v>69</v>
      </c>
      <c r="AD550">
        <f t="shared" si="36"/>
        <v>89</v>
      </c>
      <c r="AE550">
        <f t="shared" si="36"/>
        <v>8</v>
      </c>
      <c r="AF550">
        <f t="shared" si="36"/>
        <v>107</v>
      </c>
      <c r="AG550">
        <f t="shared" si="36"/>
        <v>103</v>
      </c>
      <c r="AH550" t="s">
        <v>142</v>
      </c>
    </row>
    <row r="551" spans="1:57" x14ac:dyDescent="0.25">
      <c r="A551" t="s">
        <v>42</v>
      </c>
      <c r="B551">
        <f>SUM(B547,B548)</f>
        <v>0</v>
      </c>
      <c r="C551">
        <f t="shared" ref="C551:AG551" si="37">SUM(C547,C548)</f>
        <v>0</v>
      </c>
      <c r="D551">
        <f t="shared" si="37"/>
        <v>0</v>
      </c>
      <c r="E551">
        <f t="shared" si="37"/>
        <v>0</v>
      </c>
      <c r="F551">
        <f t="shared" si="37"/>
        <v>0</v>
      </c>
      <c r="G551">
        <f t="shared" si="37"/>
        <v>0</v>
      </c>
      <c r="H551">
        <f t="shared" si="37"/>
        <v>0</v>
      </c>
      <c r="I551">
        <f t="shared" si="37"/>
        <v>0</v>
      </c>
      <c r="J551">
        <f t="shared" si="37"/>
        <v>0</v>
      </c>
      <c r="K551">
        <f t="shared" si="37"/>
        <v>0</v>
      </c>
      <c r="L551">
        <f t="shared" si="37"/>
        <v>0</v>
      </c>
      <c r="M551">
        <f t="shared" si="37"/>
        <v>0</v>
      </c>
      <c r="N551">
        <f t="shared" si="37"/>
        <v>0</v>
      </c>
      <c r="O551">
        <f t="shared" si="37"/>
        <v>0</v>
      </c>
      <c r="P551">
        <f t="shared" si="37"/>
        <v>0</v>
      </c>
      <c r="Q551">
        <f t="shared" si="37"/>
        <v>0</v>
      </c>
      <c r="R551">
        <f t="shared" si="37"/>
        <v>0</v>
      </c>
      <c r="S551">
        <f t="shared" si="37"/>
        <v>0</v>
      </c>
      <c r="T551">
        <f t="shared" si="37"/>
        <v>0</v>
      </c>
      <c r="U551">
        <f t="shared" si="37"/>
        <v>0</v>
      </c>
      <c r="V551">
        <f t="shared" si="37"/>
        <v>0</v>
      </c>
      <c r="W551">
        <f t="shared" si="37"/>
        <v>0</v>
      </c>
      <c r="X551">
        <f t="shared" si="37"/>
        <v>0</v>
      </c>
      <c r="Y551">
        <f t="shared" si="37"/>
        <v>3</v>
      </c>
      <c r="Z551">
        <f t="shared" si="37"/>
        <v>0</v>
      </c>
      <c r="AA551">
        <f t="shared" si="37"/>
        <v>3</v>
      </c>
      <c r="AB551">
        <f t="shared" si="37"/>
        <v>2</v>
      </c>
      <c r="AC551">
        <f t="shared" si="37"/>
        <v>0</v>
      </c>
      <c r="AD551">
        <f t="shared" si="37"/>
        <v>0</v>
      </c>
      <c r="AE551">
        <f t="shared" si="37"/>
        <v>0</v>
      </c>
      <c r="AF551">
        <f t="shared" si="37"/>
        <v>8</v>
      </c>
      <c r="AG551">
        <f t="shared" si="37"/>
        <v>1</v>
      </c>
    </row>
    <row r="552" spans="1:57" x14ac:dyDescent="0.25">
      <c r="A552" t="s">
        <v>43</v>
      </c>
      <c r="B552">
        <f>SUM(B549,B550)</f>
        <v>15</v>
      </c>
      <c r="C552">
        <f t="shared" ref="C552:AG552" si="38">SUM(C549,C550)</f>
        <v>14</v>
      </c>
      <c r="D552">
        <f t="shared" si="38"/>
        <v>12</v>
      </c>
      <c r="E552">
        <f t="shared" si="38"/>
        <v>11</v>
      </c>
      <c r="F552">
        <f t="shared" si="38"/>
        <v>4</v>
      </c>
      <c r="G552">
        <f t="shared" si="38"/>
        <v>4</v>
      </c>
      <c r="H552">
        <f t="shared" si="38"/>
        <v>0</v>
      </c>
      <c r="I552">
        <f t="shared" si="38"/>
        <v>0</v>
      </c>
      <c r="J552">
        <f t="shared" si="38"/>
        <v>97</v>
      </c>
      <c r="K552">
        <f t="shared" si="38"/>
        <v>76</v>
      </c>
      <c r="L552">
        <f t="shared" si="38"/>
        <v>107</v>
      </c>
      <c r="M552">
        <f t="shared" si="38"/>
        <v>7</v>
      </c>
      <c r="N552">
        <f t="shared" si="38"/>
        <v>13</v>
      </c>
      <c r="O552">
        <f t="shared" si="38"/>
        <v>90</v>
      </c>
      <c r="P552">
        <f t="shared" si="38"/>
        <v>58</v>
      </c>
      <c r="Q552">
        <f t="shared" si="38"/>
        <v>8</v>
      </c>
      <c r="R552">
        <f t="shared" si="38"/>
        <v>86</v>
      </c>
      <c r="S552">
        <f t="shared" si="38"/>
        <v>8</v>
      </c>
      <c r="T552">
        <f t="shared" si="38"/>
        <v>34</v>
      </c>
      <c r="U552">
        <f t="shared" si="38"/>
        <v>88</v>
      </c>
      <c r="V552">
        <f t="shared" si="38"/>
        <v>56</v>
      </c>
      <c r="W552">
        <f t="shared" si="38"/>
        <v>84</v>
      </c>
      <c r="X552">
        <f t="shared" si="38"/>
        <v>72</v>
      </c>
      <c r="Y552">
        <f t="shared" si="38"/>
        <v>141</v>
      </c>
      <c r="Z552">
        <f t="shared" si="38"/>
        <v>108</v>
      </c>
      <c r="AA552">
        <f t="shared" si="38"/>
        <v>160</v>
      </c>
      <c r="AB552">
        <f t="shared" si="38"/>
        <v>142</v>
      </c>
      <c r="AC552">
        <f t="shared" si="38"/>
        <v>104</v>
      </c>
      <c r="AD552">
        <f t="shared" si="38"/>
        <v>121</v>
      </c>
      <c r="AE552">
        <f t="shared" si="38"/>
        <v>42</v>
      </c>
      <c r="AF552">
        <f t="shared" si="38"/>
        <v>158</v>
      </c>
      <c r="AG552">
        <f t="shared" si="38"/>
        <v>147</v>
      </c>
    </row>
    <row r="555" spans="1:57" x14ac:dyDescent="0.25">
      <c r="D555" t="s">
        <v>72</v>
      </c>
      <c r="F555" t="s">
        <v>79</v>
      </c>
      <c r="S555" t="s">
        <v>95</v>
      </c>
      <c r="AA555" t="s">
        <v>95</v>
      </c>
      <c r="AE555" t="s">
        <v>95</v>
      </c>
      <c r="AI555" t="s">
        <v>95</v>
      </c>
      <c r="AQ555" t="s">
        <v>95</v>
      </c>
      <c r="AY555" t="s">
        <v>95</v>
      </c>
    </row>
    <row r="556" spans="1:57" x14ac:dyDescent="0.25">
      <c r="F556" t="s">
        <v>45</v>
      </c>
      <c r="S556" t="s">
        <v>46</v>
      </c>
      <c r="AA556" t="s">
        <v>47</v>
      </c>
      <c r="AE556" t="s">
        <v>48</v>
      </c>
      <c r="AI556" t="s">
        <v>46</v>
      </c>
      <c r="AK556" t="s">
        <v>49</v>
      </c>
      <c r="AL556" t="s">
        <v>33</v>
      </c>
      <c r="AM556" t="s">
        <v>34</v>
      </c>
      <c r="AN556" t="s">
        <v>35</v>
      </c>
      <c r="AO556" t="s">
        <v>36</v>
      </c>
      <c r="AQ556" t="s">
        <v>47</v>
      </c>
      <c r="AS556" t="s">
        <v>49</v>
      </c>
      <c r="AT556" t="s">
        <v>33</v>
      </c>
      <c r="AU556" t="s">
        <v>34</v>
      </c>
      <c r="AV556" t="s">
        <v>35</v>
      </c>
      <c r="AW556" t="s">
        <v>36</v>
      </c>
      <c r="AY556" t="s">
        <v>48</v>
      </c>
      <c r="BA556" t="s">
        <v>49</v>
      </c>
      <c r="BB556" t="s">
        <v>33</v>
      </c>
      <c r="BC556" t="s">
        <v>34</v>
      </c>
      <c r="BD556" t="s">
        <v>35</v>
      </c>
      <c r="BE556" t="s">
        <v>36</v>
      </c>
    </row>
    <row r="557" spans="1:57" x14ac:dyDescent="0.25">
      <c r="F557" t="s">
        <v>50</v>
      </c>
      <c r="M557" t="s">
        <v>51</v>
      </c>
      <c r="S557" t="s">
        <v>52</v>
      </c>
      <c r="U557">
        <f>COUNTIF(B35:AG35,"&lt;&gt;")</f>
        <v>32</v>
      </c>
      <c r="AA557" t="s">
        <v>52</v>
      </c>
      <c r="AC557">
        <f>COUNTIF(B35:AG35,"&lt;&gt;")</f>
        <v>32</v>
      </c>
      <c r="AE557" t="s">
        <v>52</v>
      </c>
      <c r="AG557">
        <f>COUNTIF(B35:AG35,"&lt;&gt;")</f>
        <v>32</v>
      </c>
      <c r="AI557" t="s">
        <v>52</v>
      </c>
      <c r="AK557">
        <f>COUNTIF($B$2:$AG$2,"&lt;&gt;")</f>
        <v>32</v>
      </c>
      <c r="AL557">
        <f>COUNTIF($B$2:$I$2,"&lt;&gt;")</f>
        <v>8</v>
      </c>
      <c r="AM557">
        <f>COUNTIF($J$2:$R$2,"&lt;&gt;")</f>
        <v>9</v>
      </c>
      <c r="AN557">
        <f>COUNTIF($S$2:$X$2,"&lt;&gt;")</f>
        <v>6</v>
      </c>
      <c r="AO557">
        <f>COUNTIF($Y$2:$AG$2,"&lt;&gt;")</f>
        <v>9</v>
      </c>
      <c r="AQ557" t="s">
        <v>52</v>
      </c>
      <c r="AS557">
        <f>COUNTIF($B$2:$AG$2,"&lt;&gt;")</f>
        <v>32</v>
      </c>
      <c r="AT557">
        <f>COUNTIF($B$2:$I$2,"&lt;&gt;")</f>
        <v>8</v>
      </c>
      <c r="AU557">
        <f>COUNTIF($J$2:$R$2,"&lt;&gt;")</f>
        <v>9</v>
      </c>
      <c r="AV557">
        <f>COUNTIF($S$2:$X$2,"&lt;&gt;")</f>
        <v>6</v>
      </c>
      <c r="AW557">
        <f>COUNTIF($Y$2:$AG$2,"&lt;&gt;")</f>
        <v>9</v>
      </c>
      <c r="AY557" t="s">
        <v>52</v>
      </c>
      <c r="BA557">
        <f>COUNTIF($B$2:$AG$2,"&lt;&gt;")</f>
        <v>32</v>
      </c>
      <c r="BB557">
        <f>COUNTIF($B$2:$I$2,"&lt;&gt;")</f>
        <v>8</v>
      </c>
      <c r="BC557">
        <f>COUNTIF($J$2:$R$2,"&lt;&gt;")</f>
        <v>9</v>
      </c>
      <c r="BD557">
        <f>COUNTIF($S$2:$X$2,"&lt;&gt;")</f>
        <v>6</v>
      </c>
      <c r="BE557">
        <f>COUNTIF($Y$2:$AG$2,"&lt;&gt;")</f>
        <v>9</v>
      </c>
    </row>
    <row r="558" spans="1:57" x14ac:dyDescent="0.25">
      <c r="F558" t="s">
        <v>53</v>
      </c>
      <c r="H558" t="s">
        <v>134</v>
      </c>
      <c r="J558">
        <f>COUNTIF($B$54:$B$235,"&lt;&gt;")</f>
        <v>182</v>
      </c>
      <c r="M558" t="s">
        <v>54</v>
      </c>
      <c r="S558" t="s">
        <v>55</v>
      </c>
      <c r="U558">
        <f>COUNTIF($A$3:$A$511,"&lt;&gt;")</f>
        <v>509</v>
      </c>
      <c r="AA558" t="s">
        <v>55</v>
      </c>
      <c r="AC558">
        <f>SUM($J$524:$J$525)</f>
        <v>275</v>
      </c>
      <c r="AE558" t="s">
        <v>55</v>
      </c>
      <c r="AG558">
        <f>SUM($Q$525:$Q$526)</f>
        <v>234</v>
      </c>
      <c r="AI558" t="s">
        <v>55</v>
      </c>
      <c r="AK558">
        <f>COUNTIF($A$3:$A$511,"&lt;&gt;")</f>
        <v>509</v>
      </c>
      <c r="AL558">
        <f t="shared" ref="AL558:AO558" si="39">COUNTIF($A$3:$A$511,"&lt;&gt;")</f>
        <v>509</v>
      </c>
      <c r="AM558">
        <f t="shared" si="39"/>
        <v>509</v>
      </c>
      <c r="AN558">
        <f t="shared" si="39"/>
        <v>509</v>
      </c>
      <c r="AO558">
        <f t="shared" si="39"/>
        <v>509</v>
      </c>
      <c r="AQ558" t="s">
        <v>55</v>
      </c>
      <c r="AS558">
        <f>SUM($J$524:$J$525)</f>
        <v>275</v>
      </c>
      <c r="AT558">
        <f t="shared" ref="AT558:AW558" si="40">SUM($J$524:$J$525)</f>
        <v>275</v>
      </c>
      <c r="AU558">
        <f t="shared" si="40"/>
        <v>275</v>
      </c>
      <c r="AV558">
        <f t="shared" si="40"/>
        <v>275</v>
      </c>
      <c r="AW558">
        <f t="shared" si="40"/>
        <v>275</v>
      </c>
      <c r="AY558" t="s">
        <v>55</v>
      </c>
      <c r="BA558">
        <f>SUM($Q$525:$Q$526)</f>
        <v>234</v>
      </c>
      <c r="BB558">
        <f t="shared" ref="BB558:BE558" si="41">SUM($Q$525:$Q$526)</f>
        <v>234</v>
      </c>
      <c r="BC558">
        <f t="shared" si="41"/>
        <v>234</v>
      </c>
      <c r="BD558">
        <f t="shared" si="41"/>
        <v>234</v>
      </c>
      <c r="BE558">
        <f t="shared" si="41"/>
        <v>234</v>
      </c>
    </row>
    <row r="559" spans="1:57" x14ac:dyDescent="0.25">
      <c r="F559" t="s">
        <v>56</v>
      </c>
      <c r="H559" t="s">
        <v>135</v>
      </c>
      <c r="J559">
        <f>COUNTIF($B$419:$B$511,"&lt;&gt;")</f>
        <v>93</v>
      </c>
      <c r="M559" t="s">
        <v>57</v>
      </c>
      <c r="O559" t="s">
        <v>137</v>
      </c>
      <c r="Q559">
        <f>COUNTIF($B$3:$B$53,"&lt;&gt;")</f>
        <v>51</v>
      </c>
      <c r="S559" t="s">
        <v>58</v>
      </c>
      <c r="U559">
        <f>U558*U557</f>
        <v>16288</v>
      </c>
      <c r="V559" t="s">
        <v>59</v>
      </c>
      <c r="AA559" t="s">
        <v>58</v>
      </c>
      <c r="AC559">
        <f>AC558*AC557</f>
        <v>8800</v>
      </c>
      <c r="AE559" t="s">
        <v>58</v>
      </c>
      <c r="AG559">
        <f>AG557*AG558</f>
        <v>7488</v>
      </c>
      <c r="AI559" t="s">
        <v>58</v>
      </c>
      <c r="AK559">
        <f>AK558*AK557</f>
        <v>16288</v>
      </c>
      <c r="AL559">
        <f t="shared" ref="AL559:AO559" si="42">AL558*AL557</f>
        <v>4072</v>
      </c>
      <c r="AM559">
        <f t="shared" si="42"/>
        <v>4581</v>
      </c>
      <c r="AN559">
        <f t="shared" si="42"/>
        <v>3054</v>
      </c>
      <c r="AO559">
        <f t="shared" si="42"/>
        <v>4581</v>
      </c>
      <c r="AQ559" t="s">
        <v>58</v>
      </c>
      <c r="AS559">
        <f>AS558*AS557</f>
        <v>8800</v>
      </c>
      <c r="AT559">
        <f t="shared" ref="AT559:AW559" si="43">AT558*AT557</f>
        <v>2200</v>
      </c>
      <c r="AU559">
        <f t="shared" si="43"/>
        <v>2475</v>
      </c>
      <c r="AV559">
        <f t="shared" si="43"/>
        <v>1650</v>
      </c>
      <c r="AW559">
        <f t="shared" si="43"/>
        <v>2475</v>
      </c>
      <c r="AY559" t="s">
        <v>58</v>
      </c>
      <c r="BA559">
        <f>BA558*BA557</f>
        <v>7488</v>
      </c>
      <c r="BB559">
        <f t="shared" ref="BB559:BE559" si="44">BB558*BB557</f>
        <v>1872</v>
      </c>
      <c r="BC559">
        <f t="shared" si="44"/>
        <v>2106</v>
      </c>
      <c r="BD559">
        <f t="shared" si="44"/>
        <v>1404</v>
      </c>
      <c r="BE559">
        <f t="shared" si="44"/>
        <v>2106</v>
      </c>
    </row>
    <row r="560" spans="1:57" x14ac:dyDescent="0.25">
      <c r="F560" t="s">
        <v>60</v>
      </c>
      <c r="H560" t="s">
        <v>136</v>
      </c>
      <c r="J560">
        <f>COUNTIF($A$737:$A$798,"&lt;&gt;")</f>
        <v>0</v>
      </c>
      <c r="M560" t="s">
        <v>61</v>
      </c>
      <c r="O560" t="s">
        <v>138</v>
      </c>
      <c r="Q560">
        <f>COUNTIF($B$236:$B$418,"&lt;&gt;")</f>
        <v>183</v>
      </c>
      <c r="S560" t="s">
        <v>80</v>
      </c>
      <c r="U560">
        <f>SUM(B546:AG546)</f>
        <v>2084</v>
      </c>
      <c r="V560" t="s">
        <v>63</v>
      </c>
      <c r="AA560" t="s">
        <v>80</v>
      </c>
      <c r="AC560">
        <f>SUM(B551:AG551)</f>
        <v>17</v>
      </c>
      <c r="AE560" t="s">
        <v>80</v>
      </c>
      <c r="AG560">
        <f>SUM(B552:AG552)</f>
        <v>2067</v>
      </c>
      <c r="AI560" t="s">
        <v>80</v>
      </c>
      <c r="AK560">
        <f>SUM(B546:AG546)</f>
        <v>2084</v>
      </c>
      <c r="AL560">
        <f>SUM(B546:I546)</f>
        <v>60</v>
      </c>
      <c r="AM560">
        <f>SUM(J546:R546)</f>
        <v>542</v>
      </c>
      <c r="AN560">
        <f>SUM(S546:X546)</f>
        <v>342</v>
      </c>
      <c r="AO560">
        <f>SUM(Y546:AG546)</f>
        <v>1140</v>
      </c>
      <c r="AQ560" t="s">
        <v>80</v>
      </c>
      <c r="AS560">
        <f>SUM(B551:AG551)</f>
        <v>17</v>
      </c>
      <c r="AT560">
        <f>SUM(B551:I551)</f>
        <v>0</v>
      </c>
      <c r="AU560">
        <f>SUM(J551:R551)</f>
        <v>0</v>
      </c>
      <c r="AV560">
        <f>SUM(S551:X551)</f>
        <v>0</v>
      </c>
      <c r="AW560">
        <f>SUM(Y551:AG551)</f>
        <v>17</v>
      </c>
      <c r="AY560" t="s">
        <v>80</v>
      </c>
      <c r="BA560">
        <f>SUM($B552:$AG552)</f>
        <v>2067</v>
      </c>
      <c r="BB560">
        <f>SUM(B552:I552)</f>
        <v>60</v>
      </c>
      <c r="BC560">
        <f>SUM(J552:R552)</f>
        <v>542</v>
      </c>
      <c r="BD560">
        <f>SUM(S552:X552)</f>
        <v>342</v>
      </c>
      <c r="BE560">
        <f>SUM(Y552:AG552)</f>
        <v>1123</v>
      </c>
    </row>
    <row r="561" spans="1:57" x14ac:dyDescent="0.25">
      <c r="S561" t="s">
        <v>64</v>
      </c>
      <c r="U561">
        <f>$U560/$U559</f>
        <v>0.12794695481335952</v>
      </c>
      <c r="AA561" t="s">
        <v>65</v>
      </c>
      <c r="AC561">
        <f>AC560/AC559</f>
        <v>1.9318181818181819E-3</v>
      </c>
      <c r="AE561" t="s">
        <v>66</v>
      </c>
      <c r="AG561">
        <f>AG560/AG559</f>
        <v>0.27604166666666669</v>
      </c>
      <c r="AI561" t="s">
        <v>64</v>
      </c>
      <c r="AK561">
        <f>AK560/AK559</f>
        <v>0.12794695481335952</v>
      </c>
      <c r="AL561">
        <f t="shared" ref="AL561:AO561" si="45">AL560/AL559</f>
        <v>1.4734774066797643E-2</v>
      </c>
      <c r="AM561">
        <f t="shared" si="45"/>
        <v>0.11831477843265663</v>
      </c>
      <c r="AN561">
        <f t="shared" si="45"/>
        <v>0.11198428290766209</v>
      </c>
      <c r="AO561">
        <f t="shared" si="45"/>
        <v>0.24885396201702684</v>
      </c>
      <c r="AQ561" t="s">
        <v>65</v>
      </c>
      <c r="AS561">
        <f>AS560/AS559</f>
        <v>1.9318181818181819E-3</v>
      </c>
      <c r="AT561">
        <f t="shared" ref="AT561:AW561" si="46">AT560/AT559</f>
        <v>0</v>
      </c>
      <c r="AU561">
        <f t="shared" si="46"/>
        <v>0</v>
      </c>
      <c r="AV561">
        <f t="shared" si="46"/>
        <v>0</v>
      </c>
      <c r="AW561">
        <f t="shared" si="46"/>
        <v>6.8686868686868687E-3</v>
      </c>
      <c r="AY561" t="s">
        <v>66</v>
      </c>
      <c r="BA561">
        <f>BA560/BA559</f>
        <v>0.27604166666666669</v>
      </c>
      <c r="BB561">
        <f t="shared" ref="BB561:BE561" si="47">BB560/BB559</f>
        <v>3.2051282051282048E-2</v>
      </c>
      <c r="BC561">
        <f t="shared" si="47"/>
        <v>0.25735992402659069</v>
      </c>
      <c r="BD561">
        <f t="shared" si="47"/>
        <v>0.24358974358974358</v>
      </c>
      <c r="BE561">
        <f t="shared" si="47"/>
        <v>0.53323836657169987</v>
      </c>
    </row>
    <row r="563" spans="1:57" x14ac:dyDescent="0.25">
      <c r="A563" t="s">
        <v>37</v>
      </c>
      <c r="B563">
        <f>COUNTIF(B$3:B$511,"&gt;=18.42")</f>
        <v>213</v>
      </c>
      <c r="C563">
        <f t="shared" ref="C563:AG563" si="48">COUNTIF(C$3:C$511,"&gt;=18.42")</f>
        <v>221</v>
      </c>
      <c r="D563">
        <f t="shared" si="48"/>
        <v>211</v>
      </c>
      <c r="E563">
        <f t="shared" si="48"/>
        <v>209</v>
      </c>
      <c r="F563">
        <f t="shared" si="48"/>
        <v>212</v>
      </c>
      <c r="G563">
        <f t="shared" si="48"/>
        <v>216</v>
      </c>
      <c r="H563">
        <f t="shared" si="48"/>
        <v>184</v>
      </c>
      <c r="I563">
        <f t="shared" si="48"/>
        <v>189</v>
      </c>
      <c r="J563">
        <f t="shared" si="48"/>
        <v>230</v>
      </c>
      <c r="K563">
        <f t="shared" si="48"/>
        <v>237</v>
      </c>
      <c r="L563">
        <f t="shared" si="48"/>
        <v>241</v>
      </c>
      <c r="M563">
        <f t="shared" si="48"/>
        <v>217</v>
      </c>
      <c r="N563">
        <f t="shared" si="48"/>
        <v>228</v>
      </c>
      <c r="O563">
        <f t="shared" si="48"/>
        <v>237</v>
      </c>
      <c r="P563">
        <f t="shared" si="48"/>
        <v>236</v>
      </c>
      <c r="Q563">
        <f t="shared" si="48"/>
        <v>218</v>
      </c>
      <c r="R563">
        <f t="shared" si="48"/>
        <v>237</v>
      </c>
      <c r="S563">
        <f t="shared" si="48"/>
        <v>171</v>
      </c>
      <c r="T563">
        <f t="shared" si="48"/>
        <v>230</v>
      </c>
      <c r="U563">
        <f t="shared" si="48"/>
        <v>232</v>
      </c>
      <c r="V563">
        <f t="shared" si="48"/>
        <v>229</v>
      </c>
      <c r="W563">
        <f t="shared" si="48"/>
        <v>225</v>
      </c>
      <c r="X563">
        <f t="shared" si="48"/>
        <v>230</v>
      </c>
      <c r="Y563">
        <f t="shared" si="48"/>
        <v>231</v>
      </c>
      <c r="Z563">
        <f t="shared" si="48"/>
        <v>243</v>
      </c>
      <c r="AA563">
        <f t="shared" si="48"/>
        <v>250</v>
      </c>
      <c r="AB563">
        <f t="shared" si="48"/>
        <v>234</v>
      </c>
      <c r="AC563">
        <f t="shared" si="48"/>
        <v>212</v>
      </c>
      <c r="AD563">
        <f t="shared" si="48"/>
        <v>243</v>
      </c>
      <c r="AE563">
        <f t="shared" si="48"/>
        <v>230</v>
      </c>
      <c r="AF563">
        <f t="shared" si="48"/>
        <v>243</v>
      </c>
      <c r="AG563">
        <f t="shared" si="48"/>
        <v>245</v>
      </c>
    </row>
    <row r="564" spans="1:57" x14ac:dyDescent="0.25">
      <c r="A564" t="s">
        <v>38</v>
      </c>
      <c r="B564">
        <f>COUNTIF(B$54:B$235,"&gt;=18.42")</f>
        <v>23</v>
      </c>
      <c r="C564">
        <f t="shared" ref="C564:AG564" si="49">COUNTIF(C$54:C$235,"&gt;=18.42")</f>
        <v>24</v>
      </c>
      <c r="D564">
        <f t="shared" si="49"/>
        <v>24</v>
      </c>
      <c r="E564">
        <f t="shared" si="49"/>
        <v>23</v>
      </c>
      <c r="F564">
        <f t="shared" si="49"/>
        <v>23</v>
      </c>
      <c r="G564">
        <f t="shared" si="49"/>
        <v>24</v>
      </c>
      <c r="H564">
        <f t="shared" si="49"/>
        <v>22</v>
      </c>
      <c r="I564">
        <f t="shared" si="49"/>
        <v>12</v>
      </c>
      <c r="J564">
        <f t="shared" si="49"/>
        <v>23</v>
      </c>
      <c r="K564">
        <f t="shared" si="49"/>
        <v>25</v>
      </c>
      <c r="L564">
        <f t="shared" si="49"/>
        <v>25</v>
      </c>
      <c r="M564">
        <f t="shared" si="49"/>
        <v>24</v>
      </c>
      <c r="N564">
        <f t="shared" si="49"/>
        <v>24</v>
      </c>
      <c r="O564">
        <f t="shared" si="49"/>
        <v>25</v>
      </c>
      <c r="P564">
        <f t="shared" si="49"/>
        <v>25</v>
      </c>
      <c r="Q564">
        <f t="shared" si="49"/>
        <v>25</v>
      </c>
      <c r="R564">
        <f t="shared" si="49"/>
        <v>25</v>
      </c>
      <c r="S564">
        <f t="shared" si="49"/>
        <v>6</v>
      </c>
      <c r="T564">
        <f t="shared" si="49"/>
        <v>23</v>
      </c>
      <c r="U564">
        <f t="shared" si="49"/>
        <v>14</v>
      </c>
      <c r="V564">
        <f t="shared" si="49"/>
        <v>22</v>
      </c>
      <c r="W564">
        <f t="shared" si="49"/>
        <v>11</v>
      </c>
      <c r="X564">
        <f t="shared" si="49"/>
        <v>21</v>
      </c>
      <c r="Y564">
        <f t="shared" si="49"/>
        <v>25</v>
      </c>
      <c r="Z564">
        <f t="shared" si="49"/>
        <v>23</v>
      </c>
      <c r="AA564">
        <f t="shared" si="49"/>
        <v>25</v>
      </c>
      <c r="AB564">
        <f t="shared" si="49"/>
        <v>25</v>
      </c>
      <c r="AC564">
        <f t="shared" si="49"/>
        <v>16</v>
      </c>
      <c r="AD564">
        <f t="shared" si="49"/>
        <v>25</v>
      </c>
      <c r="AE564">
        <f t="shared" si="49"/>
        <v>18</v>
      </c>
      <c r="AF564">
        <f t="shared" si="49"/>
        <v>25</v>
      </c>
      <c r="AG564">
        <f t="shared" si="49"/>
        <v>25</v>
      </c>
      <c r="AH564" t="s">
        <v>139</v>
      </c>
    </row>
    <row r="565" spans="1:57" x14ac:dyDescent="0.25">
      <c r="A565" t="s">
        <v>39</v>
      </c>
      <c r="B565">
        <f>COUNTIF(B$419:B$511,"&gt;=18.42")</f>
        <v>6</v>
      </c>
      <c r="C565">
        <f t="shared" ref="C565:AG565" si="50">COUNTIF(C$419:C$511,"&gt;=18.42")</f>
        <v>7</v>
      </c>
      <c r="D565">
        <f t="shared" si="50"/>
        <v>6</v>
      </c>
      <c r="E565">
        <f t="shared" si="50"/>
        <v>6</v>
      </c>
      <c r="F565">
        <f t="shared" si="50"/>
        <v>6</v>
      </c>
      <c r="G565">
        <f t="shared" si="50"/>
        <v>7</v>
      </c>
      <c r="H565">
        <f t="shared" si="50"/>
        <v>1</v>
      </c>
      <c r="I565">
        <f t="shared" si="50"/>
        <v>5</v>
      </c>
      <c r="J565">
        <f t="shared" si="50"/>
        <v>7</v>
      </c>
      <c r="K565">
        <f t="shared" si="50"/>
        <v>11</v>
      </c>
      <c r="L565">
        <f t="shared" si="50"/>
        <v>10</v>
      </c>
      <c r="M565">
        <f t="shared" si="50"/>
        <v>7</v>
      </c>
      <c r="N565">
        <f t="shared" si="50"/>
        <v>7</v>
      </c>
      <c r="O565">
        <f t="shared" si="50"/>
        <v>10</v>
      </c>
      <c r="P565">
        <f t="shared" si="50"/>
        <v>10</v>
      </c>
      <c r="Q565">
        <f t="shared" si="50"/>
        <v>7</v>
      </c>
      <c r="R565">
        <f t="shared" si="50"/>
        <v>10</v>
      </c>
      <c r="S565">
        <f t="shared" si="50"/>
        <v>0</v>
      </c>
      <c r="T565">
        <f t="shared" si="50"/>
        <v>6</v>
      </c>
      <c r="U565">
        <f t="shared" si="50"/>
        <v>7</v>
      </c>
      <c r="V565">
        <f t="shared" si="50"/>
        <v>6</v>
      </c>
      <c r="W565">
        <f t="shared" si="50"/>
        <v>7</v>
      </c>
      <c r="X565">
        <f t="shared" si="50"/>
        <v>6</v>
      </c>
      <c r="Y565">
        <f t="shared" si="50"/>
        <v>8</v>
      </c>
      <c r="Z565">
        <f t="shared" si="50"/>
        <v>9</v>
      </c>
      <c r="AA565">
        <f t="shared" si="50"/>
        <v>11</v>
      </c>
      <c r="AB565">
        <f t="shared" si="50"/>
        <v>10</v>
      </c>
      <c r="AC565">
        <f t="shared" si="50"/>
        <v>4</v>
      </c>
      <c r="AD565">
        <f t="shared" si="50"/>
        <v>10</v>
      </c>
      <c r="AE565">
        <f t="shared" si="50"/>
        <v>6</v>
      </c>
      <c r="AF565">
        <f t="shared" si="50"/>
        <v>11</v>
      </c>
      <c r="AG565">
        <f t="shared" si="50"/>
        <v>10</v>
      </c>
      <c r="AH565" t="s">
        <v>140</v>
      </c>
    </row>
    <row r="566" spans="1:57" x14ac:dyDescent="0.25">
      <c r="A566" t="s">
        <v>40</v>
      </c>
      <c r="B566">
        <f>COUNTIF(B$3:B$53,"&gt;=18.42")</f>
        <v>51</v>
      </c>
      <c r="C566">
        <f t="shared" ref="C566:AG566" si="51">COUNTIF(C$3:C$53,"&gt;=18.42")</f>
        <v>51</v>
      </c>
      <c r="D566">
        <f t="shared" si="51"/>
        <v>51</v>
      </c>
      <c r="E566">
        <f t="shared" si="51"/>
        <v>51</v>
      </c>
      <c r="F566">
        <f t="shared" si="51"/>
        <v>51</v>
      </c>
      <c r="G566">
        <f t="shared" si="51"/>
        <v>51</v>
      </c>
      <c r="H566">
        <f t="shared" si="51"/>
        <v>51</v>
      </c>
      <c r="I566">
        <f t="shared" si="51"/>
        <v>51</v>
      </c>
      <c r="J566">
        <f t="shared" si="51"/>
        <v>51</v>
      </c>
      <c r="K566">
        <f t="shared" si="51"/>
        <v>51</v>
      </c>
      <c r="L566">
        <f t="shared" si="51"/>
        <v>51</v>
      </c>
      <c r="M566">
        <f t="shared" si="51"/>
        <v>51</v>
      </c>
      <c r="N566">
        <f t="shared" si="51"/>
        <v>51</v>
      </c>
      <c r="O566">
        <f t="shared" si="51"/>
        <v>51</v>
      </c>
      <c r="P566">
        <f t="shared" si="51"/>
        <v>51</v>
      </c>
      <c r="Q566">
        <f t="shared" si="51"/>
        <v>51</v>
      </c>
      <c r="R566">
        <f t="shared" si="51"/>
        <v>51</v>
      </c>
      <c r="S566">
        <f t="shared" si="51"/>
        <v>51</v>
      </c>
      <c r="T566">
        <f t="shared" si="51"/>
        <v>51</v>
      </c>
      <c r="U566">
        <f t="shared" si="51"/>
        <v>51</v>
      </c>
      <c r="V566">
        <f t="shared" si="51"/>
        <v>51</v>
      </c>
      <c r="W566">
        <f t="shared" si="51"/>
        <v>51</v>
      </c>
      <c r="X566">
        <f t="shared" si="51"/>
        <v>51</v>
      </c>
      <c r="Y566">
        <f t="shared" si="51"/>
        <v>51</v>
      </c>
      <c r="Z566">
        <f t="shared" si="51"/>
        <v>51</v>
      </c>
      <c r="AA566">
        <f t="shared" si="51"/>
        <v>51</v>
      </c>
      <c r="AB566">
        <f t="shared" si="51"/>
        <v>51</v>
      </c>
      <c r="AC566">
        <f t="shared" si="51"/>
        <v>51</v>
      </c>
      <c r="AD566">
        <f t="shared" si="51"/>
        <v>51</v>
      </c>
      <c r="AE566">
        <f t="shared" si="51"/>
        <v>51</v>
      </c>
      <c r="AF566">
        <f t="shared" si="51"/>
        <v>51</v>
      </c>
      <c r="AG566">
        <f t="shared" si="51"/>
        <v>51</v>
      </c>
      <c r="AH566" t="s">
        <v>141</v>
      </c>
    </row>
    <row r="567" spans="1:57" x14ac:dyDescent="0.25">
      <c r="A567" t="s">
        <v>41</v>
      </c>
      <c r="B567">
        <f>COUNTIF(B$236:B$418,"&gt;=18.42")</f>
        <v>133</v>
      </c>
      <c r="C567">
        <f t="shared" ref="C567:AG567" si="52">COUNTIF(C$236:C$418,"&gt;=18.42")</f>
        <v>139</v>
      </c>
      <c r="D567">
        <f t="shared" si="52"/>
        <v>130</v>
      </c>
      <c r="E567">
        <f t="shared" si="52"/>
        <v>129</v>
      </c>
      <c r="F567">
        <f t="shared" si="52"/>
        <v>132</v>
      </c>
      <c r="G567">
        <f t="shared" si="52"/>
        <v>134</v>
      </c>
      <c r="H567">
        <f t="shared" si="52"/>
        <v>110</v>
      </c>
      <c r="I567">
        <f t="shared" si="52"/>
        <v>121</v>
      </c>
      <c r="J567">
        <f t="shared" si="52"/>
        <v>149</v>
      </c>
      <c r="K567">
        <f t="shared" si="52"/>
        <v>150</v>
      </c>
      <c r="L567">
        <f t="shared" si="52"/>
        <v>155</v>
      </c>
      <c r="M567">
        <f t="shared" si="52"/>
        <v>135</v>
      </c>
      <c r="N567">
        <f t="shared" si="52"/>
        <v>146</v>
      </c>
      <c r="O567">
        <f t="shared" si="52"/>
        <v>151</v>
      </c>
      <c r="P567">
        <f t="shared" si="52"/>
        <v>150</v>
      </c>
      <c r="Q567">
        <f t="shared" si="52"/>
        <v>135</v>
      </c>
      <c r="R567">
        <f t="shared" si="52"/>
        <v>151</v>
      </c>
      <c r="S567">
        <f t="shared" si="52"/>
        <v>114</v>
      </c>
      <c r="T567">
        <f t="shared" si="52"/>
        <v>150</v>
      </c>
      <c r="U567">
        <f t="shared" si="52"/>
        <v>160</v>
      </c>
      <c r="V567">
        <f t="shared" si="52"/>
        <v>150</v>
      </c>
      <c r="W567">
        <f t="shared" si="52"/>
        <v>156</v>
      </c>
      <c r="X567">
        <f t="shared" si="52"/>
        <v>152</v>
      </c>
      <c r="Y567">
        <f t="shared" si="52"/>
        <v>147</v>
      </c>
      <c r="Z567">
        <f t="shared" si="52"/>
        <v>160</v>
      </c>
      <c r="AA567">
        <f t="shared" si="52"/>
        <v>163</v>
      </c>
      <c r="AB567">
        <f t="shared" si="52"/>
        <v>148</v>
      </c>
      <c r="AC567">
        <f t="shared" si="52"/>
        <v>141</v>
      </c>
      <c r="AD567">
        <f t="shared" si="52"/>
        <v>157</v>
      </c>
      <c r="AE567">
        <f t="shared" si="52"/>
        <v>155</v>
      </c>
      <c r="AF567">
        <f t="shared" si="52"/>
        <v>156</v>
      </c>
      <c r="AG567">
        <f t="shared" si="52"/>
        <v>159</v>
      </c>
      <c r="AH567" t="s">
        <v>142</v>
      </c>
    </row>
    <row r="568" spans="1:57" x14ac:dyDescent="0.25">
      <c r="A568" t="s">
        <v>42</v>
      </c>
      <c r="B568">
        <f>SUM(B564,B565)</f>
        <v>29</v>
      </c>
      <c r="C568">
        <f t="shared" ref="C568:AG568" si="53">SUM(C564,C565)</f>
        <v>31</v>
      </c>
      <c r="D568">
        <f t="shared" si="53"/>
        <v>30</v>
      </c>
      <c r="E568">
        <f t="shared" si="53"/>
        <v>29</v>
      </c>
      <c r="F568">
        <f t="shared" si="53"/>
        <v>29</v>
      </c>
      <c r="G568">
        <f t="shared" si="53"/>
        <v>31</v>
      </c>
      <c r="H568">
        <f t="shared" si="53"/>
        <v>23</v>
      </c>
      <c r="I568">
        <f t="shared" si="53"/>
        <v>17</v>
      </c>
      <c r="J568">
        <f t="shared" si="53"/>
        <v>30</v>
      </c>
      <c r="K568">
        <f t="shared" si="53"/>
        <v>36</v>
      </c>
      <c r="L568">
        <f t="shared" si="53"/>
        <v>35</v>
      </c>
      <c r="M568">
        <f t="shared" si="53"/>
        <v>31</v>
      </c>
      <c r="N568">
        <f t="shared" si="53"/>
        <v>31</v>
      </c>
      <c r="O568">
        <f t="shared" si="53"/>
        <v>35</v>
      </c>
      <c r="P568">
        <f t="shared" si="53"/>
        <v>35</v>
      </c>
      <c r="Q568">
        <f t="shared" si="53"/>
        <v>32</v>
      </c>
      <c r="R568">
        <f t="shared" si="53"/>
        <v>35</v>
      </c>
      <c r="S568">
        <f t="shared" si="53"/>
        <v>6</v>
      </c>
      <c r="T568">
        <f t="shared" si="53"/>
        <v>29</v>
      </c>
      <c r="U568">
        <f t="shared" si="53"/>
        <v>21</v>
      </c>
      <c r="V568">
        <f t="shared" si="53"/>
        <v>28</v>
      </c>
      <c r="W568">
        <f t="shared" si="53"/>
        <v>18</v>
      </c>
      <c r="X568">
        <f t="shared" si="53"/>
        <v>27</v>
      </c>
      <c r="Y568">
        <f t="shared" si="53"/>
        <v>33</v>
      </c>
      <c r="Z568">
        <f t="shared" si="53"/>
        <v>32</v>
      </c>
      <c r="AA568">
        <f t="shared" si="53"/>
        <v>36</v>
      </c>
      <c r="AB568">
        <f t="shared" si="53"/>
        <v>35</v>
      </c>
      <c r="AC568">
        <f t="shared" si="53"/>
        <v>20</v>
      </c>
      <c r="AD568">
        <f t="shared" si="53"/>
        <v>35</v>
      </c>
      <c r="AE568">
        <f t="shared" si="53"/>
        <v>24</v>
      </c>
      <c r="AF568">
        <f t="shared" si="53"/>
        <v>36</v>
      </c>
      <c r="AG568">
        <f t="shared" si="53"/>
        <v>35</v>
      </c>
    </row>
    <row r="569" spans="1:57" x14ac:dyDescent="0.25">
      <c r="A569" t="s">
        <v>43</v>
      </c>
      <c r="B569">
        <f>SUM(B566,B567)</f>
        <v>184</v>
      </c>
      <c r="C569">
        <f t="shared" ref="C569:AG569" si="54">SUM(C566,C567)</f>
        <v>190</v>
      </c>
      <c r="D569">
        <f t="shared" si="54"/>
        <v>181</v>
      </c>
      <c r="E569">
        <f t="shared" si="54"/>
        <v>180</v>
      </c>
      <c r="F569">
        <f t="shared" si="54"/>
        <v>183</v>
      </c>
      <c r="G569">
        <f t="shared" si="54"/>
        <v>185</v>
      </c>
      <c r="H569">
        <f t="shared" si="54"/>
        <v>161</v>
      </c>
      <c r="I569">
        <f t="shared" si="54"/>
        <v>172</v>
      </c>
      <c r="J569">
        <f t="shared" si="54"/>
        <v>200</v>
      </c>
      <c r="K569">
        <f t="shared" si="54"/>
        <v>201</v>
      </c>
      <c r="L569">
        <f t="shared" si="54"/>
        <v>206</v>
      </c>
      <c r="M569">
        <f t="shared" si="54"/>
        <v>186</v>
      </c>
      <c r="N569">
        <f t="shared" si="54"/>
        <v>197</v>
      </c>
      <c r="O569">
        <f t="shared" si="54"/>
        <v>202</v>
      </c>
      <c r="P569">
        <f t="shared" si="54"/>
        <v>201</v>
      </c>
      <c r="Q569">
        <f t="shared" si="54"/>
        <v>186</v>
      </c>
      <c r="R569">
        <f t="shared" si="54"/>
        <v>202</v>
      </c>
      <c r="S569">
        <f t="shared" si="54"/>
        <v>165</v>
      </c>
      <c r="T569">
        <f t="shared" si="54"/>
        <v>201</v>
      </c>
      <c r="U569">
        <f t="shared" si="54"/>
        <v>211</v>
      </c>
      <c r="V569">
        <f t="shared" si="54"/>
        <v>201</v>
      </c>
      <c r="W569">
        <f t="shared" si="54"/>
        <v>207</v>
      </c>
      <c r="X569">
        <f t="shared" si="54"/>
        <v>203</v>
      </c>
      <c r="Y569">
        <f t="shared" si="54"/>
        <v>198</v>
      </c>
      <c r="Z569">
        <f t="shared" si="54"/>
        <v>211</v>
      </c>
      <c r="AA569">
        <f t="shared" si="54"/>
        <v>214</v>
      </c>
      <c r="AB569">
        <f t="shared" si="54"/>
        <v>199</v>
      </c>
      <c r="AC569">
        <f t="shared" si="54"/>
        <v>192</v>
      </c>
      <c r="AD569">
        <f t="shared" si="54"/>
        <v>208</v>
      </c>
      <c r="AE569">
        <f t="shared" si="54"/>
        <v>206</v>
      </c>
      <c r="AF569">
        <f t="shared" si="54"/>
        <v>207</v>
      </c>
      <c r="AG569">
        <f t="shared" si="54"/>
        <v>210</v>
      </c>
    </row>
    <row r="572" spans="1:57" x14ac:dyDescent="0.25">
      <c r="D572" t="s">
        <v>73</v>
      </c>
      <c r="F572" t="s">
        <v>81</v>
      </c>
      <c r="S572" t="s">
        <v>68</v>
      </c>
      <c r="AA572" t="s">
        <v>68</v>
      </c>
      <c r="AE572" t="s">
        <v>68</v>
      </c>
      <c r="AI572" t="s">
        <v>68</v>
      </c>
      <c r="AQ572" t="s">
        <v>68</v>
      </c>
      <c r="AY572" t="s">
        <v>68</v>
      </c>
    </row>
    <row r="573" spans="1:57" x14ac:dyDescent="0.25">
      <c r="F573" t="s">
        <v>45</v>
      </c>
      <c r="S573" t="s">
        <v>46</v>
      </c>
      <c r="AA573" t="s">
        <v>47</v>
      </c>
      <c r="AE573" t="s">
        <v>48</v>
      </c>
      <c r="AI573" t="s">
        <v>46</v>
      </c>
      <c r="AK573" t="s">
        <v>49</v>
      </c>
      <c r="AL573" t="s">
        <v>33</v>
      </c>
      <c r="AM573" t="s">
        <v>34</v>
      </c>
      <c r="AN573" t="s">
        <v>35</v>
      </c>
      <c r="AO573" t="s">
        <v>36</v>
      </c>
      <c r="AQ573" t="s">
        <v>47</v>
      </c>
      <c r="AS573" t="s">
        <v>49</v>
      </c>
      <c r="AT573" t="s">
        <v>33</v>
      </c>
      <c r="AU573" t="s">
        <v>34</v>
      </c>
      <c r="AV573" t="s">
        <v>35</v>
      </c>
      <c r="AW573" t="s">
        <v>36</v>
      </c>
      <c r="AY573" t="s">
        <v>48</v>
      </c>
      <c r="BA573" t="s">
        <v>49</v>
      </c>
      <c r="BB573" t="s">
        <v>33</v>
      </c>
      <c r="BC573" t="s">
        <v>34</v>
      </c>
      <c r="BD573" t="s">
        <v>35</v>
      </c>
      <c r="BE573" t="s">
        <v>36</v>
      </c>
    </row>
    <row r="574" spans="1:57" x14ac:dyDescent="0.25">
      <c r="F574" t="s">
        <v>50</v>
      </c>
      <c r="M574" t="s">
        <v>51</v>
      </c>
      <c r="S574" t="s">
        <v>52</v>
      </c>
      <c r="U574">
        <f>COUNTIF(B52:AG52,"&lt;&gt;")</f>
        <v>32</v>
      </c>
      <c r="AA574" t="s">
        <v>52</v>
      </c>
      <c r="AC574">
        <f>COUNTIF(B52:AG52,"&lt;&gt;")</f>
        <v>32</v>
      </c>
      <c r="AE574" t="s">
        <v>52</v>
      </c>
      <c r="AG574">
        <f>COUNTIF(B52:AG52,"&lt;&gt;")</f>
        <v>32</v>
      </c>
      <c r="AI574" t="s">
        <v>52</v>
      </c>
      <c r="AK574">
        <f>COUNTIF($B$2:$AG$2,"&lt;&gt;")</f>
        <v>32</v>
      </c>
      <c r="AL574">
        <f>COUNTIF($B$2:$I$2,"&lt;&gt;")</f>
        <v>8</v>
      </c>
      <c r="AM574">
        <f>COUNTIF($J$2:$R$2,"&lt;&gt;")</f>
        <v>9</v>
      </c>
      <c r="AN574">
        <f>COUNTIF($S$2:$X$2,"&lt;&gt;")</f>
        <v>6</v>
      </c>
      <c r="AO574">
        <f>COUNTIF($Y$2:$AG$2,"&lt;&gt;")</f>
        <v>9</v>
      </c>
      <c r="AQ574" t="s">
        <v>52</v>
      </c>
      <c r="AS574">
        <f>COUNTIF($B$2:$AG$2,"&lt;&gt;")</f>
        <v>32</v>
      </c>
      <c r="AT574">
        <f>COUNTIF($B$2:$I$2,"&lt;&gt;")</f>
        <v>8</v>
      </c>
      <c r="AU574">
        <f>COUNTIF($J$2:$R$2,"&lt;&gt;")</f>
        <v>9</v>
      </c>
      <c r="AV574">
        <f>COUNTIF($S$2:$X$2,"&lt;&gt;")</f>
        <v>6</v>
      </c>
      <c r="AW574">
        <f>COUNTIF($Y$2:$AG$2,"&lt;&gt;")</f>
        <v>9</v>
      </c>
      <c r="AY574" t="s">
        <v>52</v>
      </c>
      <c r="BA574">
        <f>COUNTIF($B$2:$AG$2,"&lt;&gt;")</f>
        <v>32</v>
      </c>
      <c r="BB574">
        <f>COUNTIF($B$2:$I$2,"&lt;&gt;")</f>
        <v>8</v>
      </c>
      <c r="BC574">
        <f>COUNTIF($J$2:$R$2,"&lt;&gt;")</f>
        <v>9</v>
      </c>
      <c r="BD574">
        <f>COUNTIF($S$2:$X$2,"&lt;&gt;")</f>
        <v>6</v>
      </c>
      <c r="BE574">
        <f>COUNTIF($Y$2:$AG$2,"&lt;&gt;")</f>
        <v>9</v>
      </c>
    </row>
    <row r="575" spans="1:57" x14ac:dyDescent="0.25">
      <c r="F575" t="s">
        <v>53</v>
      </c>
      <c r="H575" t="s">
        <v>134</v>
      </c>
      <c r="J575">
        <f>COUNTIF($B$54:$B$235,"&lt;&gt;")</f>
        <v>182</v>
      </c>
      <c r="M575" t="s">
        <v>54</v>
      </c>
      <c r="S575" t="s">
        <v>55</v>
      </c>
      <c r="U575">
        <f>COUNTIF($A$3:$A$511,"&lt;&gt;")</f>
        <v>509</v>
      </c>
      <c r="AA575" t="s">
        <v>55</v>
      </c>
      <c r="AC575">
        <f>SUM($J$524:$J$525)</f>
        <v>275</v>
      </c>
      <c r="AE575" t="s">
        <v>55</v>
      </c>
      <c r="AG575">
        <f>SUM($Q$525:$Q$526)</f>
        <v>234</v>
      </c>
      <c r="AI575" t="s">
        <v>55</v>
      </c>
      <c r="AK575">
        <f>COUNTIF($A$3:$A$511,"&lt;&gt;")</f>
        <v>509</v>
      </c>
      <c r="AL575">
        <f t="shared" ref="AL575:AO575" si="55">COUNTIF($A$3:$A$511,"&lt;&gt;")</f>
        <v>509</v>
      </c>
      <c r="AM575">
        <f t="shared" si="55"/>
        <v>509</v>
      </c>
      <c r="AN575">
        <f t="shared" si="55"/>
        <v>509</v>
      </c>
      <c r="AO575">
        <f t="shared" si="55"/>
        <v>509</v>
      </c>
      <c r="AQ575" t="s">
        <v>55</v>
      </c>
      <c r="AS575">
        <f>SUM($J$524:$J$525)</f>
        <v>275</v>
      </c>
      <c r="AT575">
        <f t="shared" ref="AT575:AW575" si="56">SUM($J$524:$J$525)</f>
        <v>275</v>
      </c>
      <c r="AU575">
        <f t="shared" si="56"/>
        <v>275</v>
      </c>
      <c r="AV575">
        <f t="shared" si="56"/>
        <v>275</v>
      </c>
      <c r="AW575">
        <f t="shared" si="56"/>
        <v>275</v>
      </c>
      <c r="AY575" t="s">
        <v>55</v>
      </c>
      <c r="BA575">
        <f>SUM($Q$525:$Q$526)</f>
        <v>234</v>
      </c>
      <c r="BB575">
        <f t="shared" ref="BB575:BE575" si="57">SUM($Q$525:$Q$526)</f>
        <v>234</v>
      </c>
      <c r="BC575">
        <f t="shared" si="57"/>
        <v>234</v>
      </c>
      <c r="BD575">
        <f t="shared" si="57"/>
        <v>234</v>
      </c>
      <c r="BE575">
        <f t="shared" si="57"/>
        <v>234</v>
      </c>
    </row>
    <row r="576" spans="1:57" x14ac:dyDescent="0.25">
      <c r="F576" t="s">
        <v>56</v>
      </c>
      <c r="H576" t="s">
        <v>135</v>
      </c>
      <c r="J576">
        <f>COUNTIF($B$419:$B$511,"&lt;&gt;")</f>
        <v>93</v>
      </c>
      <c r="M576" t="s">
        <v>57</v>
      </c>
      <c r="O576" t="s">
        <v>137</v>
      </c>
      <c r="Q576">
        <f>COUNTIF($B$3:$B$53,"&lt;&gt;")</f>
        <v>51</v>
      </c>
      <c r="S576" t="s">
        <v>58</v>
      </c>
      <c r="U576">
        <f>U575*U574</f>
        <v>16288</v>
      </c>
      <c r="V576" t="s">
        <v>59</v>
      </c>
      <c r="AA576" t="s">
        <v>58</v>
      </c>
      <c r="AC576">
        <f>AC575*AC574</f>
        <v>8800</v>
      </c>
      <c r="AE576" t="s">
        <v>58</v>
      </c>
      <c r="AG576">
        <f>AG574*AG575</f>
        <v>7488</v>
      </c>
      <c r="AI576" t="s">
        <v>58</v>
      </c>
      <c r="AK576">
        <f>AK575*AK574</f>
        <v>16288</v>
      </c>
      <c r="AL576">
        <f t="shared" ref="AL576:AO576" si="58">AL575*AL574</f>
        <v>4072</v>
      </c>
      <c r="AM576">
        <f t="shared" si="58"/>
        <v>4581</v>
      </c>
      <c r="AN576">
        <f t="shared" si="58"/>
        <v>3054</v>
      </c>
      <c r="AO576">
        <f t="shared" si="58"/>
        <v>4581</v>
      </c>
      <c r="AQ576" t="s">
        <v>58</v>
      </c>
      <c r="AS576">
        <f>AS575*AS574</f>
        <v>8800</v>
      </c>
      <c r="AT576">
        <f t="shared" ref="AT576:AW576" si="59">AT575*AT574</f>
        <v>2200</v>
      </c>
      <c r="AU576">
        <f t="shared" si="59"/>
        <v>2475</v>
      </c>
      <c r="AV576">
        <f t="shared" si="59"/>
        <v>1650</v>
      </c>
      <c r="AW576">
        <f t="shared" si="59"/>
        <v>2475</v>
      </c>
      <c r="AY576" t="s">
        <v>58</v>
      </c>
      <c r="BA576">
        <f>BA575*BA574</f>
        <v>7488</v>
      </c>
      <c r="BB576">
        <f t="shared" ref="BB576:BE576" si="60">BB575*BB574</f>
        <v>1872</v>
      </c>
      <c r="BC576">
        <f t="shared" si="60"/>
        <v>2106</v>
      </c>
      <c r="BD576">
        <f t="shared" si="60"/>
        <v>1404</v>
      </c>
      <c r="BE576">
        <f t="shared" si="60"/>
        <v>2106</v>
      </c>
    </row>
    <row r="577" spans="1:57" x14ac:dyDescent="0.25">
      <c r="F577" t="s">
        <v>60</v>
      </c>
      <c r="H577" t="s">
        <v>136</v>
      </c>
      <c r="J577">
        <f>COUNTIF($A$737:$A$798,"&lt;&gt;")</f>
        <v>0</v>
      </c>
      <c r="M577" t="s">
        <v>61</v>
      </c>
      <c r="O577" t="s">
        <v>138</v>
      </c>
      <c r="Q577">
        <f>COUNTIF($B$236:$B$418,"&lt;&gt;")</f>
        <v>183</v>
      </c>
      <c r="S577" t="s">
        <v>82</v>
      </c>
      <c r="U577">
        <f>SUM(B563:AG563)</f>
        <v>7184</v>
      </c>
      <c r="V577" t="s">
        <v>63</v>
      </c>
      <c r="AA577" t="s">
        <v>82</v>
      </c>
      <c r="AC577">
        <f>SUM(B568:AG568)</f>
        <v>934</v>
      </c>
      <c r="AE577" t="s">
        <v>62</v>
      </c>
      <c r="AG577">
        <f>SUM(B569:AG569)</f>
        <v>6250</v>
      </c>
      <c r="AI577" t="s">
        <v>82</v>
      </c>
      <c r="AK577">
        <f>SUM(B563:AG563)</f>
        <v>7184</v>
      </c>
      <c r="AL577">
        <f>SUM(B563:I563)</f>
        <v>1655</v>
      </c>
      <c r="AM577">
        <f>SUM(J563:R563)</f>
        <v>2081</v>
      </c>
      <c r="AN577">
        <f>SUM(S563:X563)</f>
        <v>1317</v>
      </c>
      <c r="AO577">
        <f>SUM(Y563:AG563)</f>
        <v>2131</v>
      </c>
      <c r="AQ577" t="s">
        <v>82</v>
      </c>
      <c r="AS577">
        <f>SUM(B568:AG568)</f>
        <v>934</v>
      </c>
      <c r="AT577">
        <f>SUM(B568:I568)</f>
        <v>219</v>
      </c>
      <c r="AU577">
        <f>SUM(J568:R568)</f>
        <v>300</v>
      </c>
      <c r="AV577">
        <f>SUM(S568:X568)</f>
        <v>129</v>
      </c>
      <c r="AW577">
        <f>SUM(Y568:AG568)</f>
        <v>286</v>
      </c>
      <c r="AY577" t="s">
        <v>82</v>
      </c>
      <c r="BA577">
        <f>SUM($B569:$AG569)</f>
        <v>6250</v>
      </c>
      <c r="BB577">
        <f>SUM(B569:I569)</f>
        <v>1436</v>
      </c>
      <c r="BC577">
        <f>SUM(J569:R569)</f>
        <v>1781</v>
      </c>
      <c r="BD577">
        <f>SUM(S569:X569)</f>
        <v>1188</v>
      </c>
      <c r="BE577">
        <f>SUM(Y569:AG569)</f>
        <v>1845</v>
      </c>
    </row>
    <row r="578" spans="1:57" x14ac:dyDescent="0.25">
      <c r="S578" t="s">
        <v>64</v>
      </c>
      <c r="U578">
        <f>$U577/$U576</f>
        <v>0.44106090373280943</v>
      </c>
      <c r="AA578" t="s">
        <v>65</v>
      </c>
      <c r="AC578">
        <f>AC577/AC576</f>
        <v>0.10613636363636364</v>
      </c>
      <c r="AE578" t="s">
        <v>66</v>
      </c>
      <c r="AG578">
        <f>AG577/AG576</f>
        <v>0.83466880341880345</v>
      </c>
      <c r="AI578" t="s">
        <v>64</v>
      </c>
      <c r="AK578">
        <f>AK577/AK576</f>
        <v>0.44106090373280943</v>
      </c>
      <c r="AL578">
        <f t="shared" ref="AL578:AO578" si="61">AL577/AL576</f>
        <v>0.40643418467583498</v>
      </c>
      <c r="AM578">
        <f t="shared" si="61"/>
        <v>0.45426762715564289</v>
      </c>
      <c r="AN578">
        <f t="shared" si="61"/>
        <v>0.43123772102161101</v>
      </c>
      <c r="AO578">
        <f t="shared" si="61"/>
        <v>0.46518227461253003</v>
      </c>
      <c r="AQ578" t="s">
        <v>65</v>
      </c>
      <c r="AS578">
        <f>AS577/AS576</f>
        <v>0.10613636363636364</v>
      </c>
      <c r="AT578">
        <f t="shared" ref="AT578:AW578" si="62">AT577/AT576</f>
        <v>9.9545454545454548E-2</v>
      </c>
      <c r="AU578">
        <f t="shared" si="62"/>
        <v>0.12121212121212122</v>
      </c>
      <c r="AV578">
        <f t="shared" si="62"/>
        <v>7.8181818181818186E-2</v>
      </c>
      <c r="AW578">
        <f t="shared" si="62"/>
        <v>0.11555555555555555</v>
      </c>
      <c r="AY578" t="s">
        <v>66</v>
      </c>
      <c r="BA578">
        <f>BA577/BA576</f>
        <v>0.83466880341880345</v>
      </c>
      <c r="BB578">
        <f t="shared" ref="BB578:BE578" si="63">BB577/BB576</f>
        <v>0.76709401709401714</v>
      </c>
      <c r="BC578">
        <f t="shared" si="63"/>
        <v>0.84567901234567899</v>
      </c>
      <c r="BD578">
        <f t="shared" si="63"/>
        <v>0.84615384615384615</v>
      </c>
      <c r="BE578">
        <f t="shared" si="63"/>
        <v>0.87606837606837606</v>
      </c>
    </row>
    <row r="580" spans="1:57" x14ac:dyDescent="0.25">
      <c r="A580" t="s">
        <v>37</v>
      </c>
      <c r="B580">
        <f>COUNTIF(B$3:B$511,"&lt;=18")</f>
        <v>286</v>
      </c>
      <c r="C580">
        <f t="shared" ref="C580:AG580" si="64">COUNTIF(C$3:C$511,"&lt;=18")</f>
        <v>279</v>
      </c>
      <c r="D580">
        <f t="shared" si="64"/>
        <v>288</v>
      </c>
      <c r="E580">
        <f t="shared" si="64"/>
        <v>292</v>
      </c>
      <c r="F580">
        <f t="shared" si="64"/>
        <v>285</v>
      </c>
      <c r="G580">
        <f t="shared" si="64"/>
        <v>286</v>
      </c>
      <c r="H580">
        <f t="shared" si="64"/>
        <v>309</v>
      </c>
      <c r="I580">
        <f t="shared" si="64"/>
        <v>308</v>
      </c>
      <c r="J580">
        <f t="shared" si="64"/>
        <v>273</v>
      </c>
      <c r="K580">
        <f t="shared" si="64"/>
        <v>268</v>
      </c>
      <c r="L580">
        <f t="shared" si="64"/>
        <v>263</v>
      </c>
      <c r="M580">
        <f t="shared" si="64"/>
        <v>281</v>
      </c>
      <c r="N580">
        <f t="shared" si="64"/>
        <v>275</v>
      </c>
      <c r="O580">
        <f t="shared" si="64"/>
        <v>264</v>
      </c>
      <c r="P580">
        <f t="shared" si="64"/>
        <v>272</v>
      </c>
      <c r="Q580">
        <f t="shared" si="64"/>
        <v>281</v>
      </c>
      <c r="R580">
        <f t="shared" si="64"/>
        <v>264</v>
      </c>
      <c r="S580">
        <f t="shared" si="64"/>
        <v>329</v>
      </c>
      <c r="T580">
        <f t="shared" si="64"/>
        <v>273</v>
      </c>
      <c r="U580">
        <f t="shared" si="64"/>
        <v>264</v>
      </c>
      <c r="V580">
        <f t="shared" si="64"/>
        <v>270</v>
      </c>
      <c r="W580">
        <f t="shared" si="64"/>
        <v>271</v>
      </c>
      <c r="X580">
        <f t="shared" si="64"/>
        <v>267</v>
      </c>
      <c r="Y580">
        <f t="shared" si="64"/>
        <v>270</v>
      </c>
      <c r="Z580">
        <f t="shared" si="64"/>
        <v>263</v>
      </c>
      <c r="AA580">
        <f t="shared" si="64"/>
        <v>254</v>
      </c>
      <c r="AB580">
        <f t="shared" si="64"/>
        <v>269</v>
      </c>
      <c r="AC580">
        <f t="shared" si="64"/>
        <v>286</v>
      </c>
      <c r="AD580">
        <f t="shared" si="64"/>
        <v>261</v>
      </c>
      <c r="AE580">
        <f t="shared" si="64"/>
        <v>263</v>
      </c>
      <c r="AF580">
        <f t="shared" si="64"/>
        <v>259</v>
      </c>
      <c r="AG580">
        <f t="shared" si="64"/>
        <v>261</v>
      </c>
    </row>
    <row r="581" spans="1:57" x14ac:dyDescent="0.25">
      <c r="A581" t="s">
        <v>38</v>
      </c>
      <c r="B581">
        <f>COUNTIF(B$54:B$235,"&lt;=18")</f>
        <v>158</v>
      </c>
      <c r="C581">
        <f t="shared" ref="C581:AG581" si="65">COUNTIF(C$54:C$235,"&lt;=18")</f>
        <v>157</v>
      </c>
      <c r="D581">
        <f t="shared" si="65"/>
        <v>157</v>
      </c>
      <c r="E581">
        <f t="shared" si="65"/>
        <v>158</v>
      </c>
      <c r="F581">
        <f t="shared" si="65"/>
        <v>157</v>
      </c>
      <c r="G581">
        <f t="shared" si="65"/>
        <v>157</v>
      </c>
      <c r="H581">
        <f t="shared" si="65"/>
        <v>158</v>
      </c>
      <c r="I581">
        <f t="shared" si="65"/>
        <v>164</v>
      </c>
      <c r="J581">
        <f t="shared" si="65"/>
        <v>159</v>
      </c>
      <c r="K581">
        <f t="shared" si="65"/>
        <v>157</v>
      </c>
      <c r="L581">
        <f t="shared" si="65"/>
        <v>157</v>
      </c>
      <c r="M581">
        <f t="shared" si="65"/>
        <v>157</v>
      </c>
      <c r="N581">
        <f t="shared" si="65"/>
        <v>157</v>
      </c>
      <c r="O581">
        <f t="shared" si="65"/>
        <v>157</v>
      </c>
      <c r="P581">
        <f t="shared" si="65"/>
        <v>157</v>
      </c>
      <c r="Q581">
        <f t="shared" si="65"/>
        <v>157</v>
      </c>
      <c r="R581">
        <f t="shared" si="65"/>
        <v>157</v>
      </c>
      <c r="S581">
        <f t="shared" si="65"/>
        <v>175</v>
      </c>
      <c r="T581">
        <f t="shared" si="65"/>
        <v>158</v>
      </c>
      <c r="U581">
        <f t="shared" si="65"/>
        <v>160</v>
      </c>
      <c r="V581">
        <f t="shared" si="65"/>
        <v>159</v>
      </c>
      <c r="W581">
        <f t="shared" si="65"/>
        <v>161</v>
      </c>
      <c r="X581">
        <f t="shared" si="65"/>
        <v>159</v>
      </c>
      <c r="Y581">
        <f t="shared" si="65"/>
        <v>157</v>
      </c>
      <c r="Z581">
        <f t="shared" si="65"/>
        <v>158</v>
      </c>
      <c r="AA581">
        <f t="shared" si="65"/>
        <v>156</v>
      </c>
      <c r="AB581">
        <f t="shared" si="65"/>
        <v>157</v>
      </c>
      <c r="AC581">
        <f t="shared" si="65"/>
        <v>165</v>
      </c>
      <c r="AD581">
        <f t="shared" si="65"/>
        <v>157</v>
      </c>
      <c r="AE581">
        <f t="shared" si="65"/>
        <v>160</v>
      </c>
      <c r="AF581">
        <f t="shared" si="65"/>
        <v>157</v>
      </c>
      <c r="AG581">
        <f t="shared" si="65"/>
        <v>157</v>
      </c>
      <c r="AH581" t="s">
        <v>139</v>
      </c>
    </row>
    <row r="582" spans="1:57" x14ac:dyDescent="0.25">
      <c r="A582" t="s">
        <v>39</v>
      </c>
      <c r="B582">
        <f>COUNTIF(B$419:B$511,"&lt;=18")</f>
        <v>86</v>
      </c>
      <c r="C582">
        <f t="shared" ref="C582:AG582" si="66">COUNTIF(C$419:C$511,"&lt;=18")</f>
        <v>85</v>
      </c>
      <c r="D582">
        <f t="shared" si="66"/>
        <v>86</v>
      </c>
      <c r="E582">
        <f t="shared" si="66"/>
        <v>86</v>
      </c>
      <c r="F582">
        <f t="shared" si="66"/>
        <v>86</v>
      </c>
      <c r="G582">
        <f t="shared" si="66"/>
        <v>85</v>
      </c>
      <c r="H582">
        <f t="shared" si="66"/>
        <v>87</v>
      </c>
      <c r="I582">
        <f t="shared" si="66"/>
        <v>88</v>
      </c>
      <c r="J582">
        <f t="shared" si="66"/>
        <v>86</v>
      </c>
      <c r="K582">
        <f t="shared" si="66"/>
        <v>82</v>
      </c>
      <c r="L582">
        <f t="shared" si="66"/>
        <v>82</v>
      </c>
      <c r="M582">
        <f t="shared" si="66"/>
        <v>85</v>
      </c>
      <c r="N582">
        <f t="shared" si="66"/>
        <v>85</v>
      </c>
      <c r="O582">
        <f t="shared" si="66"/>
        <v>82</v>
      </c>
      <c r="P582">
        <f t="shared" si="66"/>
        <v>83</v>
      </c>
      <c r="Q582">
        <f t="shared" si="66"/>
        <v>85</v>
      </c>
      <c r="R582">
        <f t="shared" si="66"/>
        <v>82</v>
      </c>
      <c r="S582">
        <f t="shared" si="66"/>
        <v>93</v>
      </c>
      <c r="T582">
        <f t="shared" si="66"/>
        <v>86</v>
      </c>
      <c r="U582">
        <f t="shared" si="66"/>
        <v>85</v>
      </c>
      <c r="V582">
        <f t="shared" si="66"/>
        <v>85</v>
      </c>
      <c r="W582">
        <f t="shared" si="66"/>
        <v>85</v>
      </c>
      <c r="X582">
        <f t="shared" si="66"/>
        <v>85</v>
      </c>
      <c r="Y582">
        <f t="shared" si="66"/>
        <v>83</v>
      </c>
      <c r="Z582">
        <f t="shared" si="66"/>
        <v>83</v>
      </c>
      <c r="AA582">
        <f t="shared" si="66"/>
        <v>82</v>
      </c>
      <c r="AB582">
        <f t="shared" si="66"/>
        <v>83</v>
      </c>
      <c r="AC582">
        <f t="shared" si="66"/>
        <v>86</v>
      </c>
      <c r="AD582">
        <f t="shared" si="66"/>
        <v>82</v>
      </c>
      <c r="AE582">
        <f t="shared" si="66"/>
        <v>86</v>
      </c>
      <c r="AF582">
        <f t="shared" si="66"/>
        <v>81</v>
      </c>
      <c r="AG582">
        <f t="shared" si="66"/>
        <v>83</v>
      </c>
      <c r="AH582" t="s">
        <v>140</v>
      </c>
    </row>
    <row r="583" spans="1:57" x14ac:dyDescent="0.25">
      <c r="A583" t="s">
        <v>40</v>
      </c>
      <c r="B583">
        <f>COUNTIF(B$3:B$53,"&lt;=18")</f>
        <v>0</v>
      </c>
      <c r="C583">
        <f t="shared" ref="C583:AG583" si="67">COUNTIF(C$3:C$53,"&lt;=18")</f>
        <v>0</v>
      </c>
      <c r="D583">
        <f t="shared" si="67"/>
        <v>0</v>
      </c>
      <c r="E583">
        <f t="shared" si="67"/>
        <v>0</v>
      </c>
      <c r="F583">
        <f t="shared" si="67"/>
        <v>0</v>
      </c>
      <c r="G583">
        <f t="shared" si="67"/>
        <v>0</v>
      </c>
      <c r="H583">
        <f t="shared" si="67"/>
        <v>0</v>
      </c>
      <c r="I583">
        <f t="shared" si="67"/>
        <v>0</v>
      </c>
      <c r="J583">
        <f t="shared" si="67"/>
        <v>0</v>
      </c>
      <c r="K583">
        <f t="shared" si="67"/>
        <v>0</v>
      </c>
      <c r="L583">
        <f t="shared" si="67"/>
        <v>0</v>
      </c>
      <c r="M583">
        <f t="shared" si="67"/>
        <v>0</v>
      </c>
      <c r="N583">
        <f t="shared" si="67"/>
        <v>0</v>
      </c>
      <c r="O583">
        <f t="shared" si="67"/>
        <v>0</v>
      </c>
      <c r="P583">
        <f t="shared" si="67"/>
        <v>0</v>
      </c>
      <c r="Q583">
        <f t="shared" si="67"/>
        <v>0</v>
      </c>
      <c r="R583">
        <f t="shared" si="67"/>
        <v>0</v>
      </c>
      <c r="S583">
        <f t="shared" si="67"/>
        <v>0</v>
      </c>
      <c r="T583">
        <f t="shared" si="67"/>
        <v>0</v>
      </c>
      <c r="U583">
        <f t="shared" si="67"/>
        <v>0</v>
      </c>
      <c r="V583">
        <f t="shared" si="67"/>
        <v>0</v>
      </c>
      <c r="W583">
        <f t="shared" si="67"/>
        <v>0</v>
      </c>
      <c r="X583">
        <f t="shared" si="67"/>
        <v>0</v>
      </c>
      <c r="Y583">
        <f t="shared" si="67"/>
        <v>0</v>
      </c>
      <c r="Z583">
        <f t="shared" si="67"/>
        <v>0</v>
      </c>
      <c r="AA583">
        <f t="shared" si="67"/>
        <v>0</v>
      </c>
      <c r="AB583">
        <f t="shared" si="67"/>
        <v>0</v>
      </c>
      <c r="AC583">
        <f t="shared" si="67"/>
        <v>0</v>
      </c>
      <c r="AD583">
        <f t="shared" si="67"/>
        <v>0</v>
      </c>
      <c r="AE583">
        <f t="shared" si="67"/>
        <v>0</v>
      </c>
      <c r="AF583">
        <f t="shared" si="67"/>
        <v>0</v>
      </c>
      <c r="AG583">
        <f t="shared" si="67"/>
        <v>0</v>
      </c>
      <c r="AH583" t="s">
        <v>141</v>
      </c>
    </row>
    <row r="584" spans="1:57" x14ac:dyDescent="0.25">
      <c r="A584" t="s">
        <v>41</v>
      </c>
      <c r="B584">
        <f>COUNTIF(B$236:B$418,"&lt;=18")</f>
        <v>42</v>
      </c>
      <c r="C584">
        <f t="shared" ref="C584:AG584" si="68">COUNTIF(C$236:C$418,"&lt;=18")</f>
        <v>37</v>
      </c>
      <c r="D584">
        <f t="shared" si="68"/>
        <v>45</v>
      </c>
      <c r="E584">
        <f t="shared" si="68"/>
        <v>48</v>
      </c>
      <c r="F584">
        <f t="shared" si="68"/>
        <v>42</v>
      </c>
      <c r="G584">
        <f t="shared" si="68"/>
        <v>44</v>
      </c>
      <c r="H584">
        <f t="shared" si="68"/>
        <v>64</v>
      </c>
      <c r="I584">
        <f t="shared" si="68"/>
        <v>56</v>
      </c>
      <c r="J584">
        <f t="shared" si="68"/>
        <v>28</v>
      </c>
      <c r="K584">
        <f t="shared" si="68"/>
        <v>29</v>
      </c>
      <c r="L584">
        <f t="shared" si="68"/>
        <v>24</v>
      </c>
      <c r="M584">
        <f t="shared" si="68"/>
        <v>39</v>
      </c>
      <c r="N584">
        <f t="shared" si="68"/>
        <v>33</v>
      </c>
      <c r="O584">
        <f t="shared" si="68"/>
        <v>25</v>
      </c>
      <c r="P584">
        <f t="shared" si="68"/>
        <v>32</v>
      </c>
      <c r="Q584">
        <f t="shared" si="68"/>
        <v>39</v>
      </c>
      <c r="R584">
        <f t="shared" si="68"/>
        <v>25</v>
      </c>
      <c r="S584">
        <f t="shared" si="68"/>
        <v>61</v>
      </c>
      <c r="T584">
        <f t="shared" si="68"/>
        <v>29</v>
      </c>
      <c r="U584">
        <f t="shared" si="68"/>
        <v>19</v>
      </c>
      <c r="V584">
        <f t="shared" si="68"/>
        <v>26</v>
      </c>
      <c r="W584">
        <f t="shared" si="68"/>
        <v>25</v>
      </c>
      <c r="X584">
        <f t="shared" si="68"/>
        <v>23</v>
      </c>
      <c r="Y584">
        <f t="shared" si="68"/>
        <v>30</v>
      </c>
      <c r="Z584">
        <f t="shared" si="68"/>
        <v>22</v>
      </c>
      <c r="AA584">
        <f t="shared" si="68"/>
        <v>16</v>
      </c>
      <c r="AB584">
        <f t="shared" si="68"/>
        <v>29</v>
      </c>
      <c r="AC584">
        <f t="shared" si="68"/>
        <v>35</v>
      </c>
      <c r="AD584">
        <f t="shared" si="68"/>
        <v>22</v>
      </c>
      <c r="AE584">
        <f t="shared" si="68"/>
        <v>17</v>
      </c>
      <c r="AF584">
        <f t="shared" si="68"/>
        <v>21</v>
      </c>
      <c r="AG584">
        <f t="shared" si="68"/>
        <v>21</v>
      </c>
      <c r="AH584" t="s">
        <v>142</v>
      </c>
    </row>
    <row r="585" spans="1:57" x14ac:dyDescent="0.25">
      <c r="A585" t="s">
        <v>42</v>
      </c>
      <c r="B585">
        <f t="shared" ref="B585:AG585" si="69">SUM(B$581,B$582)</f>
        <v>244</v>
      </c>
      <c r="C585">
        <f t="shared" si="69"/>
        <v>242</v>
      </c>
      <c r="D585">
        <f t="shared" si="69"/>
        <v>243</v>
      </c>
      <c r="E585">
        <f t="shared" si="69"/>
        <v>244</v>
      </c>
      <c r="F585">
        <f t="shared" si="69"/>
        <v>243</v>
      </c>
      <c r="G585">
        <f t="shared" si="69"/>
        <v>242</v>
      </c>
      <c r="H585">
        <f t="shared" si="69"/>
        <v>245</v>
      </c>
      <c r="I585">
        <f t="shared" si="69"/>
        <v>252</v>
      </c>
      <c r="J585">
        <f t="shared" si="69"/>
        <v>245</v>
      </c>
      <c r="K585">
        <f t="shared" si="69"/>
        <v>239</v>
      </c>
      <c r="L585">
        <f t="shared" si="69"/>
        <v>239</v>
      </c>
      <c r="M585">
        <f t="shared" si="69"/>
        <v>242</v>
      </c>
      <c r="N585">
        <f t="shared" si="69"/>
        <v>242</v>
      </c>
      <c r="O585">
        <f t="shared" si="69"/>
        <v>239</v>
      </c>
      <c r="P585">
        <f t="shared" si="69"/>
        <v>240</v>
      </c>
      <c r="Q585">
        <f t="shared" si="69"/>
        <v>242</v>
      </c>
      <c r="R585">
        <f t="shared" si="69"/>
        <v>239</v>
      </c>
      <c r="S585">
        <f t="shared" si="69"/>
        <v>268</v>
      </c>
      <c r="T585">
        <f t="shared" si="69"/>
        <v>244</v>
      </c>
      <c r="U585">
        <f t="shared" si="69"/>
        <v>245</v>
      </c>
      <c r="V585">
        <f t="shared" si="69"/>
        <v>244</v>
      </c>
      <c r="W585">
        <f t="shared" si="69"/>
        <v>246</v>
      </c>
      <c r="X585">
        <f t="shared" si="69"/>
        <v>244</v>
      </c>
      <c r="Y585">
        <f t="shared" si="69"/>
        <v>240</v>
      </c>
      <c r="Z585">
        <f t="shared" si="69"/>
        <v>241</v>
      </c>
      <c r="AA585">
        <f t="shared" si="69"/>
        <v>238</v>
      </c>
      <c r="AB585">
        <f t="shared" si="69"/>
        <v>240</v>
      </c>
      <c r="AC585">
        <f t="shared" si="69"/>
        <v>251</v>
      </c>
      <c r="AD585">
        <f t="shared" si="69"/>
        <v>239</v>
      </c>
      <c r="AE585">
        <f t="shared" si="69"/>
        <v>246</v>
      </c>
      <c r="AF585">
        <f t="shared" si="69"/>
        <v>238</v>
      </c>
      <c r="AG585">
        <f t="shared" si="69"/>
        <v>240</v>
      </c>
    </row>
    <row r="586" spans="1:57" x14ac:dyDescent="0.25">
      <c r="A586" t="s">
        <v>43</v>
      </c>
      <c r="B586">
        <f t="shared" ref="B586:AG586" si="70">SUM(B$583,B$584)</f>
        <v>42</v>
      </c>
      <c r="C586">
        <f t="shared" si="70"/>
        <v>37</v>
      </c>
      <c r="D586">
        <f t="shared" si="70"/>
        <v>45</v>
      </c>
      <c r="E586">
        <f t="shared" si="70"/>
        <v>48</v>
      </c>
      <c r="F586">
        <f t="shared" si="70"/>
        <v>42</v>
      </c>
      <c r="G586">
        <f t="shared" si="70"/>
        <v>44</v>
      </c>
      <c r="H586">
        <f t="shared" si="70"/>
        <v>64</v>
      </c>
      <c r="I586">
        <f t="shared" si="70"/>
        <v>56</v>
      </c>
      <c r="J586">
        <f t="shared" si="70"/>
        <v>28</v>
      </c>
      <c r="K586">
        <f t="shared" si="70"/>
        <v>29</v>
      </c>
      <c r="L586">
        <f t="shared" si="70"/>
        <v>24</v>
      </c>
      <c r="M586">
        <f t="shared" si="70"/>
        <v>39</v>
      </c>
      <c r="N586">
        <f t="shared" si="70"/>
        <v>33</v>
      </c>
      <c r="O586">
        <f t="shared" si="70"/>
        <v>25</v>
      </c>
      <c r="P586">
        <f t="shared" si="70"/>
        <v>32</v>
      </c>
      <c r="Q586">
        <f t="shared" si="70"/>
        <v>39</v>
      </c>
      <c r="R586">
        <f t="shared" si="70"/>
        <v>25</v>
      </c>
      <c r="S586">
        <f t="shared" si="70"/>
        <v>61</v>
      </c>
      <c r="T586">
        <f t="shared" si="70"/>
        <v>29</v>
      </c>
      <c r="U586">
        <f t="shared" si="70"/>
        <v>19</v>
      </c>
      <c r="V586">
        <f t="shared" si="70"/>
        <v>26</v>
      </c>
      <c r="W586">
        <f t="shared" si="70"/>
        <v>25</v>
      </c>
      <c r="X586">
        <f t="shared" si="70"/>
        <v>23</v>
      </c>
      <c r="Y586">
        <f t="shared" si="70"/>
        <v>30</v>
      </c>
      <c r="Z586">
        <f t="shared" si="70"/>
        <v>22</v>
      </c>
      <c r="AA586">
        <f t="shared" si="70"/>
        <v>16</v>
      </c>
      <c r="AB586">
        <f t="shared" si="70"/>
        <v>29</v>
      </c>
      <c r="AC586">
        <f t="shared" si="70"/>
        <v>35</v>
      </c>
      <c r="AD586">
        <f t="shared" si="70"/>
        <v>22</v>
      </c>
      <c r="AE586">
        <f t="shared" si="70"/>
        <v>17</v>
      </c>
      <c r="AF586">
        <f t="shared" si="70"/>
        <v>21</v>
      </c>
      <c r="AG586">
        <f t="shared" si="70"/>
        <v>21</v>
      </c>
    </row>
    <row r="589" spans="1:57" x14ac:dyDescent="0.25">
      <c r="D589" t="s">
        <v>74</v>
      </c>
      <c r="F589" t="s">
        <v>83</v>
      </c>
      <c r="S589" t="s">
        <v>96</v>
      </c>
      <c r="AA589" t="s">
        <v>96</v>
      </c>
      <c r="AE589" t="s">
        <v>96</v>
      </c>
      <c r="AI589" t="s">
        <v>96</v>
      </c>
      <c r="AQ589" t="s">
        <v>96</v>
      </c>
      <c r="AY589" t="s">
        <v>96</v>
      </c>
    </row>
    <row r="590" spans="1:57" x14ac:dyDescent="0.25">
      <c r="F590" t="s">
        <v>45</v>
      </c>
      <c r="S590" t="s">
        <v>46</v>
      </c>
      <c r="AA590" t="s">
        <v>47</v>
      </c>
      <c r="AE590" t="s">
        <v>48</v>
      </c>
      <c r="AI590" t="s">
        <v>46</v>
      </c>
      <c r="AK590" t="s">
        <v>49</v>
      </c>
      <c r="AL590" t="s">
        <v>33</v>
      </c>
      <c r="AM590" t="s">
        <v>34</v>
      </c>
      <c r="AN590" t="s">
        <v>35</v>
      </c>
      <c r="AO590" t="s">
        <v>36</v>
      </c>
      <c r="AQ590" t="s">
        <v>47</v>
      </c>
      <c r="AS590" t="s">
        <v>49</v>
      </c>
      <c r="AT590" t="s">
        <v>33</v>
      </c>
      <c r="AU590" t="s">
        <v>34</v>
      </c>
      <c r="AV590" t="s">
        <v>35</v>
      </c>
      <c r="AW590" t="s">
        <v>36</v>
      </c>
      <c r="AY590" t="s">
        <v>48</v>
      </c>
      <c r="BA590" t="s">
        <v>49</v>
      </c>
      <c r="BB590" t="s">
        <v>33</v>
      </c>
      <c r="BC590" t="s">
        <v>34</v>
      </c>
      <c r="BD590" t="s">
        <v>35</v>
      </c>
      <c r="BE590" t="s">
        <v>36</v>
      </c>
    </row>
    <row r="591" spans="1:57" x14ac:dyDescent="0.25">
      <c r="F591" t="s">
        <v>50</v>
      </c>
      <c r="M591" t="s">
        <v>51</v>
      </c>
      <c r="S591" t="s">
        <v>52</v>
      </c>
      <c r="U591">
        <f>COUNTIF(B69:AG69,"&lt;&gt;")</f>
        <v>32</v>
      </c>
      <c r="AA591" t="s">
        <v>52</v>
      </c>
      <c r="AC591">
        <f>COUNTIF(B69:AG69,"&lt;&gt;")</f>
        <v>32</v>
      </c>
      <c r="AE591" t="s">
        <v>52</v>
      </c>
      <c r="AG591">
        <f>COUNTIF(B69:AG69,"&lt;&gt;")</f>
        <v>32</v>
      </c>
      <c r="AI591" t="s">
        <v>52</v>
      </c>
      <c r="AK591">
        <f>COUNTIF($B$2:$AG$2,"&lt;&gt;")</f>
        <v>32</v>
      </c>
      <c r="AL591">
        <f>COUNTIF($B$2:$I$2,"&lt;&gt;")</f>
        <v>8</v>
      </c>
      <c r="AM591">
        <f>COUNTIF($J$2:$R$2,"&lt;&gt;")</f>
        <v>9</v>
      </c>
      <c r="AN591">
        <f>COUNTIF($S$2:$X$2,"&lt;&gt;")</f>
        <v>6</v>
      </c>
      <c r="AO591">
        <f>COUNTIF($Y$2:$AG$2,"&lt;&gt;")</f>
        <v>9</v>
      </c>
      <c r="AQ591" t="s">
        <v>52</v>
      </c>
      <c r="AS591">
        <f>COUNTIF($B$2:$AG$2,"&lt;&gt;")</f>
        <v>32</v>
      </c>
      <c r="AT591">
        <f>COUNTIF($B$2:$I$2,"&lt;&gt;")</f>
        <v>8</v>
      </c>
      <c r="AU591">
        <f>COUNTIF($J$2:$R$2,"&lt;&gt;")</f>
        <v>9</v>
      </c>
      <c r="AV591">
        <f>COUNTIF($S$2:$X$2,"&lt;&gt;")</f>
        <v>6</v>
      </c>
      <c r="AW591">
        <f>COUNTIF($Y$2:$AG$2,"&lt;&gt;")</f>
        <v>9</v>
      </c>
      <c r="AY591" t="s">
        <v>52</v>
      </c>
      <c r="BA591">
        <f>COUNTIF($B$2:$AG$2,"&lt;&gt;")</f>
        <v>32</v>
      </c>
      <c r="BB591">
        <f>COUNTIF($B$2:$I$2,"&lt;&gt;")</f>
        <v>8</v>
      </c>
      <c r="BC591">
        <f>COUNTIF($J$2:$R$2,"&lt;&gt;")</f>
        <v>9</v>
      </c>
      <c r="BD591">
        <f>COUNTIF($S$2:$X$2,"&lt;&gt;")</f>
        <v>6</v>
      </c>
      <c r="BE591">
        <f>COUNTIF($Y$2:$AG$2,"&lt;&gt;")</f>
        <v>9</v>
      </c>
    </row>
    <row r="592" spans="1:57" x14ac:dyDescent="0.25">
      <c r="F592" t="s">
        <v>53</v>
      </c>
      <c r="H592" t="s">
        <v>134</v>
      </c>
      <c r="J592">
        <f>COUNTIF($B$54:$B$235,"&lt;&gt;")</f>
        <v>182</v>
      </c>
      <c r="M592" t="s">
        <v>54</v>
      </c>
      <c r="S592" t="s">
        <v>55</v>
      </c>
      <c r="U592">
        <f>COUNTIF($A$3:$A$511,"&lt;&gt;")</f>
        <v>509</v>
      </c>
      <c r="AA592" t="s">
        <v>55</v>
      </c>
      <c r="AC592">
        <f>SUM($J$524:$J$525)</f>
        <v>275</v>
      </c>
      <c r="AE592" t="s">
        <v>55</v>
      </c>
      <c r="AG592">
        <f>SUM($Q$525:$Q$526)</f>
        <v>234</v>
      </c>
      <c r="AI592" t="s">
        <v>55</v>
      </c>
      <c r="AK592">
        <f>COUNTIF($A$3:$A$511,"&lt;&gt;")</f>
        <v>509</v>
      </c>
      <c r="AL592">
        <f t="shared" ref="AL592:AO592" si="71">COUNTIF($A$3:$A$511,"&lt;&gt;")</f>
        <v>509</v>
      </c>
      <c r="AM592">
        <f t="shared" si="71"/>
        <v>509</v>
      </c>
      <c r="AN592">
        <f t="shared" si="71"/>
        <v>509</v>
      </c>
      <c r="AO592">
        <f t="shared" si="71"/>
        <v>509</v>
      </c>
      <c r="AQ592" t="s">
        <v>55</v>
      </c>
      <c r="AS592">
        <f>SUM($J$524:$J$525)</f>
        <v>275</v>
      </c>
      <c r="AT592">
        <f t="shared" ref="AT592:AW592" si="72">SUM($J$524:$J$525)</f>
        <v>275</v>
      </c>
      <c r="AU592">
        <f t="shared" si="72"/>
        <v>275</v>
      </c>
      <c r="AV592">
        <f t="shared" si="72"/>
        <v>275</v>
      </c>
      <c r="AW592">
        <f t="shared" si="72"/>
        <v>275</v>
      </c>
      <c r="AY592" t="s">
        <v>55</v>
      </c>
      <c r="BA592">
        <f>SUM($Q$525:$Q$526)</f>
        <v>234</v>
      </c>
      <c r="BB592">
        <f t="shared" ref="BB592:BE592" si="73">SUM($Q$525:$Q$526)</f>
        <v>234</v>
      </c>
      <c r="BC592">
        <f t="shared" si="73"/>
        <v>234</v>
      </c>
      <c r="BD592">
        <f t="shared" si="73"/>
        <v>234</v>
      </c>
      <c r="BE592">
        <f t="shared" si="73"/>
        <v>234</v>
      </c>
    </row>
    <row r="593" spans="6:57" x14ac:dyDescent="0.25">
      <c r="F593" t="s">
        <v>56</v>
      </c>
      <c r="H593" t="s">
        <v>135</v>
      </c>
      <c r="J593">
        <f>COUNTIF($B$419:$B$511,"&lt;&gt;")</f>
        <v>93</v>
      </c>
      <c r="M593" t="s">
        <v>57</v>
      </c>
      <c r="O593" t="s">
        <v>137</v>
      </c>
      <c r="Q593">
        <f>COUNTIF($B$3:$B$53,"&lt;&gt;")</f>
        <v>51</v>
      </c>
      <c r="S593" t="s">
        <v>58</v>
      </c>
      <c r="U593">
        <f>U592*U591</f>
        <v>16288</v>
      </c>
      <c r="V593" t="s">
        <v>59</v>
      </c>
      <c r="AA593" t="s">
        <v>58</v>
      </c>
      <c r="AC593">
        <f>AC592*AC591</f>
        <v>8800</v>
      </c>
      <c r="AE593" t="s">
        <v>58</v>
      </c>
      <c r="AG593">
        <f>AG591*AG592</f>
        <v>7488</v>
      </c>
      <c r="AI593" t="s">
        <v>58</v>
      </c>
      <c r="AK593">
        <f>AK592*AK591</f>
        <v>16288</v>
      </c>
      <c r="AL593">
        <f t="shared" ref="AL593:AO593" si="74">AL592*AL591</f>
        <v>4072</v>
      </c>
      <c r="AM593">
        <f t="shared" si="74"/>
        <v>4581</v>
      </c>
      <c r="AN593">
        <f t="shared" si="74"/>
        <v>3054</v>
      </c>
      <c r="AO593">
        <f t="shared" si="74"/>
        <v>4581</v>
      </c>
      <c r="AQ593" t="s">
        <v>58</v>
      </c>
      <c r="AS593">
        <f>AS592*AS591</f>
        <v>8800</v>
      </c>
      <c r="AT593">
        <f t="shared" ref="AT593:AW593" si="75">AT592*AT591</f>
        <v>2200</v>
      </c>
      <c r="AU593">
        <f t="shared" si="75"/>
        <v>2475</v>
      </c>
      <c r="AV593">
        <f t="shared" si="75"/>
        <v>1650</v>
      </c>
      <c r="AW593">
        <f t="shared" si="75"/>
        <v>2475</v>
      </c>
      <c r="AY593" t="s">
        <v>58</v>
      </c>
      <c r="BA593">
        <f>BA592*BA591</f>
        <v>7488</v>
      </c>
      <c r="BB593">
        <f t="shared" ref="BB593:BE593" si="76">BB592*BB591</f>
        <v>1872</v>
      </c>
      <c r="BC593">
        <f t="shared" si="76"/>
        <v>2106</v>
      </c>
      <c r="BD593">
        <f t="shared" si="76"/>
        <v>1404</v>
      </c>
      <c r="BE593">
        <f t="shared" si="76"/>
        <v>2106</v>
      </c>
    </row>
    <row r="594" spans="6:57" x14ac:dyDescent="0.25">
      <c r="F594" t="s">
        <v>60</v>
      </c>
      <c r="H594" t="s">
        <v>136</v>
      </c>
      <c r="J594">
        <f>COUNTIF($A$737:$A$798,"&lt;&gt;")</f>
        <v>0</v>
      </c>
      <c r="M594" t="s">
        <v>61</v>
      </c>
      <c r="O594" t="s">
        <v>138</v>
      </c>
      <c r="Q594">
        <f>COUNTIF($B$236:$B$418,"&lt;&gt;")</f>
        <v>183</v>
      </c>
      <c r="S594" t="s">
        <v>84</v>
      </c>
      <c r="U594">
        <f>SUM(B580:AG580)</f>
        <v>8834</v>
      </c>
      <c r="V594" t="s">
        <v>63</v>
      </c>
      <c r="AA594" t="s">
        <v>84</v>
      </c>
      <c r="AC594">
        <f>SUM(B585:AG585)</f>
        <v>7786</v>
      </c>
      <c r="AE594" t="s">
        <v>85</v>
      </c>
      <c r="AG594">
        <f>SUM(B586:AG586)</f>
        <v>1048</v>
      </c>
      <c r="AI594" t="s">
        <v>84</v>
      </c>
      <c r="AK594">
        <f>SUM(B580:AG580)</f>
        <v>8834</v>
      </c>
      <c r="AL594">
        <f>SUM(B580:I580)</f>
        <v>2333</v>
      </c>
      <c r="AM594">
        <f>SUM(J580:R580)</f>
        <v>2441</v>
      </c>
      <c r="AN594">
        <f>SUM(S580:X580)</f>
        <v>1674</v>
      </c>
      <c r="AO594">
        <f>SUM(Y580:AG580)</f>
        <v>2386</v>
      </c>
      <c r="AQ594" t="s">
        <v>84</v>
      </c>
      <c r="AS594">
        <f>SUM(B585:AG585)</f>
        <v>7786</v>
      </c>
      <c r="AT594">
        <f>SUM(B585:I585)</f>
        <v>1955</v>
      </c>
      <c r="AU594">
        <f>SUM(J585:R585)</f>
        <v>2167</v>
      </c>
      <c r="AV594">
        <f>SUM(S585:X585)</f>
        <v>1491</v>
      </c>
      <c r="AW594">
        <f>SUM(Y585:AG585)</f>
        <v>2173</v>
      </c>
      <c r="AY594" t="s">
        <v>84</v>
      </c>
      <c r="BA594">
        <f>SUM($B586:$AG586)</f>
        <v>1048</v>
      </c>
      <c r="BB594">
        <f>SUM(B586:I586)</f>
        <v>378</v>
      </c>
      <c r="BC594">
        <f>SUM(J586:R586)</f>
        <v>274</v>
      </c>
      <c r="BD594">
        <f>SUM(S586:X586)</f>
        <v>183</v>
      </c>
      <c r="BE594">
        <f>SUM(Y586:AG586)</f>
        <v>213</v>
      </c>
    </row>
    <row r="595" spans="6:57" x14ac:dyDescent="0.25">
      <c r="S595" t="s">
        <v>64</v>
      </c>
      <c r="U595">
        <f>$U594/$U593</f>
        <v>0.54236247544204319</v>
      </c>
      <c r="AA595" t="s">
        <v>65</v>
      </c>
      <c r="AC595">
        <f>AC594/AC593</f>
        <v>0.88477272727272727</v>
      </c>
      <c r="AE595" t="s">
        <v>66</v>
      </c>
      <c r="AG595">
        <f>AG594/AG593</f>
        <v>0.13995726495726496</v>
      </c>
      <c r="AI595" t="s">
        <v>64</v>
      </c>
      <c r="AK595">
        <f>AK594/AK593</f>
        <v>0.54236247544204319</v>
      </c>
      <c r="AL595">
        <f t="shared" ref="AL595:AO595" si="77">AL594/AL593</f>
        <v>0.5729371316306483</v>
      </c>
      <c r="AM595">
        <f t="shared" si="77"/>
        <v>0.5328530888452303</v>
      </c>
      <c r="AN595">
        <f t="shared" si="77"/>
        <v>0.54813359528487227</v>
      </c>
      <c r="AO595">
        <f t="shared" si="77"/>
        <v>0.52084697664265445</v>
      </c>
      <c r="AQ595" t="s">
        <v>65</v>
      </c>
      <c r="AS595">
        <f>AS594/AS593</f>
        <v>0.88477272727272727</v>
      </c>
      <c r="AT595">
        <f t="shared" ref="AT595:AW595" si="78">AT594/AT593</f>
        <v>0.88863636363636367</v>
      </c>
      <c r="AU595">
        <f t="shared" si="78"/>
        <v>0.87555555555555553</v>
      </c>
      <c r="AV595">
        <f t="shared" si="78"/>
        <v>0.90363636363636368</v>
      </c>
      <c r="AW595">
        <f t="shared" si="78"/>
        <v>0.87797979797979797</v>
      </c>
      <c r="AY595" t="s">
        <v>66</v>
      </c>
      <c r="BA595">
        <f>BA594/BA593</f>
        <v>0.13995726495726496</v>
      </c>
      <c r="BB595">
        <f t="shared" ref="BB595:BE595" si="79">BB594/BB593</f>
        <v>0.20192307692307693</v>
      </c>
      <c r="BC595">
        <f t="shared" si="79"/>
        <v>0.13010446343779677</v>
      </c>
      <c r="BD595">
        <f t="shared" si="79"/>
        <v>0.13034188034188035</v>
      </c>
      <c r="BE595">
        <f t="shared" si="79"/>
        <v>0.10113960113960115</v>
      </c>
    </row>
  </sheetData>
  <mergeCells count="4">
    <mergeCell ref="B1:I1"/>
    <mergeCell ref="J1:R1"/>
    <mergeCell ref="S1:X1"/>
    <mergeCell ref="Y1:AG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595"/>
  <sheetViews>
    <sheetView topLeftCell="AA516" workbookViewId="0">
      <selection activeCell="AY590" sqref="AY590"/>
    </sheetView>
  </sheetViews>
  <sheetFormatPr defaultColWidth="11.42578125" defaultRowHeight="15" x14ac:dyDescent="0.25"/>
  <sheetData>
    <row r="1" spans="1:33" x14ac:dyDescent="0.25">
      <c r="B1" s="100" t="s">
        <v>33</v>
      </c>
      <c r="C1" s="100"/>
      <c r="D1" s="100"/>
      <c r="E1" s="100"/>
      <c r="F1" s="100"/>
      <c r="G1" s="100"/>
      <c r="H1" s="100"/>
      <c r="I1" s="100"/>
      <c r="J1" s="101" t="s">
        <v>34</v>
      </c>
      <c r="K1" s="101"/>
      <c r="L1" s="101"/>
      <c r="M1" s="101"/>
      <c r="N1" s="101"/>
      <c r="O1" s="101"/>
      <c r="P1" s="101"/>
      <c r="Q1" s="101"/>
      <c r="R1" s="101"/>
      <c r="S1" s="102" t="s">
        <v>35</v>
      </c>
      <c r="T1" s="102"/>
      <c r="U1" s="102"/>
      <c r="V1" s="102"/>
      <c r="W1" s="102"/>
      <c r="X1" s="102"/>
      <c r="Y1" s="103" t="s">
        <v>36</v>
      </c>
      <c r="Z1" s="103"/>
      <c r="AA1" s="103"/>
      <c r="AB1" s="103"/>
      <c r="AC1" s="103"/>
      <c r="AD1" s="103"/>
      <c r="AE1" s="103"/>
      <c r="AF1" s="103"/>
      <c r="AG1" s="103"/>
    </row>
    <row r="2" spans="1:3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</row>
    <row r="3" spans="1:33" x14ac:dyDescent="0.25">
      <c r="A3" s="1">
        <v>44054</v>
      </c>
      <c r="B3">
        <v>22.560763999999999</v>
      </c>
      <c r="C3">
        <v>21.901028</v>
      </c>
      <c r="D3">
        <v>22.4312</v>
      </c>
      <c r="E3">
        <v>22.658598000000001</v>
      </c>
      <c r="F3">
        <v>20.755389999999998</v>
      </c>
      <c r="G3">
        <v>21.305948000000001</v>
      </c>
      <c r="H3">
        <v>20.295216</v>
      </c>
      <c r="I3">
        <v>20.915659000000002</v>
      </c>
      <c r="J3">
        <v>23.26238</v>
      </c>
      <c r="K3">
        <v>22.902940000000001</v>
      </c>
      <c r="L3">
        <v>23.922787</v>
      </c>
      <c r="M3">
        <v>21.527235000000001</v>
      </c>
      <c r="N3">
        <v>22.213595999999999</v>
      </c>
      <c r="O3">
        <v>23.735482999999999</v>
      </c>
      <c r="P3">
        <v>22.804697000000001</v>
      </c>
      <c r="Q3">
        <v>21.601510999999999</v>
      </c>
      <c r="R3">
        <v>23.547872999999999</v>
      </c>
      <c r="S3">
        <v>22.027601000000001</v>
      </c>
      <c r="T3">
        <v>23.297243000000002</v>
      </c>
      <c r="U3">
        <v>23.66891</v>
      </c>
      <c r="V3">
        <v>23.215229999999998</v>
      </c>
      <c r="W3">
        <v>23.670117999999999</v>
      </c>
      <c r="X3">
        <v>23.274830000000001</v>
      </c>
      <c r="Y3">
        <v>25.640063999999999</v>
      </c>
      <c r="Z3">
        <v>24.261199999999999</v>
      </c>
      <c r="AA3">
        <v>25.027301999999999</v>
      </c>
      <c r="AB3">
        <v>25.589694999999999</v>
      </c>
      <c r="AC3">
        <v>26.869406000000001</v>
      </c>
      <c r="AD3">
        <v>24.109734</v>
      </c>
      <c r="AE3">
        <v>25.979966999999998</v>
      </c>
      <c r="AF3">
        <v>26.154945000000001</v>
      </c>
      <c r="AG3">
        <v>25.606352000000001</v>
      </c>
    </row>
    <row r="4" spans="1:33" x14ac:dyDescent="0.25">
      <c r="A4" s="1">
        <v>44055</v>
      </c>
      <c r="B4">
        <v>22.740259999999999</v>
      </c>
      <c r="C4">
        <v>22.160879999999999</v>
      </c>
      <c r="D4">
        <v>22.396256999999999</v>
      </c>
      <c r="E4">
        <v>22.537185999999998</v>
      </c>
      <c r="F4">
        <v>21.16958</v>
      </c>
      <c r="G4">
        <v>21.161750000000001</v>
      </c>
      <c r="H4">
        <v>20.250520000000002</v>
      </c>
      <c r="I4">
        <v>20.555219999999998</v>
      </c>
      <c r="J4">
        <v>23.017015000000001</v>
      </c>
      <c r="K4">
        <v>22.673158999999998</v>
      </c>
      <c r="L4">
        <v>23.855062</v>
      </c>
      <c r="M4">
        <v>21.429704999999998</v>
      </c>
      <c r="N4">
        <v>22.086098</v>
      </c>
      <c r="O4">
        <v>23.607810000000001</v>
      </c>
      <c r="P4">
        <v>22.58709</v>
      </c>
      <c r="Q4">
        <v>21.476517000000001</v>
      </c>
      <c r="R4">
        <v>23.388722999999999</v>
      </c>
      <c r="S4">
        <v>20.774557000000001</v>
      </c>
      <c r="T4">
        <v>22.965813000000001</v>
      </c>
      <c r="U4">
        <v>23.642679999999999</v>
      </c>
      <c r="V4">
        <v>23.318650999999999</v>
      </c>
      <c r="W4">
        <v>23.051378</v>
      </c>
      <c r="X4">
        <v>23.477995</v>
      </c>
      <c r="Y4">
        <v>25.614820000000002</v>
      </c>
      <c r="Z4">
        <v>24.201597</v>
      </c>
      <c r="AA4">
        <v>25.273102000000002</v>
      </c>
      <c r="AB4">
        <v>25.543482000000001</v>
      </c>
      <c r="AC4">
        <v>26.659303999999999</v>
      </c>
      <c r="AD4">
        <v>24.081526</v>
      </c>
      <c r="AE4">
        <v>25.707560000000001</v>
      </c>
      <c r="AF4">
        <v>26.247672999999999</v>
      </c>
      <c r="AG4">
        <v>25.344595000000002</v>
      </c>
    </row>
    <row r="5" spans="1:33" x14ac:dyDescent="0.25">
      <c r="A5" s="1">
        <v>44056</v>
      </c>
      <c r="B5">
        <v>23.228072999999998</v>
      </c>
      <c r="C5">
        <v>22.339314999999999</v>
      </c>
      <c r="D5">
        <v>22.433440999999998</v>
      </c>
      <c r="E5">
        <v>22.549416000000001</v>
      </c>
      <c r="F5">
        <v>21.422049000000001</v>
      </c>
      <c r="G5">
        <v>21.264738000000001</v>
      </c>
      <c r="H5">
        <v>20.431339999999999</v>
      </c>
      <c r="I5">
        <v>20.449096999999998</v>
      </c>
      <c r="J5">
        <v>23.294321</v>
      </c>
      <c r="K5">
        <v>22.747</v>
      </c>
      <c r="L5">
        <v>23.951430999999999</v>
      </c>
      <c r="M5">
        <v>21.545158000000001</v>
      </c>
      <c r="N5">
        <v>22.320557000000001</v>
      </c>
      <c r="O5">
        <v>23.746199000000001</v>
      </c>
      <c r="P5">
        <v>22.671033999999999</v>
      </c>
      <c r="Q5">
        <v>21.532883000000002</v>
      </c>
      <c r="R5">
        <v>23.541008000000001</v>
      </c>
      <c r="S5">
        <v>20.764603000000001</v>
      </c>
      <c r="T5">
        <v>23.153511000000002</v>
      </c>
      <c r="U5">
        <v>22.764887000000002</v>
      </c>
      <c r="V5">
        <v>23.825711999999999</v>
      </c>
      <c r="W5">
        <v>22.629766</v>
      </c>
      <c r="X5">
        <v>23.979154999999999</v>
      </c>
      <c r="Y5">
        <v>25.697533</v>
      </c>
      <c r="Z5">
        <v>24.40624</v>
      </c>
      <c r="AA5">
        <v>25.613426</v>
      </c>
      <c r="AB5">
        <v>25.636240000000001</v>
      </c>
      <c r="AC5">
        <v>26.678125000000001</v>
      </c>
      <c r="AD5">
        <v>24.171956999999999</v>
      </c>
      <c r="AE5">
        <v>26.152290000000001</v>
      </c>
      <c r="AF5">
        <v>26.414110000000001</v>
      </c>
      <c r="AG5">
        <v>25.398309999999999</v>
      </c>
    </row>
    <row r="6" spans="1:33" x14ac:dyDescent="0.25">
      <c r="A6" s="1">
        <v>44057</v>
      </c>
      <c r="B6">
        <v>23.841951000000002</v>
      </c>
      <c r="C6">
        <v>22.668237999999999</v>
      </c>
      <c r="D6">
        <v>22.728258</v>
      </c>
      <c r="E6">
        <v>22.772901999999998</v>
      </c>
      <c r="F6">
        <v>21.960457000000002</v>
      </c>
      <c r="G6">
        <v>21.577269999999999</v>
      </c>
      <c r="H6">
        <v>20.751507</v>
      </c>
      <c r="I6">
        <v>21.008295</v>
      </c>
      <c r="J6">
        <v>24.071884000000001</v>
      </c>
      <c r="K6">
        <v>23.106833000000002</v>
      </c>
      <c r="L6">
        <v>24.272508999999999</v>
      </c>
      <c r="M6">
        <v>21.873283000000001</v>
      </c>
      <c r="N6">
        <v>22.787416</v>
      </c>
      <c r="O6">
        <v>24.147898000000001</v>
      </c>
      <c r="P6">
        <v>23.015291000000001</v>
      </c>
      <c r="Q6">
        <v>21.841024000000001</v>
      </c>
      <c r="R6">
        <v>23.893823999999999</v>
      </c>
      <c r="S6">
        <v>21.783736999999999</v>
      </c>
      <c r="T6">
        <v>23.509126999999999</v>
      </c>
      <c r="U6">
        <v>23.068491000000002</v>
      </c>
      <c r="V6">
        <v>23.667594999999999</v>
      </c>
      <c r="W6">
        <v>23.059806999999999</v>
      </c>
      <c r="X6">
        <v>23.544499999999999</v>
      </c>
      <c r="Y6">
        <v>25.990313</v>
      </c>
      <c r="Z6">
        <v>24.791716000000001</v>
      </c>
      <c r="AA6">
        <v>25.997332</v>
      </c>
      <c r="AB6">
        <v>25.884878</v>
      </c>
      <c r="AC6">
        <v>26.968627999999999</v>
      </c>
      <c r="AD6">
        <v>24.453478</v>
      </c>
      <c r="AE6">
        <v>26.818085</v>
      </c>
      <c r="AF6">
        <v>26.645119000000001</v>
      </c>
      <c r="AG6">
        <v>25.842649999999999</v>
      </c>
    </row>
    <row r="7" spans="1:33" x14ac:dyDescent="0.25">
      <c r="A7" s="1">
        <v>44058</v>
      </c>
      <c r="B7">
        <v>24.282633000000001</v>
      </c>
      <c r="C7">
        <v>23.144928</v>
      </c>
      <c r="D7">
        <v>23.201913999999999</v>
      </c>
      <c r="E7">
        <v>23.128492000000001</v>
      </c>
      <c r="F7">
        <v>22.431137</v>
      </c>
      <c r="G7">
        <v>22.022814</v>
      </c>
      <c r="H7">
        <v>21.105097000000001</v>
      </c>
      <c r="I7">
        <v>21.660944000000001</v>
      </c>
      <c r="J7">
        <v>25.048158999999998</v>
      </c>
      <c r="K7">
        <v>23.626218999999999</v>
      </c>
      <c r="L7">
        <v>24.680327999999999</v>
      </c>
      <c r="M7">
        <v>22.276547999999998</v>
      </c>
      <c r="N7">
        <v>23.243155999999999</v>
      </c>
      <c r="O7">
        <v>24.551587999999999</v>
      </c>
      <c r="P7">
        <v>23.530297999999998</v>
      </c>
      <c r="Q7">
        <v>22.283570999999998</v>
      </c>
      <c r="R7">
        <v>24.299230000000001</v>
      </c>
      <c r="S7">
        <v>22.924966999999999</v>
      </c>
      <c r="T7">
        <v>23.945509999999999</v>
      </c>
      <c r="U7">
        <v>23.356192</v>
      </c>
      <c r="V7">
        <v>24.091797</v>
      </c>
      <c r="W7">
        <v>23.362852</v>
      </c>
      <c r="X7">
        <v>24.036805999999999</v>
      </c>
      <c r="Y7">
        <v>26.452002</v>
      </c>
      <c r="Z7">
        <v>25.366240000000001</v>
      </c>
      <c r="AA7">
        <v>26.463362</v>
      </c>
      <c r="AB7">
        <v>26.331007</v>
      </c>
      <c r="AC7">
        <v>27.530197000000001</v>
      </c>
      <c r="AD7">
        <v>24.801787999999998</v>
      </c>
      <c r="AE7">
        <v>27.462126000000001</v>
      </c>
      <c r="AF7">
        <v>26.985060000000001</v>
      </c>
      <c r="AG7">
        <v>26.444122</v>
      </c>
    </row>
    <row r="8" spans="1:33" x14ac:dyDescent="0.25">
      <c r="A8" s="1">
        <v>44059</v>
      </c>
      <c r="B8">
        <v>24.511552999999999</v>
      </c>
      <c r="C8">
        <v>23.558043000000001</v>
      </c>
      <c r="D8">
        <v>23.615625000000001</v>
      </c>
      <c r="E8">
        <v>23.457326999999999</v>
      </c>
      <c r="F8">
        <v>22.716246000000002</v>
      </c>
      <c r="G8">
        <v>22.365349999999999</v>
      </c>
      <c r="H8">
        <v>21.423749999999998</v>
      </c>
      <c r="I8">
        <v>21.972760999999998</v>
      </c>
      <c r="J8">
        <v>25.619973999999999</v>
      </c>
      <c r="K8">
        <v>24.006133999999999</v>
      </c>
      <c r="L8">
        <v>24.979559999999999</v>
      </c>
      <c r="M8">
        <v>22.623062000000001</v>
      </c>
      <c r="N8">
        <v>23.598161999999999</v>
      </c>
      <c r="O8">
        <v>24.743020999999999</v>
      </c>
      <c r="P8">
        <v>23.921164000000001</v>
      </c>
      <c r="Q8">
        <v>22.645021</v>
      </c>
      <c r="R8">
        <v>24.603151</v>
      </c>
      <c r="S8">
        <v>23.745515999999999</v>
      </c>
      <c r="T8">
        <v>24.32715</v>
      </c>
      <c r="U8">
        <v>23.653283999999999</v>
      </c>
      <c r="V8">
        <v>24.438606</v>
      </c>
      <c r="W8">
        <v>23.576993999999999</v>
      </c>
      <c r="X8">
        <v>24.402242999999999</v>
      </c>
      <c r="Y8">
        <v>26.96913</v>
      </c>
      <c r="Z8">
        <v>25.72804</v>
      </c>
      <c r="AA8">
        <v>26.869890000000002</v>
      </c>
      <c r="AB8">
        <v>26.810580000000002</v>
      </c>
      <c r="AC8">
        <v>28.098099999999999</v>
      </c>
      <c r="AD8">
        <v>25.133096999999999</v>
      </c>
      <c r="AE8">
        <v>28.402681000000001</v>
      </c>
      <c r="AF8">
        <v>27.326546</v>
      </c>
      <c r="AG8">
        <v>26.941016999999999</v>
      </c>
    </row>
    <row r="9" spans="1:33" x14ac:dyDescent="0.25">
      <c r="A9" s="1">
        <v>44060</v>
      </c>
      <c r="B9">
        <v>24.856860000000001</v>
      </c>
      <c r="C9">
        <v>24.033407</v>
      </c>
      <c r="D9">
        <v>24.052686999999999</v>
      </c>
      <c r="E9">
        <v>23.843223999999999</v>
      </c>
      <c r="F9">
        <v>23.146270000000001</v>
      </c>
      <c r="G9">
        <v>22.789331000000001</v>
      </c>
      <c r="H9">
        <v>21.880860999999999</v>
      </c>
      <c r="I9">
        <v>22.524742</v>
      </c>
      <c r="J9">
        <v>26.141967999999999</v>
      </c>
      <c r="K9">
        <v>24.422326999999999</v>
      </c>
      <c r="L9">
        <v>25.314978</v>
      </c>
      <c r="M9">
        <v>23.056992000000001</v>
      </c>
      <c r="N9">
        <v>24.088439999999999</v>
      </c>
      <c r="O9">
        <v>25.087264999999999</v>
      </c>
      <c r="P9">
        <v>24.344328000000001</v>
      </c>
      <c r="Q9">
        <v>23.08755</v>
      </c>
      <c r="R9">
        <v>24.988703000000001</v>
      </c>
      <c r="S9">
        <v>24.508545000000002</v>
      </c>
      <c r="T9">
        <v>24.784310999999999</v>
      </c>
      <c r="U9">
        <v>23.968636</v>
      </c>
      <c r="V9">
        <v>24.782693999999999</v>
      </c>
      <c r="W9">
        <v>23.921700000000001</v>
      </c>
      <c r="X9">
        <v>24.704139999999999</v>
      </c>
      <c r="Y9">
        <v>27.538602999999998</v>
      </c>
      <c r="Z9">
        <v>25.90671</v>
      </c>
      <c r="AA9">
        <v>27.236214</v>
      </c>
      <c r="AB9">
        <v>27.373940999999999</v>
      </c>
      <c r="AC9">
        <v>28.523125</v>
      </c>
      <c r="AD9">
        <v>25.473557</v>
      </c>
      <c r="AE9">
        <v>28.705618000000001</v>
      </c>
      <c r="AF9">
        <v>27.579253999999999</v>
      </c>
      <c r="AG9">
        <v>27.304337</v>
      </c>
    </row>
    <row r="10" spans="1:33" x14ac:dyDescent="0.25">
      <c r="A10" s="1">
        <v>44061</v>
      </c>
      <c r="B10">
        <v>25.198861999999998</v>
      </c>
      <c r="C10">
        <v>24.490310000000001</v>
      </c>
      <c r="D10">
        <v>24.450106000000002</v>
      </c>
      <c r="E10">
        <v>24.191693999999998</v>
      </c>
      <c r="F10">
        <v>23.517641000000001</v>
      </c>
      <c r="G10">
        <v>23.243582</v>
      </c>
      <c r="H10">
        <v>22.263247</v>
      </c>
      <c r="I10">
        <v>22.93872</v>
      </c>
      <c r="J10">
        <v>26.608550999999999</v>
      </c>
      <c r="K10">
        <v>24.867675999999999</v>
      </c>
      <c r="L10">
        <v>25.675986999999999</v>
      </c>
      <c r="M10">
        <v>23.489889999999999</v>
      </c>
      <c r="N10">
        <v>24.534490000000002</v>
      </c>
      <c r="O10">
        <v>25.419203</v>
      </c>
      <c r="P10">
        <v>24.803148</v>
      </c>
      <c r="Q10">
        <v>23.547875999999999</v>
      </c>
      <c r="R10">
        <v>25.345891999999999</v>
      </c>
      <c r="S10">
        <v>25.248010000000001</v>
      </c>
      <c r="T10">
        <v>25.220503000000001</v>
      </c>
      <c r="U10">
        <v>24.032446</v>
      </c>
      <c r="V10">
        <v>25.076941999999999</v>
      </c>
      <c r="W10">
        <v>23.670974999999999</v>
      </c>
      <c r="X10">
        <v>24.962357999999998</v>
      </c>
      <c r="Y10">
        <v>27.941727</v>
      </c>
      <c r="Z10">
        <v>26.165700000000001</v>
      </c>
      <c r="AA10">
        <v>27.549492000000001</v>
      </c>
      <c r="AB10">
        <v>27.743147</v>
      </c>
      <c r="AC10">
        <v>28.833565</v>
      </c>
      <c r="AD10">
        <v>25.817263000000001</v>
      </c>
      <c r="AE10">
        <v>28.104956000000001</v>
      </c>
      <c r="AF10">
        <v>27.852720000000001</v>
      </c>
      <c r="AG10">
        <v>27.594495999999999</v>
      </c>
    </row>
    <row r="11" spans="1:33" x14ac:dyDescent="0.25">
      <c r="A11" s="1">
        <v>44062</v>
      </c>
      <c r="B11">
        <v>24.849474000000001</v>
      </c>
      <c r="C11">
        <v>24.584152</v>
      </c>
      <c r="D11">
        <v>24.469538</v>
      </c>
      <c r="E11">
        <v>24.136863999999999</v>
      </c>
      <c r="F11">
        <v>23.379396</v>
      </c>
      <c r="G11">
        <v>23.424997000000001</v>
      </c>
      <c r="H11">
        <v>22.325047999999999</v>
      </c>
      <c r="I11">
        <v>22.526693000000002</v>
      </c>
      <c r="J11">
        <v>26.596475999999999</v>
      </c>
      <c r="K11">
        <v>25.062270999999999</v>
      </c>
      <c r="L11">
        <v>25.743216</v>
      </c>
      <c r="M11">
        <v>23.625986000000001</v>
      </c>
      <c r="N11">
        <v>24.613900000000001</v>
      </c>
      <c r="O11">
        <v>25.41337</v>
      </c>
      <c r="P11">
        <v>25.010304999999999</v>
      </c>
      <c r="Q11">
        <v>23.731231999999999</v>
      </c>
      <c r="R11">
        <v>25.400438000000001</v>
      </c>
      <c r="S11">
        <v>24.896222999999999</v>
      </c>
      <c r="T11">
        <v>25.250741999999999</v>
      </c>
      <c r="U11">
        <v>23.507629999999999</v>
      </c>
      <c r="V11">
        <v>24.961884000000001</v>
      </c>
      <c r="W11">
        <v>23.068542000000001</v>
      </c>
      <c r="X11">
        <v>24.810960000000001</v>
      </c>
      <c r="Y11">
        <v>27.898796000000001</v>
      </c>
      <c r="Z11">
        <v>26.128</v>
      </c>
      <c r="AA11">
        <v>27.626877</v>
      </c>
      <c r="AB11">
        <v>27.719154</v>
      </c>
      <c r="AC11">
        <v>28.839967999999999</v>
      </c>
      <c r="AD11">
        <v>25.908815000000001</v>
      </c>
      <c r="AE11">
        <v>27.216301000000001</v>
      </c>
      <c r="AF11">
        <v>28.001925</v>
      </c>
      <c r="AG11">
        <v>27.545258</v>
      </c>
    </row>
    <row r="12" spans="1:33" x14ac:dyDescent="0.25">
      <c r="A12" s="1">
        <v>44063</v>
      </c>
      <c r="B12">
        <v>24.181025000000002</v>
      </c>
      <c r="C12">
        <v>24.190928</v>
      </c>
      <c r="D12">
        <v>24.054182000000001</v>
      </c>
      <c r="E12">
        <v>23.722275</v>
      </c>
      <c r="F12">
        <v>22.9955</v>
      </c>
      <c r="G12">
        <v>23.241040999999999</v>
      </c>
      <c r="H12">
        <v>22.163567</v>
      </c>
      <c r="I12">
        <v>21.805223000000002</v>
      </c>
      <c r="J12">
        <v>25.559674999999999</v>
      </c>
      <c r="K12">
        <v>24.754304999999999</v>
      </c>
      <c r="L12">
        <v>25.460958000000002</v>
      </c>
      <c r="M12">
        <v>23.393305000000002</v>
      </c>
      <c r="N12">
        <v>24.198264999999999</v>
      </c>
      <c r="O12">
        <v>25.107873999999999</v>
      </c>
      <c r="P12">
        <v>24.723680000000002</v>
      </c>
      <c r="Q12">
        <v>23.501165</v>
      </c>
      <c r="R12">
        <v>25.181996999999999</v>
      </c>
      <c r="S12">
        <v>23.604043999999998</v>
      </c>
      <c r="T12">
        <v>24.775286000000001</v>
      </c>
      <c r="U12">
        <v>22.67867</v>
      </c>
      <c r="V12">
        <v>24.239180000000001</v>
      </c>
      <c r="W12">
        <v>22.294550000000001</v>
      </c>
      <c r="X12">
        <v>24.016058000000001</v>
      </c>
      <c r="Y12">
        <v>27.481466000000001</v>
      </c>
      <c r="Z12">
        <v>25.704996000000001</v>
      </c>
      <c r="AA12">
        <v>27.376192</v>
      </c>
      <c r="AB12">
        <v>27.343744000000001</v>
      </c>
      <c r="AC12">
        <v>28.322057999999998</v>
      </c>
      <c r="AD12">
        <v>25.703506000000001</v>
      </c>
      <c r="AE12">
        <v>25.900321999999999</v>
      </c>
      <c r="AF12">
        <v>27.90954</v>
      </c>
      <c r="AG12">
        <v>27.239007999999998</v>
      </c>
    </row>
    <row r="13" spans="1:33" x14ac:dyDescent="0.25">
      <c r="A13" s="1">
        <v>44064</v>
      </c>
      <c r="B13">
        <v>24.033670000000001</v>
      </c>
      <c r="C13">
        <v>24.052769999999999</v>
      </c>
      <c r="D13">
        <v>23.762474000000001</v>
      </c>
      <c r="E13">
        <v>23.465852999999999</v>
      </c>
      <c r="F13">
        <v>22.967981000000002</v>
      </c>
      <c r="G13">
        <v>23.102025999999999</v>
      </c>
      <c r="H13">
        <v>22.048705999999999</v>
      </c>
      <c r="I13">
        <v>21.578987000000001</v>
      </c>
      <c r="J13">
        <v>25.203253</v>
      </c>
      <c r="K13">
        <v>24.657990000000002</v>
      </c>
      <c r="L13">
        <v>25.280809999999999</v>
      </c>
      <c r="M13">
        <v>23.269086999999999</v>
      </c>
      <c r="N13">
        <v>24.066282000000001</v>
      </c>
      <c r="O13">
        <v>24.866686000000001</v>
      </c>
      <c r="P13">
        <v>24.605554999999999</v>
      </c>
      <c r="Q13">
        <v>23.374680999999999</v>
      </c>
      <c r="R13">
        <v>25.069075000000002</v>
      </c>
      <c r="S13">
        <v>22.910276</v>
      </c>
      <c r="T13">
        <v>24.308354999999999</v>
      </c>
      <c r="U13">
        <v>21.991999</v>
      </c>
      <c r="V13">
        <v>23.523873999999999</v>
      </c>
      <c r="W13">
        <v>21.682500000000001</v>
      </c>
      <c r="X13">
        <v>23.207992999999998</v>
      </c>
      <c r="Y13">
        <v>27.115082000000001</v>
      </c>
      <c r="Z13">
        <v>25.151872999999998</v>
      </c>
      <c r="AA13">
        <v>27.053367999999999</v>
      </c>
      <c r="AB13">
        <v>27.040365000000001</v>
      </c>
      <c r="AC13">
        <v>27.888601000000001</v>
      </c>
      <c r="AD13">
        <v>25.482047999999999</v>
      </c>
      <c r="AE13">
        <v>24.465920000000001</v>
      </c>
      <c r="AF13">
        <v>27.823557000000001</v>
      </c>
      <c r="AG13">
        <v>27.021056999999999</v>
      </c>
    </row>
    <row r="14" spans="1:33" x14ac:dyDescent="0.25">
      <c r="A14" s="1">
        <v>44065</v>
      </c>
      <c r="B14">
        <v>24.19333</v>
      </c>
      <c r="C14">
        <v>24.177889</v>
      </c>
      <c r="D14">
        <v>23.746378</v>
      </c>
      <c r="E14">
        <v>23.513750000000002</v>
      </c>
      <c r="F14">
        <v>23.113817000000001</v>
      </c>
      <c r="G14">
        <v>23.181771999999999</v>
      </c>
      <c r="H14">
        <v>22.10407</v>
      </c>
      <c r="I14">
        <v>21.709672999999999</v>
      </c>
      <c r="J14">
        <v>25.465437000000001</v>
      </c>
      <c r="K14">
        <v>24.745155</v>
      </c>
      <c r="L14">
        <v>25.232780000000002</v>
      </c>
      <c r="M14">
        <v>23.374517000000001</v>
      </c>
      <c r="N14">
        <v>24.183577</v>
      </c>
      <c r="O14">
        <v>24.688117999999999</v>
      </c>
      <c r="P14">
        <v>24.686917999999999</v>
      </c>
      <c r="Q14">
        <v>23.487831</v>
      </c>
      <c r="R14">
        <v>25.066374</v>
      </c>
      <c r="S14">
        <v>23.074622999999999</v>
      </c>
      <c r="T14">
        <v>24.063133000000001</v>
      </c>
      <c r="U14">
        <v>21.552675000000001</v>
      </c>
      <c r="V14">
        <v>22.990991999999999</v>
      </c>
      <c r="W14">
        <v>21.185953000000001</v>
      </c>
      <c r="X14">
        <v>22.626669</v>
      </c>
      <c r="Y14">
        <v>27.232054000000002</v>
      </c>
      <c r="Z14">
        <v>24.679048999999999</v>
      </c>
      <c r="AA14">
        <v>27.084752999999999</v>
      </c>
      <c r="AB14">
        <v>27.125933</v>
      </c>
      <c r="AC14">
        <v>28.016075000000001</v>
      </c>
      <c r="AD14">
        <v>25.413350999999999</v>
      </c>
      <c r="AE14">
        <v>24.230786999999999</v>
      </c>
      <c r="AF14">
        <v>27.910485999999999</v>
      </c>
      <c r="AG14">
        <v>27.071169000000001</v>
      </c>
    </row>
    <row r="15" spans="1:33" x14ac:dyDescent="0.25">
      <c r="A15" s="1">
        <v>44066</v>
      </c>
      <c r="B15">
        <v>23.926573000000001</v>
      </c>
      <c r="C15">
        <v>24.078942999999999</v>
      </c>
      <c r="D15">
        <v>23.597951999999999</v>
      </c>
      <c r="E15">
        <v>23.407084000000001</v>
      </c>
      <c r="F15">
        <v>22.901793000000001</v>
      </c>
      <c r="G15">
        <v>23.104683000000001</v>
      </c>
      <c r="H15">
        <v>21.972626000000002</v>
      </c>
      <c r="I15">
        <v>21.393018999999999</v>
      </c>
      <c r="J15">
        <v>25.334578</v>
      </c>
      <c r="K15">
        <v>24.736826000000001</v>
      </c>
      <c r="L15">
        <v>25.026789000000001</v>
      </c>
      <c r="M15">
        <v>23.289362000000001</v>
      </c>
      <c r="N15">
        <v>24.028352999999999</v>
      </c>
      <c r="O15">
        <v>24.480077999999999</v>
      </c>
      <c r="P15">
        <v>24.669905</v>
      </c>
      <c r="Q15">
        <v>23.445715</v>
      </c>
      <c r="R15">
        <v>24.980634999999999</v>
      </c>
      <c r="S15">
        <v>22.631395000000001</v>
      </c>
      <c r="T15">
        <v>23.7059</v>
      </c>
      <c r="U15">
        <v>20.862375</v>
      </c>
      <c r="V15">
        <v>22.477335</v>
      </c>
      <c r="W15">
        <v>20.477544999999999</v>
      </c>
      <c r="X15">
        <v>22.082228000000001</v>
      </c>
      <c r="Y15">
        <v>27.354089999999999</v>
      </c>
      <c r="Z15">
        <v>24.090661999999998</v>
      </c>
      <c r="AA15">
        <v>27.170127999999998</v>
      </c>
      <c r="AB15">
        <v>27.06578</v>
      </c>
      <c r="AC15">
        <v>28.100211999999999</v>
      </c>
      <c r="AD15">
        <v>25.244986999999998</v>
      </c>
      <c r="AE15">
        <v>24.607775</v>
      </c>
      <c r="AF15">
        <v>28.000350000000001</v>
      </c>
      <c r="AG15">
        <v>27.193254</v>
      </c>
    </row>
    <row r="16" spans="1:33" x14ac:dyDescent="0.25">
      <c r="A16" s="1">
        <v>44067</v>
      </c>
      <c r="B16">
        <v>23.945913000000001</v>
      </c>
      <c r="C16">
        <v>24.037237000000001</v>
      </c>
      <c r="D16">
        <v>23.444479000000001</v>
      </c>
      <c r="E16">
        <v>23.343810999999999</v>
      </c>
      <c r="F16">
        <v>22.855574000000001</v>
      </c>
      <c r="G16">
        <v>22.996580000000002</v>
      </c>
      <c r="H16">
        <v>21.82527</v>
      </c>
      <c r="I16">
        <v>21.257162000000001</v>
      </c>
      <c r="J16">
        <v>25.242218000000001</v>
      </c>
      <c r="K16">
        <v>24.666494</v>
      </c>
      <c r="L16">
        <v>24.896263000000001</v>
      </c>
      <c r="M16">
        <v>23.228151</v>
      </c>
      <c r="N16">
        <v>23.841094999999999</v>
      </c>
      <c r="O16">
        <v>24.352888</v>
      </c>
      <c r="P16">
        <v>24.587281999999998</v>
      </c>
      <c r="Q16">
        <v>23.35737</v>
      </c>
      <c r="R16">
        <v>24.918901000000002</v>
      </c>
      <c r="S16">
        <v>22.105326000000002</v>
      </c>
      <c r="T16">
        <v>23.263971000000002</v>
      </c>
      <c r="U16">
        <v>20.300139999999999</v>
      </c>
      <c r="V16">
        <v>21.888839999999998</v>
      </c>
      <c r="W16">
        <v>20.105682000000002</v>
      </c>
      <c r="X16">
        <v>21.565041999999998</v>
      </c>
      <c r="Y16">
        <v>27.433762000000002</v>
      </c>
      <c r="Z16">
        <v>23.654098999999999</v>
      </c>
      <c r="AA16">
        <v>27.238249</v>
      </c>
      <c r="AB16">
        <v>27.113394</v>
      </c>
      <c r="AC16">
        <v>28.123816999999999</v>
      </c>
      <c r="AD16">
        <v>25.114419999999999</v>
      </c>
      <c r="AE16">
        <v>25.097823999999999</v>
      </c>
      <c r="AF16">
        <v>28.081161000000002</v>
      </c>
      <c r="AG16">
        <v>27.256371999999999</v>
      </c>
    </row>
    <row r="17" spans="1:33" x14ac:dyDescent="0.25">
      <c r="A17" s="1">
        <v>44068</v>
      </c>
      <c r="B17">
        <v>23.991506999999999</v>
      </c>
      <c r="C17">
        <v>23.864256000000001</v>
      </c>
      <c r="D17">
        <v>23.314240000000002</v>
      </c>
      <c r="E17">
        <v>23.255621000000001</v>
      </c>
      <c r="F17">
        <v>22.766923999999999</v>
      </c>
      <c r="G17">
        <v>22.896898</v>
      </c>
      <c r="H17">
        <v>21.734200000000001</v>
      </c>
      <c r="I17">
        <v>21.140692000000001</v>
      </c>
      <c r="J17">
        <v>24.93731</v>
      </c>
      <c r="K17">
        <v>24.491762000000001</v>
      </c>
      <c r="L17">
        <v>24.625406000000002</v>
      </c>
      <c r="M17">
        <v>23.14508</v>
      </c>
      <c r="N17">
        <v>23.545593</v>
      </c>
      <c r="O17">
        <v>24.207827000000002</v>
      </c>
      <c r="P17">
        <v>24.421385000000001</v>
      </c>
      <c r="Q17">
        <v>23.289967999999998</v>
      </c>
      <c r="R17">
        <v>24.74661</v>
      </c>
      <c r="S17">
        <v>21.940908</v>
      </c>
      <c r="T17">
        <v>22.813956999999998</v>
      </c>
      <c r="U17">
        <v>20.540548000000001</v>
      </c>
      <c r="V17">
        <v>21.315268</v>
      </c>
      <c r="W17">
        <v>20.523005000000001</v>
      </c>
      <c r="X17">
        <v>21.031382000000001</v>
      </c>
      <c r="Y17">
        <v>27.511292999999998</v>
      </c>
      <c r="Z17">
        <v>23.343513000000002</v>
      </c>
      <c r="AA17">
        <v>27.190237</v>
      </c>
      <c r="AB17">
        <v>27.179283000000002</v>
      </c>
      <c r="AC17">
        <v>28.032340000000001</v>
      </c>
      <c r="AD17">
        <v>24.893879999999999</v>
      </c>
      <c r="AE17">
        <v>25.674036000000001</v>
      </c>
      <c r="AF17">
        <v>28.100044</v>
      </c>
      <c r="AG17">
        <v>27.24118</v>
      </c>
    </row>
    <row r="18" spans="1:33" x14ac:dyDescent="0.25">
      <c r="A18" s="1">
        <v>44069</v>
      </c>
      <c r="B18">
        <v>23.670584000000002</v>
      </c>
      <c r="C18">
        <v>23.609856000000001</v>
      </c>
      <c r="D18">
        <v>23.063803</v>
      </c>
      <c r="E18">
        <v>23.011292000000001</v>
      </c>
      <c r="F18">
        <v>22.572351000000001</v>
      </c>
      <c r="G18">
        <v>22.752379999999999</v>
      </c>
      <c r="H18">
        <v>21.656029</v>
      </c>
      <c r="I18">
        <v>20.880362000000002</v>
      </c>
      <c r="J18">
        <v>24.827812000000002</v>
      </c>
      <c r="K18">
        <v>24.294098000000002</v>
      </c>
      <c r="L18">
        <v>24.361933000000001</v>
      </c>
      <c r="M18">
        <v>22.966515999999999</v>
      </c>
      <c r="N18">
        <v>23.201820000000001</v>
      </c>
      <c r="O18">
        <v>23.939534999999999</v>
      </c>
      <c r="P18">
        <v>24.210688000000001</v>
      </c>
      <c r="Q18">
        <v>23.10895</v>
      </c>
      <c r="R18">
        <v>24.505457</v>
      </c>
      <c r="S18">
        <v>21.491918999999999</v>
      </c>
      <c r="T18">
        <v>22.484169000000001</v>
      </c>
      <c r="U18">
        <v>20.712534000000002</v>
      </c>
      <c r="V18">
        <v>21.282195999999999</v>
      </c>
      <c r="W18">
        <v>20.618296000000001</v>
      </c>
      <c r="X18">
        <v>21.096776999999999</v>
      </c>
      <c r="Y18">
        <v>27.217054000000001</v>
      </c>
      <c r="Z18">
        <v>22.833048000000002</v>
      </c>
      <c r="AA18">
        <v>27.018723000000001</v>
      </c>
      <c r="AB18">
        <v>26.89048</v>
      </c>
      <c r="AC18">
        <v>27.608114</v>
      </c>
      <c r="AD18">
        <v>24.575060000000001</v>
      </c>
      <c r="AE18">
        <v>25.701253999999999</v>
      </c>
      <c r="AF18">
        <v>28.051915999999999</v>
      </c>
      <c r="AG18">
        <v>26.916664000000001</v>
      </c>
    </row>
    <row r="19" spans="1:33" x14ac:dyDescent="0.25">
      <c r="A19" s="1">
        <v>44070</v>
      </c>
      <c r="B19">
        <v>22.992864999999998</v>
      </c>
      <c r="C19">
        <v>23.078575000000001</v>
      </c>
      <c r="D19">
        <v>22.462385000000001</v>
      </c>
      <c r="E19">
        <v>22.419394</v>
      </c>
      <c r="F19">
        <v>22.134360999999998</v>
      </c>
      <c r="G19">
        <v>22.447533</v>
      </c>
      <c r="H19">
        <v>21.386704999999999</v>
      </c>
      <c r="I19">
        <v>20.107195000000001</v>
      </c>
      <c r="J19">
        <v>24.356829000000001</v>
      </c>
      <c r="K19">
        <v>23.970269999999999</v>
      </c>
      <c r="L19">
        <v>23.970911000000001</v>
      </c>
      <c r="M19">
        <v>22.673760999999999</v>
      </c>
      <c r="N19">
        <v>22.69481</v>
      </c>
      <c r="O19">
        <v>23.515526000000001</v>
      </c>
      <c r="P19">
        <v>23.886063</v>
      </c>
      <c r="Q19">
        <v>22.751439999999999</v>
      </c>
      <c r="R19">
        <v>24.101379999999999</v>
      </c>
      <c r="S19">
        <v>20.533574999999999</v>
      </c>
      <c r="T19">
        <v>21.985643</v>
      </c>
      <c r="U19">
        <v>20.723172999999999</v>
      </c>
      <c r="V19">
        <v>21.113333000000001</v>
      </c>
      <c r="W19">
        <v>20.699528000000001</v>
      </c>
      <c r="X19">
        <v>20.954892999999998</v>
      </c>
      <c r="Y19">
        <v>26.406110000000002</v>
      </c>
      <c r="Z19">
        <v>22.226891999999999</v>
      </c>
      <c r="AA19">
        <v>26.700721999999999</v>
      </c>
      <c r="AB19">
        <v>26.270012000000001</v>
      </c>
      <c r="AC19">
        <v>26.680101000000001</v>
      </c>
      <c r="AD19">
        <v>24.181726000000001</v>
      </c>
      <c r="AE19">
        <v>24.759841999999999</v>
      </c>
      <c r="AF19">
        <v>27.829155</v>
      </c>
      <c r="AG19">
        <v>26.493680999999999</v>
      </c>
    </row>
    <row r="20" spans="1:33" x14ac:dyDescent="0.25">
      <c r="A20" s="1">
        <v>44071</v>
      </c>
      <c r="B20">
        <v>22.732979</v>
      </c>
      <c r="C20">
        <v>22.861677</v>
      </c>
      <c r="D20">
        <v>22.222909999999999</v>
      </c>
      <c r="E20">
        <v>22.163589999999999</v>
      </c>
      <c r="F20">
        <v>22.084993000000001</v>
      </c>
      <c r="G20">
        <v>22.295088</v>
      </c>
      <c r="H20">
        <v>21.190359999999998</v>
      </c>
      <c r="I20">
        <v>19.997145</v>
      </c>
      <c r="J20">
        <v>24.037106999999999</v>
      </c>
      <c r="K20">
        <v>23.631384000000001</v>
      </c>
      <c r="L20">
        <v>23.695191999999999</v>
      </c>
      <c r="M20">
        <v>22.486457999999999</v>
      </c>
      <c r="N20">
        <v>22.338080000000001</v>
      </c>
      <c r="O20">
        <v>23.287663999999999</v>
      </c>
      <c r="P20">
        <v>23.569817</v>
      </c>
      <c r="Q20">
        <v>22.490469999999998</v>
      </c>
      <c r="R20">
        <v>23.825035</v>
      </c>
      <c r="S20">
        <v>20.386944</v>
      </c>
      <c r="T20">
        <v>21.767081999999998</v>
      </c>
      <c r="U20">
        <v>20.891221999999999</v>
      </c>
      <c r="V20">
        <v>21.276098000000001</v>
      </c>
      <c r="W20">
        <v>20.787752000000001</v>
      </c>
      <c r="X20">
        <v>21.139756999999999</v>
      </c>
      <c r="Y20">
        <v>26.177626</v>
      </c>
      <c r="Z20">
        <v>22.082695000000001</v>
      </c>
      <c r="AA20">
        <v>26.414695999999999</v>
      </c>
      <c r="AB20">
        <v>26.100439999999999</v>
      </c>
      <c r="AC20">
        <v>26.500847</v>
      </c>
      <c r="AD20">
        <v>23.888563000000001</v>
      </c>
      <c r="AE20">
        <v>24.564834999999999</v>
      </c>
      <c r="AF20">
        <v>27.669274999999999</v>
      </c>
      <c r="AG20">
        <v>26.294563</v>
      </c>
    </row>
    <row r="21" spans="1:33" x14ac:dyDescent="0.25">
      <c r="A21" s="1">
        <v>44072</v>
      </c>
      <c r="B21">
        <v>22.611528</v>
      </c>
      <c r="C21">
        <v>22.671934</v>
      </c>
      <c r="D21">
        <v>22.001894</v>
      </c>
      <c r="E21">
        <v>21.991837</v>
      </c>
      <c r="F21">
        <v>21.925125000000001</v>
      </c>
      <c r="G21">
        <v>22.14386</v>
      </c>
      <c r="H21">
        <v>21.06541</v>
      </c>
      <c r="I21">
        <v>19.935365999999998</v>
      </c>
      <c r="J21">
        <v>23.92765</v>
      </c>
      <c r="K21">
        <v>23.410599999999999</v>
      </c>
      <c r="L21">
        <v>23.585073000000001</v>
      </c>
      <c r="M21">
        <v>22.309435000000001</v>
      </c>
      <c r="N21">
        <v>22.134169</v>
      </c>
      <c r="O21">
        <v>23.175331</v>
      </c>
      <c r="P21">
        <v>23.344503</v>
      </c>
      <c r="Q21">
        <v>22.272193999999999</v>
      </c>
      <c r="R21">
        <v>23.647127000000001</v>
      </c>
      <c r="S21">
        <v>20.396059999999999</v>
      </c>
      <c r="T21">
        <v>21.687505999999999</v>
      </c>
      <c r="U21">
        <v>21.060690000000001</v>
      </c>
      <c r="V21">
        <v>21.451414</v>
      </c>
      <c r="W21">
        <v>21.115787999999998</v>
      </c>
      <c r="X21">
        <v>21.336349999999999</v>
      </c>
      <c r="Y21">
        <v>26.020515</v>
      </c>
      <c r="Z21">
        <v>22.169716000000001</v>
      </c>
      <c r="AA21">
        <v>26.256117</v>
      </c>
      <c r="AB21">
        <v>25.953016000000002</v>
      </c>
      <c r="AC21">
        <v>26.553087000000001</v>
      </c>
      <c r="AD21">
        <v>23.764123999999999</v>
      </c>
      <c r="AE21">
        <v>24.853204999999999</v>
      </c>
      <c r="AF21">
        <v>27.602594</v>
      </c>
      <c r="AG21">
        <v>26.168119999999998</v>
      </c>
    </row>
    <row r="22" spans="1:33" x14ac:dyDescent="0.25">
      <c r="A22" s="1">
        <v>44073</v>
      </c>
      <c r="B22">
        <v>22.226420000000001</v>
      </c>
      <c r="C22">
        <v>22.415610000000001</v>
      </c>
      <c r="D22">
        <v>21.710089</v>
      </c>
      <c r="E22">
        <v>21.69136</v>
      </c>
      <c r="F22">
        <v>21.614737000000002</v>
      </c>
      <c r="G22">
        <v>21.898125</v>
      </c>
      <c r="H22">
        <v>20.869886000000001</v>
      </c>
      <c r="I22">
        <v>19.790644</v>
      </c>
      <c r="J22">
        <v>23.354735999999999</v>
      </c>
      <c r="K22">
        <v>23.061007</v>
      </c>
      <c r="L22">
        <v>23.310495</v>
      </c>
      <c r="M22">
        <v>22.039396</v>
      </c>
      <c r="N22">
        <v>21.844255</v>
      </c>
      <c r="O22">
        <v>22.921355999999999</v>
      </c>
      <c r="P22">
        <v>23.02459</v>
      </c>
      <c r="Q22">
        <v>21.959237999999999</v>
      </c>
      <c r="R22">
        <v>23.341476</v>
      </c>
      <c r="S22">
        <v>20.243075999999999</v>
      </c>
      <c r="T22">
        <v>21.533760000000001</v>
      </c>
      <c r="U22">
        <v>21.369287</v>
      </c>
      <c r="V22">
        <v>21.46499</v>
      </c>
      <c r="W22">
        <v>21.295904</v>
      </c>
      <c r="X22">
        <v>21.422467999999999</v>
      </c>
      <c r="Y22">
        <v>25.859504999999999</v>
      </c>
      <c r="Z22">
        <v>22.187806999999999</v>
      </c>
      <c r="AA22">
        <v>25.967366999999999</v>
      </c>
      <c r="AB22">
        <v>25.778616</v>
      </c>
      <c r="AC22">
        <v>26.36036</v>
      </c>
      <c r="AD22">
        <v>23.524156999999999</v>
      </c>
      <c r="AE22">
        <v>25.125952000000002</v>
      </c>
      <c r="AF22">
        <v>27.425612999999998</v>
      </c>
      <c r="AG22">
        <v>25.859490999999998</v>
      </c>
    </row>
    <row r="23" spans="1:33" x14ac:dyDescent="0.25">
      <c r="A23" s="1">
        <v>44074</v>
      </c>
      <c r="B23">
        <v>22.065344</v>
      </c>
      <c r="C23">
        <v>22.325348000000002</v>
      </c>
      <c r="D23">
        <v>21.587812</v>
      </c>
      <c r="E23">
        <v>21.533200999999998</v>
      </c>
      <c r="F23">
        <v>21.515879000000002</v>
      </c>
      <c r="G23">
        <v>21.717735000000001</v>
      </c>
      <c r="H23">
        <v>20.731263999999999</v>
      </c>
      <c r="I23">
        <v>19.86872</v>
      </c>
      <c r="J23">
        <v>23.109152000000002</v>
      </c>
      <c r="K23">
        <v>22.839670000000002</v>
      </c>
      <c r="L23">
        <v>23.180199999999999</v>
      </c>
      <c r="M23">
        <v>21.843198999999998</v>
      </c>
      <c r="N23">
        <v>21.722193000000001</v>
      </c>
      <c r="O23">
        <v>22.802430999999999</v>
      </c>
      <c r="P23">
        <v>22.790789</v>
      </c>
      <c r="Q23">
        <v>21.770422</v>
      </c>
      <c r="R23">
        <v>23.160064999999999</v>
      </c>
      <c r="S23">
        <v>20.301839999999999</v>
      </c>
      <c r="T23">
        <v>21.553785000000001</v>
      </c>
      <c r="U23">
        <v>21.375162</v>
      </c>
      <c r="V23">
        <v>21.730454999999999</v>
      </c>
      <c r="W23">
        <v>21.285309000000002</v>
      </c>
      <c r="X23">
        <v>21.749582</v>
      </c>
      <c r="Y23">
        <v>25.610303999999999</v>
      </c>
      <c r="Z23">
        <v>22.260760000000001</v>
      </c>
      <c r="AA23">
        <v>25.62961</v>
      </c>
      <c r="AB23">
        <v>25.499193000000002</v>
      </c>
      <c r="AC23">
        <v>26.211288</v>
      </c>
      <c r="AD23">
        <v>23.340599999999998</v>
      </c>
      <c r="AE23">
        <v>25.015851999999999</v>
      </c>
      <c r="AF23">
        <v>27.239363000000001</v>
      </c>
      <c r="AG23">
        <v>25.592252999999999</v>
      </c>
    </row>
    <row r="24" spans="1:33" x14ac:dyDescent="0.25">
      <c r="A24" s="1">
        <v>44075</v>
      </c>
      <c r="B24">
        <v>21.855309999999999</v>
      </c>
      <c r="C24">
        <v>22.215467</v>
      </c>
      <c r="D24">
        <v>21.434631</v>
      </c>
      <c r="E24">
        <v>21.366295000000001</v>
      </c>
      <c r="F24">
        <v>21.406220000000001</v>
      </c>
      <c r="G24">
        <v>21.567433999999999</v>
      </c>
      <c r="H24">
        <v>20.628702000000001</v>
      </c>
      <c r="I24">
        <v>19.890501</v>
      </c>
      <c r="J24">
        <v>23.003592999999999</v>
      </c>
      <c r="K24">
        <v>22.631095999999999</v>
      </c>
      <c r="L24">
        <v>23.051269999999999</v>
      </c>
      <c r="M24">
        <v>21.683465999999999</v>
      </c>
      <c r="N24">
        <v>21.551102</v>
      </c>
      <c r="O24">
        <v>22.694548000000001</v>
      </c>
      <c r="P24">
        <v>22.593617999999999</v>
      </c>
      <c r="Q24">
        <v>21.616304</v>
      </c>
      <c r="R24">
        <v>22.958390999999999</v>
      </c>
      <c r="S24">
        <v>20.155564999999999</v>
      </c>
      <c r="T24">
        <v>21.436509999999998</v>
      </c>
      <c r="U24">
        <v>21.431494000000001</v>
      </c>
      <c r="V24">
        <v>21.646737999999999</v>
      </c>
      <c r="W24">
        <v>21.444832000000002</v>
      </c>
      <c r="X24">
        <v>21.696802000000002</v>
      </c>
      <c r="Y24">
        <v>25.400853999999999</v>
      </c>
      <c r="Z24">
        <v>22.303825</v>
      </c>
      <c r="AA24">
        <v>25.380807999999998</v>
      </c>
      <c r="AB24">
        <v>25.289503</v>
      </c>
      <c r="AC24">
        <v>26.180527000000001</v>
      </c>
      <c r="AD24">
        <v>23.202138999999999</v>
      </c>
      <c r="AE24">
        <v>24.310645999999998</v>
      </c>
      <c r="AF24">
        <v>27.12921</v>
      </c>
      <c r="AG24">
        <v>25.362943999999999</v>
      </c>
    </row>
    <row r="25" spans="1:33" x14ac:dyDescent="0.25">
      <c r="A25" s="1">
        <v>44076</v>
      </c>
      <c r="B25">
        <v>21.656336</v>
      </c>
      <c r="C25">
        <v>22.029173</v>
      </c>
      <c r="D25">
        <v>21.225012</v>
      </c>
      <c r="E25">
        <v>21.219341</v>
      </c>
      <c r="F25">
        <v>21.268946</v>
      </c>
      <c r="G25">
        <v>21.44</v>
      </c>
      <c r="H25">
        <v>20.525407999999999</v>
      </c>
      <c r="I25">
        <v>19.773690999999999</v>
      </c>
      <c r="J25">
        <v>22.819230999999998</v>
      </c>
      <c r="K25">
        <v>22.43421</v>
      </c>
      <c r="L25">
        <v>22.900977999999999</v>
      </c>
      <c r="M25">
        <v>21.557601999999999</v>
      </c>
      <c r="N25">
        <v>21.406929000000002</v>
      </c>
      <c r="O25">
        <v>22.50311</v>
      </c>
      <c r="P25">
        <v>22.407461000000001</v>
      </c>
      <c r="Q25">
        <v>21.463570000000001</v>
      </c>
      <c r="R25">
        <v>22.748812000000001</v>
      </c>
      <c r="S25">
        <v>19.823374000000001</v>
      </c>
      <c r="T25">
        <v>21.313607999999999</v>
      </c>
      <c r="U25">
        <v>21.576746</v>
      </c>
      <c r="V25">
        <v>21.589200999999999</v>
      </c>
      <c r="W25">
        <v>21.521196</v>
      </c>
      <c r="X25">
        <v>21.6751</v>
      </c>
      <c r="Y25">
        <v>25.188912999999999</v>
      </c>
      <c r="Z25">
        <v>22.327461</v>
      </c>
      <c r="AA25">
        <v>25.241869000000001</v>
      </c>
      <c r="AB25">
        <v>25.138023</v>
      </c>
      <c r="AC25">
        <v>25.904492999999999</v>
      </c>
      <c r="AD25">
        <v>23.080670999999999</v>
      </c>
      <c r="AE25">
        <v>23.859082999999998</v>
      </c>
      <c r="AF25">
        <v>26.994463</v>
      </c>
      <c r="AG25">
        <v>25.162652999999999</v>
      </c>
    </row>
    <row r="26" spans="1:33" x14ac:dyDescent="0.25">
      <c r="A26" s="1">
        <v>44077</v>
      </c>
      <c r="B26">
        <v>21.536469</v>
      </c>
      <c r="C26">
        <v>21.876673</v>
      </c>
      <c r="D26">
        <v>21.104773000000002</v>
      </c>
      <c r="E26">
        <v>21.122146999999998</v>
      </c>
      <c r="F26">
        <v>21.155802000000001</v>
      </c>
      <c r="G26">
        <v>21.326146999999999</v>
      </c>
      <c r="H26">
        <v>20.434201999999999</v>
      </c>
      <c r="I26">
        <v>19.709527999999999</v>
      </c>
      <c r="J26">
        <v>22.562539999999998</v>
      </c>
      <c r="K26">
        <v>22.236564999999999</v>
      </c>
      <c r="L26">
        <v>22.714079999999999</v>
      </c>
      <c r="M26">
        <v>21.422194999999999</v>
      </c>
      <c r="N26">
        <v>21.279406000000002</v>
      </c>
      <c r="O26">
        <v>22.327231999999999</v>
      </c>
      <c r="P26">
        <v>22.219498000000002</v>
      </c>
      <c r="Q26">
        <v>21.329338</v>
      </c>
      <c r="R26">
        <v>22.548522999999999</v>
      </c>
      <c r="S26">
        <v>19.623242999999999</v>
      </c>
      <c r="T26">
        <v>21.254103000000001</v>
      </c>
      <c r="U26">
        <v>21.438568</v>
      </c>
      <c r="V26">
        <v>21.616040999999999</v>
      </c>
      <c r="W26">
        <v>21.276793999999999</v>
      </c>
      <c r="X26">
        <v>21.740767999999999</v>
      </c>
      <c r="Y26">
        <v>25.092047000000001</v>
      </c>
      <c r="Z26">
        <v>22.235658999999998</v>
      </c>
      <c r="AA26">
        <v>25.106653000000001</v>
      </c>
      <c r="AB26">
        <v>24.982935000000001</v>
      </c>
      <c r="AC26">
        <v>25.455594999999999</v>
      </c>
      <c r="AD26">
        <v>22.926424000000001</v>
      </c>
      <c r="AE26">
        <v>23.463643999999999</v>
      </c>
      <c r="AF26">
        <v>26.855460999999998</v>
      </c>
      <c r="AG26">
        <v>25.059446000000001</v>
      </c>
    </row>
    <row r="27" spans="1:33" x14ac:dyDescent="0.25">
      <c r="A27" s="1">
        <v>44078</v>
      </c>
      <c r="B27">
        <v>21.415588</v>
      </c>
      <c r="C27">
        <v>21.725943000000001</v>
      </c>
      <c r="D27">
        <v>20.98659</v>
      </c>
      <c r="E27">
        <v>21.052638999999999</v>
      </c>
      <c r="F27">
        <v>21.002303999999999</v>
      </c>
      <c r="G27">
        <v>21.174726</v>
      </c>
      <c r="H27">
        <v>20.317734000000002</v>
      </c>
      <c r="I27">
        <v>19.446531</v>
      </c>
      <c r="J27">
        <v>22.421755000000001</v>
      </c>
      <c r="K27">
        <v>22.066607000000001</v>
      </c>
      <c r="L27">
        <v>22.548356999999999</v>
      </c>
      <c r="M27">
        <v>21.266783</v>
      </c>
      <c r="N27">
        <v>21.120794</v>
      </c>
      <c r="O27">
        <v>22.202162000000001</v>
      </c>
      <c r="P27">
        <v>22.046697999999999</v>
      </c>
      <c r="Q27">
        <v>21.164819999999999</v>
      </c>
      <c r="R27">
        <v>22.390394000000001</v>
      </c>
      <c r="S27">
        <v>19.467566000000001</v>
      </c>
      <c r="T27">
        <v>21.160333999999999</v>
      </c>
      <c r="U27">
        <v>21.126484000000001</v>
      </c>
      <c r="V27">
        <v>21.549005999999999</v>
      </c>
      <c r="W27">
        <v>20.982175999999999</v>
      </c>
      <c r="X27">
        <v>21.684313</v>
      </c>
      <c r="Y27">
        <v>24.904952999999999</v>
      </c>
      <c r="Z27">
        <v>22.134989000000001</v>
      </c>
      <c r="AA27">
        <v>24.946365</v>
      </c>
      <c r="AB27">
        <v>24.844719999999999</v>
      </c>
      <c r="AC27">
        <v>25.087921000000001</v>
      </c>
      <c r="AD27">
        <v>22.785912</v>
      </c>
      <c r="AE27">
        <v>23.646485999999999</v>
      </c>
      <c r="AF27">
        <v>26.742920000000002</v>
      </c>
      <c r="AG27">
        <v>25.002243</v>
      </c>
    </row>
    <row r="28" spans="1:33" x14ac:dyDescent="0.25">
      <c r="A28" s="1">
        <v>44079</v>
      </c>
      <c r="B28">
        <v>21.730443999999999</v>
      </c>
      <c r="C28">
        <v>21.910791</v>
      </c>
      <c r="D28">
        <v>21.121506</v>
      </c>
      <c r="E28">
        <v>21.197507999999999</v>
      </c>
      <c r="F28">
        <v>21.217919999999999</v>
      </c>
      <c r="G28">
        <v>21.205666999999998</v>
      </c>
      <c r="H28">
        <v>20.407204</v>
      </c>
      <c r="I28">
        <v>19.801069999999999</v>
      </c>
      <c r="J28">
        <v>22.740227000000001</v>
      </c>
      <c r="K28">
        <v>22.170020000000001</v>
      </c>
      <c r="L28">
        <v>22.682959</v>
      </c>
      <c r="M28">
        <v>21.327105</v>
      </c>
      <c r="N28">
        <v>21.323801</v>
      </c>
      <c r="O28">
        <v>22.350134000000001</v>
      </c>
      <c r="P28">
        <v>22.125205999999999</v>
      </c>
      <c r="Q28">
        <v>21.237124999999999</v>
      </c>
      <c r="R28">
        <v>22.496994000000001</v>
      </c>
      <c r="S28">
        <v>20.047830000000001</v>
      </c>
      <c r="T28">
        <v>21.374030999999999</v>
      </c>
      <c r="U28">
        <v>21.249126</v>
      </c>
      <c r="V28">
        <v>21.621485</v>
      </c>
      <c r="W28">
        <v>21.315000000000001</v>
      </c>
      <c r="X28">
        <v>21.632100999999999</v>
      </c>
      <c r="Y28">
        <v>24.921278000000001</v>
      </c>
      <c r="Z28">
        <v>22.325233000000001</v>
      </c>
      <c r="AA28">
        <v>24.912963999999999</v>
      </c>
      <c r="AB28">
        <v>24.90551</v>
      </c>
      <c r="AC28">
        <v>24.914711</v>
      </c>
      <c r="AD28">
        <v>22.885458</v>
      </c>
      <c r="AE28">
        <v>24.302788</v>
      </c>
      <c r="AF28">
        <v>26.740621999999998</v>
      </c>
      <c r="AG28">
        <v>24.984728</v>
      </c>
    </row>
    <row r="29" spans="1:33" x14ac:dyDescent="0.25">
      <c r="A29" s="1">
        <v>44080</v>
      </c>
      <c r="B29">
        <v>22.484987</v>
      </c>
      <c r="C29">
        <v>22.468260000000001</v>
      </c>
      <c r="D29">
        <v>21.625879999999999</v>
      </c>
      <c r="E29">
        <v>21.722351</v>
      </c>
      <c r="F29">
        <v>21.774290000000001</v>
      </c>
      <c r="G29">
        <v>21.536127</v>
      </c>
      <c r="H29">
        <v>20.793766000000002</v>
      </c>
      <c r="I29">
        <v>21.031464</v>
      </c>
      <c r="J29">
        <v>23.584634999999999</v>
      </c>
      <c r="K29">
        <v>22.585187999999999</v>
      </c>
      <c r="L29">
        <v>23.032586999999999</v>
      </c>
      <c r="M29">
        <v>21.702715000000001</v>
      </c>
      <c r="N29">
        <v>21.855657999999998</v>
      </c>
      <c r="O29">
        <v>22.733222999999999</v>
      </c>
      <c r="P29">
        <v>22.518204000000001</v>
      </c>
      <c r="Q29">
        <v>21.617462</v>
      </c>
      <c r="R29">
        <v>22.840835999999999</v>
      </c>
      <c r="S29">
        <v>21.290094</v>
      </c>
      <c r="T29">
        <v>21.910398000000001</v>
      </c>
      <c r="U29">
        <v>21.920438999999998</v>
      </c>
      <c r="V29">
        <v>22.011507000000002</v>
      </c>
      <c r="W29">
        <v>21.967320999999998</v>
      </c>
      <c r="X29">
        <v>22.005075000000001</v>
      </c>
      <c r="Y29">
        <v>25.307283000000002</v>
      </c>
      <c r="Z29">
        <v>22.85981</v>
      </c>
      <c r="AA29">
        <v>25.166060999999999</v>
      </c>
      <c r="AB29">
        <v>25.230813999999999</v>
      </c>
      <c r="AC29">
        <v>25.123175</v>
      </c>
      <c r="AD29">
        <v>23.182144000000001</v>
      </c>
      <c r="AE29">
        <v>25.358946</v>
      </c>
      <c r="AF29">
        <v>26.901002999999999</v>
      </c>
      <c r="AG29">
        <v>25.276499000000001</v>
      </c>
    </row>
    <row r="30" spans="1:33" x14ac:dyDescent="0.25">
      <c r="A30" s="1">
        <v>44081</v>
      </c>
      <c r="B30">
        <v>23.147120000000001</v>
      </c>
      <c r="C30">
        <v>22.991539</v>
      </c>
      <c r="D30">
        <v>22.189229999999998</v>
      </c>
      <c r="E30">
        <v>22.335080999999999</v>
      </c>
      <c r="F30">
        <v>22.133127000000002</v>
      </c>
      <c r="G30">
        <v>21.907885</v>
      </c>
      <c r="H30">
        <v>21.056920999999999</v>
      </c>
      <c r="I30">
        <v>21.660423000000002</v>
      </c>
      <c r="J30">
        <v>24.332360999999999</v>
      </c>
      <c r="K30">
        <v>22.99024</v>
      </c>
      <c r="L30">
        <v>23.343665999999999</v>
      </c>
      <c r="M30">
        <v>22.099875999999998</v>
      </c>
      <c r="N30">
        <v>22.354020999999999</v>
      </c>
      <c r="O30">
        <v>23.071439999999999</v>
      </c>
      <c r="P30">
        <v>22.922812</v>
      </c>
      <c r="Q30">
        <v>22.024360000000001</v>
      </c>
      <c r="R30">
        <v>23.160955000000001</v>
      </c>
      <c r="S30">
        <v>22.39019</v>
      </c>
      <c r="T30">
        <v>22.525535999999999</v>
      </c>
      <c r="U30">
        <v>22.426214000000002</v>
      </c>
      <c r="V30">
        <v>22.605710999999999</v>
      </c>
      <c r="W30">
        <v>22.410710999999999</v>
      </c>
      <c r="X30">
        <v>22.629456999999999</v>
      </c>
      <c r="Y30">
        <v>25.572507999999999</v>
      </c>
      <c r="Z30">
        <v>23.264794999999999</v>
      </c>
      <c r="AA30">
        <v>25.42914</v>
      </c>
      <c r="AB30">
        <v>25.454602999999999</v>
      </c>
      <c r="AC30">
        <v>25.292444</v>
      </c>
      <c r="AD30">
        <v>23.476896</v>
      </c>
      <c r="AE30">
        <v>27.058921999999999</v>
      </c>
      <c r="AF30">
        <v>27.058851000000001</v>
      </c>
      <c r="AG30">
        <v>25.500586999999999</v>
      </c>
    </row>
    <row r="31" spans="1:33" x14ac:dyDescent="0.25">
      <c r="A31" s="1">
        <v>44082</v>
      </c>
      <c r="B31">
        <v>22.916295999999999</v>
      </c>
      <c r="C31">
        <v>22.829039999999999</v>
      </c>
      <c r="D31">
        <v>22.301500000000001</v>
      </c>
      <c r="E31">
        <v>22.464538999999998</v>
      </c>
      <c r="F31">
        <v>21.98358</v>
      </c>
      <c r="G31">
        <v>22.072405</v>
      </c>
      <c r="H31">
        <v>21.180164000000001</v>
      </c>
      <c r="I31">
        <v>21.322721000000001</v>
      </c>
      <c r="J31">
        <v>24.054071</v>
      </c>
      <c r="K31">
        <v>22.983533999999999</v>
      </c>
      <c r="L31">
        <v>23.246603</v>
      </c>
      <c r="M31">
        <v>22.253036000000002</v>
      </c>
      <c r="N31">
        <v>22.344908</v>
      </c>
      <c r="O31">
        <v>22.951364999999999</v>
      </c>
      <c r="P31">
        <v>22.955126</v>
      </c>
      <c r="Q31">
        <v>22.218354999999999</v>
      </c>
      <c r="R31">
        <v>23.033186000000001</v>
      </c>
      <c r="S31">
        <v>21.863810000000001</v>
      </c>
      <c r="T31">
        <v>22.570353000000001</v>
      </c>
      <c r="U31">
        <v>22.480855999999999</v>
      </c>
      <c r="V31">
        <v>22.496314999999999</v>
      </c>
      <c r="W31">
        <v>22.374765</v>
      </c>
      <c r="X31">
        <v>22.480893999999999</v>
      </c>
      <c r="Y31">
        <v>25.435594999999999</v>
      </c>
      <c r="Z31">
        <v>23.056737999999999</v>
      </c>
      <c r="AA31">
        <v>25.282247999999999</v>
      </c>
      <c r="AB31">
        <v>25.268267000000002</v>
      </c>
      <c r="AC31">
        <v>24.938189000000001</v>
      </c>
      <c r="AD31">
        <v>23.452354</v>
      </c>
      <c r="AE31">
        <v>25.783438</v>
      </c>
      <c r="AF31">
        <v>26.885826000000002</v>
      </c>
      <c r="AG31">
        <v>25.117804</v>
      </c>
    </row>
    <row r="32" spans="1:33" x14ac:dyDescent="0.25">
      <c r="A32" s="1">
        <v>44083</v>
      </c>
      <c r="B32">
        <v>22.318901</v>
      </c>
      <c r="C32">
        <v>22.013642999999998</v>
      </c>
      <c r="D32">
        <v>22.050879999999999</v>
      </c>
      <c r="E32">
        <v>22.233267000000001</v>
      </c>
      <c r="F32">
        <v>21.711303999999998</v>
      </c>
      <c r="G32">
        <v>21.877863000000001</v>
      </c>
      <c r="H32">
        <v>20.904879000000001</v>
      </c>
      <c r="I32">
        <v>20.588357999999999</v>
      </c>
      <c r="J32">
        <v>23.175844000000001</v>
      </c>
      <c r="K32">
        <v>22.743689</v>
      </c>
      <c r="L32">
        <v>23.037635999999999</v>
      </c>
      <c r="M32">
        <v>22.065687</v>
      </c>
      <c r="N32">
        <v>22.203188000000001</v>
      </c>
      <c r="O32">
        <v>22.709986000000001</v>
      </c>
      <c r="P32">
        <v>22.712088000000001</v>
      </c>
      <c r="Q32">
        <v>22.036276000000001</v>
      </c>
      <c r="R32">
        <v>22.838357999999999</v>
      </c>
      <c r="S32">
        <v>20.387533000000001</v>
      </c>
      <c r="T32">
        <v>22.202445999999998</v>
      </c>
      <c r="U32">
        <v>22.005098</v>
      </c>
      <c r="V32">
        <v>22.264364</v>
      </c>
      <c r="W32">
        <v>21.62107</v>
      </c>
      <c r="X32">
        <v>22.338094999999999</v>
      </c>
      <c r="Y32">
        <v>24.768332999999998</v>
      </c>
      <c r="Z32">
        <v>22.679635999999999</v>
      </c>
      <c r="AA32">
        <v>24.805864</v>
      </c>
      <c r="AB32">
        <v>24.579263999999998</v>
      </c>
      <c r="AC32">
        <v>24.114891</v>
      </c>
      <c r="AD32">
        <v>23.224571000000001</v>
      </c>
      <c r="AE32">
        <v>23.823485999999999</v>
      </c>
      <c r="AF32">
        <v>26.503385999999999</v>
      </c>
      <c r="AG32">
        <v>24.486269</v>
      </c>
    </row>
    <row r="33" spans="1:33" x14ac:dyDescent="0.25">
      <c r="A33" s="1">
        <v>44084</v>
      </c>
      <c r="B33">
        <v>22.161688000000002</v>
      </c>
      <c r="C33">
        <v>21.906873999999998</v>
      </c>
      <c r="D33">
        <v>21.864965000000002</v>
      </c>
      <c r="E33">
        <v>22.018473</v>
      </c>
      <c r="F33">
        <v>21.527384000000001</v>
      </c>
      <c r="G33">
        <v>21.637053000000002</v>
      </c>
      <c r="H33">
        <v>20.697157000000001</v>
      </c>
      <c r="I33">
        <v>19.995014000000001</v>
      </c>
      <c r="J33">
        <v>22.630882</v>
      </c>
      <c r="K33">
        <v>22.581634999999999</v>
      </c>
      <c r="L33">
        <v>22.979089999999999</v>
      </c>
      <c r="M33">
        <v>21.869425</v>
      </c>
      <c r="N33">
        <v>22.099057999999999</v>
      </c>
      <c r="O33">
        <v>22.654457000000001</v>
      </c>
      <c r="P33">
        <v>22.581910000000001</v>
      </c>
      <c r="Q33">
        <v>21.844795000000001</v>
      </c>
      <c r="R33">
        <v>22.790732999999999</v>
      </c>
      <c r="S33">
        <v>19.895078999999999</v>
      </c>
      <c r="T33">
        <v>22.028455999999998</v>
      </c>
      <c r="U33">
        <v>21.259117</v>
      </c>
      <c r="V33">
        <v>22.210114000000001</v>
      </c>
      <c r="W33">
        <v>20.996701999999999</v>
      </c>
      <c r="X33">
        <v>22.160119999999999</v>
      </c>
      <c r="Y33">
        <v>24.521032000000002</v>
      </c>
      <c r="Z33">
        <v>22.55123</v>
      </c>
      <c r="AA33">
        <v>24.629068</v>
      </c>
      <c r="AB33">
        <v>24.350172000000001</v>
      </c>
      <c r="AC33">
        <v>23.792086000000001</v>
      </c>
      <c r="AD33">
        <v>23.136116000000001</v>
      </c>
      <c r="AE33">
        <v>22.265557999999999</v>
      </c>
      <c r="AF33">
        <v>26.283072000000001</v>
      </c>
      <c r="AG33">
        <v>24.417546999999999</v>
      </c>
    </row>
    <row r="34" spans="1:33" x14ac:dyDescent="0.25">
      <c r="A34" s="1">
        <v>44085</v>
      </c>
      <c r="B34">
        <v>22.060096999999999</v>
      </c>
      <c r="C34">
        <v>21.777794</v>
      </c>
      <c r="D34">
        <v>21.746832000000001</v>
      </c>
      <c r="E34">
        <v>21.771933000000001</v>
      </c>
      <c r="F34">
        <v>21.432611000000001</v>
      </c>
      <c r="G34">
        <v>21.500359</v>
      </c>
      <c r="H34">
        <v>20.529793000000002</v>
      </c>
      <c r="I34">
        <v>19.659845000000001</v>
      </c>
      <c r="J34">
        <v>22.125219999999999</v>
      </c>
      <c r="K34">
        <v>22.384336000000001</v>
      </c>
      <c r="L34">
        <v>22.871877999999999</v>
      </c>
      <c r="M34">
        <v>21.658968000000002</v>
      </c>
      <c r="N34">
        <v>21.956672999999999</v>
      </c>
      <c r="O34">
        <v>22.631930000000001</v>
      </c>
      <c r="P34">
        <v>22.373419999999999</v>
      </c>
      <c r="Q34">
        <v>21.682281</v>
      </c>
      <c r="R34">
        <v>22.749016000000001</v>
      </c>
      <c r="S34">
        <v>19.680005999999999</v>
      </c>
      <c r="T34">
        <v>21.825002999999999</v>
      </c>
      <c r="U34">
        <v>20.586554</v>
      </c>
      <c r="V34">
        <v>21.676404999999999</v>
      </c>
      <c r="W34">
        <v>20.135190000000001</v>
      </c>
      <c r="X34">
        <v>21.531357</v>
      </c>
      <c r="Y34">
        <v>24.335068</v>
      </c>
      <c r="Z34">
        <v>22.426352000000001</v>
      </c>
      <c r="AA34">
        <v>24.428698000000001</v>
      </c>
      <c r="AB34">
        <v>24.22381</v>
      </c>
      <c r="AC34">
        <v>23.454336000000001</v>
      </c>
      <c r="AD34">
        <v>23.044350000000001</v>
      </c>
      <c r="AE34">
        <v>21.764420999999999</v>
      </c>
      <c r="AF34">
        <v>26.075012000000001</v>
      </c>
      <c r="AG34">
        <v>24.184888999999998</v>
      </c>
    </row>
    <row r="35" spans="1:33" x14ac:dyDescent="0.25">
      <c r="A35" s="1">
        <v>44086</v>
      </c>
      <c r="B35">
        <v>22.115895999999999</v>
      </c>
      <c r="C35">
        <v>21.705513</v>
      </c>
      <c r="D35">
        <v>21.695059000000001</v>
      </c>
      <c r="E35">
        <v>21.654779999999999</v>
      </c>
      <c r="F35">
        <v>21.400016999999998</v>
      </c>
      <c r="G35">
        <v>21.4086</v>
      </c>
      <c r="H35">
        <v>20.440863</v>
      </c>
      <c r="I35">
        <v>19.655377999999999</v>
      </c>
      <c r="J35">
        <v>22.033186000000001</v>
      </c>
      <c r="K35">
        <v>22.302129999999998</v>
      </c>
      <c r="L35">
        <v>22.768419999999999</v>
      </c>
      <c r="M35">
        <v>21.539891999999998</v>
      </c>
      <c r="N35">
        <v>21.898802</v>
      </c>
      <c r="O35">
        <v>22.585685999999999</v>
      </c>
      <c r="P35">
        <v>22.258257</v>
      </c>
      <c r="Q35">
        <v>21.582913999999999</v>
      </c>
      <c r="R35">
        <v>22.720177</v>
      </c>
      <c r="S35">
        <v>19.732697999999999</v>
      </c>
      <c r="T35">
        <v>21.653815999999999</v>
      </c>
      <c r="U35">
        <v>19.754587000000001</v>
      </c>
      <c r="V35">
        <v>21.389524000000002</v>
      </c>
      <c r="W35">
        <v>19.469048000000001</v>
      </c>
      <c r="X35">
        <v>21.181789999999999</v>
      </c>
      <c r="Y35">
        <v>24.117224</v>
      </c>
      <c r="Z35">
        <v>22.456244000000002</v>
      </c>
      <c r="AA35">
        <v>24.299309999999998</v>
      </c>
      <c r="AB35">
        <v>24.043913</v>
      </c>
      <c r="AC35">
        <v>23.252413000000001</v>
      </c>
      <c r="AD35">
        <v>22.911504999999998</v>
      </c>
      <c r="AE35">
        <v>22.038408</v>
      </c>
      <c r="AF35">
        <v>25.901886000000001</v>
      </c>
      <c r="AG35">
        <v>23.952359999999999</v>
      </c>
    </row>
    <row r="36" spans="1:33" x14ac:dyDescent="0.25">
      <c r="A36" s="1">
        <v>44087</v>
      </c>
      <c r="B36">
        <v>21.980791</v>
      </c>
      <c r="C36">
        <v>21.568335999999999</v>
      </c>
      <c r="D36">
        <v>21.611840999999998</v>
      </c>
      <c r="E36">
        <v>21.495996000000002</v>
      </c>
      <c r="F36">
        <v>21.319063</v>
      </c>
      <c r="G36">
        <v>21.361929</v>
      </c>
      <c r="H36">
        <v>20.372902</v>
      </c>
      <c r="I36">
        <v>19.746334000000001</v>
      </c>
      <c r="J36">
        <v>22.052924999999998</v>
      </c>
      <c r="K36">
        <v>22.239304000000001</v>
      </c>
      <c r="L36">
        <v>22.628768999999998</v>
      </c>
      <c r="M36">
        <v>21.470002999999998</v>
      </c>
      <c r="N36">
        <v>21.779630000000001</v>
      </c>
      <c r="O36">
        <v>22.428663</v>
      </c>
      <c r="P36">
        <v>22.210629999999998</v>
      </c>
      <c r="Q36">
        <v>21.52572</v>
      </c>
      <c r="R36">
        <v>22.595901000000001</v>
      </c>
      <c r="S36">
        <v>19.787123000000001</v>
      </c>
      <c r="T36">
        <v>21.370943</v>
      </c>
      <c r="U36">
        <v>19.39715</v>
      </c>
      <c r="V36">
        <v>20.825748000000001</v>
      </c>
      <c r="W36">
        <v>19.114844999999999</v>
      </c>
      <c r="X36">
        <v>20.496490000000001</v>
      </c>
      <c r="Y36">
        <v>24.017545999999999</v>
      </c>
      <c r="Z36">
        <v>22.368120000000001</v>
      </c>
      <c r="AA36">
        <v>24.288391000000001</v>
      </c>
      <c r="AB36">
        <v>23.948295999999999</v>
      </c>
      <c r="AC36">
        <v>23.246932999999999</v>
      </c>
      <c r="AD36">
        <v>22.791516999999999</v>
      </c>
      <c r="AE36">
        <v>22.627817</v>
      </c>
      <c r="AF36">
        <v>25.797234</v>
      </c>
      <c r="AG36">
        <v>23.993269999999999</v>
      </c>
    </row>
    <row r="37" spans="1:33" x14ac:dyDescent="0.25">
      <c r="A37" s="1">
        <v>44088</v>
      </c>
      <c r="B37">
        <v>21.520841999999998</v>
      </c>
      <c r="C37">
        <v>21.295479</v>
      </c>
      <c r="D37">
        <v>21.273417999999999</v>
      </c>
      <c r="E37">
        <v>21.144742999999998</v>
      </c>
      <c r="F37">
        <v>21.035072</v>
      </c>
      <c r="G37">
        <v>21.208525000000002</v>
      </c>
      <c r="H37">
        <v>20.272321999999999</v>
      </c>
      <c r="I37">
        <v>19.437436999999999</v>
      </c>
      <c r="J37">
        <v>21.820917000000001</v>
      </c>
      <c r="K37">
        <v>22.039705000000001</v>
      </c>
      <c r="L37">
        <v>22.37133</v>
      </c>
      <c r="M37">
        <v>21.314238</v>
      </c>
      <c r="N37">
        <v>21.451073000000001</v>
      </c>
      <c r="O37">
        <v>22.087889000000001</v>
      </c>
      <c r="P37">
        <v>22.024940000000001</v>
      </c>
      <c r="Q37">
        <v>21.328001</v>
      </c>
      <c r="R37">
        <v>22.359652000000001</v>
      </c>
      <c r="S37">
        <v>19.460373000000001</v>
      </c>
      <c r="T37">
        <v>20.90793</v>
      </c>
      <c r="U37">
        <v>18.924752999999999</v>
      </c>
      <c r="V37">
        <v>20.30378</v>
      </c>
      <c r="W37">
        <v>18.712016999999999</v>
      </c>
      <c r="X37">
        <v>20.009611</v>
      </c>
      <c r="Y37">
        <v>23.931025000000002</v>
      </c>
      <c r="Z37">
        <v>21.997924999999999</v>
      </c>
      <c r="AA37">
        <v>24.202400000000001</v>
      </c>
      <c r="AB37">
        <v>23.868141000000001</v>
      </c>
      <c r="AC37">
        <v>23.056540999999999</v>
      </c>
      <c r="AD37">
        <v>22.608953</v>
      </c>
      <c r="AE37">
        <v>22.729187</v>
      </c>
      <c r="AF37">
        <v>25.648188000000001</v>
      </c>
      <c r="AG37">
        <v>23.972238999999998</v>
      </c>
    </row>
    <row r="38" spans="1:33" x14ac:dyDescent="0.25">
      <c r="A38" s="1">
        <v>44089</v>
      </c>
      <c r="B38">
        <v>21.168465000000001</v>
      </c>
      <c r="C38">
        <v>21.157063999999998</v>
      </c>
      <c r="D38">
        <v>20.924340999999998</v>
      </c>
      <c r="E38">
        <v>20.833006000000001</v>
      </c>
      <c r="F38">
        <v>20.836033</v>
      </c>
      <c r="G38">
        <v>21.009459</v>
      </c>
      <c r="H38">
        <v>20.158823000000002</v>
      </c>
      <c r="I38">
        <v>19.276319999999998</v>
      </c>
      <c r="J38">
        <v>21.462043999999999</v>
      </c>
      <c r="K38">
        <v>21.773523000000001</v>
      </c>
      <c r="L38">
        <v>22.069020999999999</v>
      </c>
      <c r="M38">
        <v>21.108650000000001</v>
      </c>
      <c r="N38">
        <v>21.119627000000001</v>
      </c>
      <c r="O38">
        <v>21.716331</v>
      </c>
      <c r="P38">
        <v>21.768744000000002</v>
      </c>
      <c r="Q38">
        <v>21.089262000000002</v>
      </c>
      <c r="R38">
        <v>22.087174999999998</v>
      </c>
      <c r="S38">
        <v>19.166899999999998</v>
      </c>
      <c r="T38">
        <v>20.483484000000001</v>
      </c>
      <c r="U38">
        <v>18.605604</v>
      </c>
      <c r="V38">
        <v>19.847733000000002</v>
      </c>
      <c r="W38">
        <v>18.484864999999999</v>
      </c>
      <c r="X38">
        <v>19.55537</v>
      </c>
      <c r="Y38">
        <v>23.812738</v>
      </c>
      <c r="Z38">
        <v>21.438604000000002</v>
      </c>
      <c r="AA38">
        <v>24.003588000000001</v>
      </c>
      <c r="AB38">
        <v>23.777405000000002</v>
      </c>
      <c r="AC38">
        <v>22.795100000000001</v>
      </c>
      <c r="AD38">
        <v>22.345749999999999</v>
      </c>
      <c r="AE38">
        <v>22.699196000000001</v>
      </c>
      <c r="AF38">
        <v>25.428139999999999</v>
      </c>
      <c r="AG38">
        <v>23.77739</v>
      </c>
    </row>
    <row r="39" spans="1:33" x14ac:dyDescent="0.25">
      <c r="A39" s="1">
        <v>44090</v>
      </c>
      <c r="B39">
        <v>21.239253999999999</v>
      </c>
      <c r="C39">
        <v>21.221488999999998</v>
      </c>
      <c r="D39">
        <v>20.936171999999999</v>
      </c>
      <c r="E39">
        <v>20.807269999999999</v>
      </c>
      <c r="F39">
        <v>20.950146</v>
      </c>
      <c r="G39">
        <v>20.969185</v>
      </c>
      <c r="H39">
        <v>20.190463999999999</v>
      </c>
      <c r="I39">
        <v>19.662196999999999</v>
      </c>
      <c r="J39">
        <v>21.617757999999998</v>
      </c>
      <c r="K39">
        <v>21.736834000000002</v>
      </c>
      <c r="L39">
        <v>21.983011000000001</v>
      </c>
      <c r="M39">
        <v>21.078279999999999</v>
      </c>
      <c r="N39">
        <v>21.033815000000001</v>
      </c>
      <c r="O39">
        <v>21.599523999999999</v>
      </c>
      <c r="P39">
        <v>21.694275000000001</v>
      </c>
      <c r="Q39">
        <v>21.042100000000001</v>
      </c>
      <c r="R39">
        <v>22.000969000000001</v>
      </c>
      <c r="S39">
        <v>19.372366</v>
      </c>
      <c r="T39">
        <v>20.336960000000001</v>
      </c>
      <c r="U39">
        <v>18.535702000000001</v>
      </c>
      <c r="V39">
        <v>19.75947</v>
      </c>
      <c r="W39">
        <v>18.489380000000001</v>
      </c>
      <c r="X39">
        <v>19.461544</v>
      </c>
      <c r="Y39">
        <v>23.786750000000001</v>
      </c>
      <c r="Z39">
        <v>21.063673000000001</v>
      </c>
      <c r="AA39">
        <v>23.938956999999998</v>
      </c>
      <c r="AB39">
        <v>23.735939999999999</v>
      </c>
      <c r="AC39">
        <v>22.742063999999999</v>
      </c>
      <c r="AD39">
        <v>22.196669</v>
      </c>
      <c r="AE39">
        <v>22.876073999999999</v>
      </c>
      <c r="AF39">
        <v>25.294846</v>
      </c>
      <c r="AG39">
        <v>23.806916999999999</v>
      </c>
    </row>
    <row r="40" spans="1:33" x14ac:dyDescent="0.25">
      <c r="A40" s="1">
        <v>44091</v>
      </c>
      <c r="B40">
        <v>21.27683</v>
      </c>
      <c r="C40">
        <v>21.236355</v>
      </c>
      <c r="D40">
        <v>21.067038</v>
      </c>
      <c r="E40">
        <v>20.899325999999999</v>
      </c>
      <c r="F40">
        <v>21.018685999999999</v>
      </c>
      <c r="G40">
        <v>21.003568999999999</v>
      </c>
      <c r="H40">
        <v>20.255089999999999</v>
      </c>
      <c r="I40">
        <v>19.984344</v>
      </c>
      <c r="J40">
        <v>21.881965999999998</v>
      </c>
      <c r="K40">
        <v>21.734476000000001</v>
      </c>
      <c r="L40">
        <v>21.904775999999998</v>
      </c>
      <c r="M40">
        <v>21.109776</v>
      </c>
      <c r="N40">
        <v>21.005299000000001</v>
      </c>
      <c r="O40">
        <v>21.529382999999999</v>
      </c>
      <c r="P40">
        <v>21.700538999999999</v>
      </c>
      <c r="Q40">
        <v>21.074665</v>
      </c>
      <c r="R40">
        <v>21.908918</v>
      </c>
      <c r="S40">
        <v>19.681038000000001</v>
      </c>
      <c r="T40">
        <v>20.314425</v>
      </c>
      <c r="U40">
        <v>18.885743999999999</v>
      </c>
      <c r="V40">
        <v>19.782033999999999</v>
      </c>
      <c r="W40">
        <v>18.990997</v>
      </c>
      <c r="X40">
        <v>19.494126999999999</v>
      </c>
      <c r="Y40">
        <v>23.717077</v>
      </c>
      <c r="Z40">
        <v>20.831049</v>
      </c>
      <c r="AA40">
        <v>23.92737</v>
      </c>
      <c r="AB40">
        <v>23.641172000000001</v>
      </c>
      <c r="AC40">
        <v>22.824427</v>
      </c>
      <c r="AD40">
        <v>22.077497000000001</v>
      </c>
      <c r="AE40">
        <v>23.267244000000002</v>
      </c>
      <c r="AF40">
        <v>25.228539999999999</v>
      </c>
      <c r="AG40">
        <v>23.768537999999999</v>
      </c>
    </row>
    <row r="41" spans="1:33" x14ac:dyDescent="0.25">
      <c r="A41" s="1">
        <v>44092</v>
      </c>
      <c r="B41">
        <v>21.011928999999999</v>
      </c>
      <c r="C41">
        <v>21.039068</v>
      </c>
      <c r="D41">
        <v>20.940719999999999</v>
      </c>
      <c r="E41">
        <v>20.811032999999998</v>
      </c>
      <c r="F41">
        <v>20.825537000000001</v>
      </c>
      <c r="G41">
        <v>20.917120000000001</v>
      </c>
      <c r="H41">
        <v>20.182402</v>
      </c>
      <c r="I41">
        <v>19.866603999999999</v>
      </c>
      <c r="J41">
        <v>21.741304</v>
      </c>
      <c r="K41">
        <v>21.627548000000001</v>
      </c>
      <c r="L41">
        <v>21.702836999999999</v>
      </c>
      <c r="M41">
        <v>21.005001</v>
      </c>
      <c r="N41">
        <v>20.821985000000002</v>
      </c>
      <c r="O41">
        <v>21.348986</v>
      </c>
      <c r="P41">
        <v>21.606529999999999</v>
      </c>
      <c r="Q41">
        <v>20.966673</v>
      </c>
      <c r="R41">
        <v>21.703333000000001</v>
      </c>
      <c r="S41">
        <v>19.580380999999999</v>
      </c>
      <c r="T41">
        <v>20.201512999999998</v>
      </c>
      <c r="U41">
        <v>19.229498</v>
      </c>
      <c r="V41">
        <v>19.751318000000001</v>
      </c>
      <c r="W41">
        <v>19.225897</v>
      </c>
      <c r="X41">
        <v>19.522933999999999</v>
      </c>
      <c r="Y41">
        <v>23.503150000000002</v>
      </c>
      <c r="Z41">
        <v>20.511578</v>
      </c>
      <c r="AA41">
        <v>23.762428</v>
      </c>
      <c r="AB41">
        <v>23.485422</v>
      </c>
      <c r="AC41">
        <v>22.69192</v>
      </c>
      <c r="AD41">
        <v>21.871008</v>
      </c>
      <c r="AE41">
        <v>23.165006999999999</v>
      </c>
      <c r="AF41">
        <v>25.026657</v>
      </c>
      <c r="AG41">
        <v>23.650092999999998</v>
      </c>
    </row>
    <row r="42" spans="1:33" x14ac:dyDescent="0.25">
      <c r="A42" s="1">
        <v>44093</v>
      </c>
      <c r="B42">
        <v>20.923940000000002</v>
      </c>
      <c r="C42">
        <v>20.997616000000001</v>
      </c>
      <c r="D42">
        <v>20.825384</v>
      </c>
      <c r="E42">
        <v>20.747029999999999</v>
      </c>
      <c r="F42">
        <v>20.732047999999999</v>
      </c>
      <c r="G42">
        <v>20.812768999999999</v>
      </c>
      <c r="H42">
        <v>20.115396</v>
      </c>
      <c r="I42">
        <v>19.769175000000001</v>
      </c>
      <c r="J42">
        <v>21.570554999999999</v>
      </c>
      <c r="K42">
        <v>21.508759000000001</v>
      </c>
      <c r="L42">
        <v>21.576910000000002</v>
      </c>
      <c r="M42">
        <v>20.90296</v>
      </c>
      <c r="N42">
        <v>20.698902</v>
      </c>
      <c r="O42">
        <v>21.163916</v>
      </c>
      <c r="P42">
        <v>21.494786999999999</v>
      </c>
      <c r="Q42">
        <v>20.861708</v>
      </c>
      <c r="R42">
        <v>21.559874000000001</v>
      </c>
      <c r="S42">
        <v>19.506986999999999</v>
      </c>
      <c r="T42">
        <v>20.154382999999999</v>
      </c>
      <c r="U42">
        <v>19.557881999999999</v>
      </c>
      <c r="V42">
        <v>19.871765</v>
      </c>
      <c r="W42">
        <v>19.549700000000001</v>
      </c>
      <c r="X42">
        <v>19.728964000000001</v>
      </c>
      <c r="Y42">
        <v>23.180305000000001</v>
      </c>
      <c r="Z42">
        <v>20.273682000000001</v>
      </c>
      <c r="AA42">
        <v>23.506492999999999</v>
      </c>
      <c r="AB42">
        <v>23.192352</v>
      </c>
      <c r="AC42">
        <v>22.317339</v>
      </c>
      <c r="AD42">
        <v>21.717200999999999</v>
      </c>
      <c r="AE42">
        <v>22.763930999999999</v>
      </c>
      <c r="AF42">
        <v>24.761267</v>
      </c>
      <c r="AG42">
        <v>23.295507000000001</v>
      </c>
    </row>
    <row r="43" spans="1:33" x14ac:dyDescent="0.25">
      <c r="A43" s="1">
        <v>44094</v>
      </c>
      <c r="B43">
        <v>21.086213999999998</v>
      </c>
      <c r="C43">
        <v>21.047096</v>
      </c>
      <c r="D43">
        <v>20.876324</v>
      </c>
      <c r="E43">
        <v>20.822586000000001</v>
      </c>
      <c r="F43">
        <v>20.807117000000002</v>
      </c>
      <c r="G43">
        <v>20.816782</v>
      </c>
      <c r="H43">
        <v>20.112895999999999</v>
      </c>
      <c r="I43">
        <v>19.887429999999998</v>
      </c>
      <c r="J43">
        <v>21.701333999999999</v>
      </c>
      <c r="K43">
        <v>21.54682</v>
      </c>
      <c r="L43">
        <v>21.589907</v>
      </c>
      <c r="M43">
        <v>20.932773999999998</v>
      </c>
      <c r="N43">
        <v>20.743501999999999</v>
      </c>
      <c r="O43">
        <v>21.173162000000001</v>
      </c>
      <c r="P43">
        <v>21.522621000000001</v>
      </c>
      <c r="Q43">
        <v>20.893464999999999</v>
      </c>
      <c r="R43">
        <v>21.538086</v>
      </c>
      <c r="S43">
        <v>19.784388</v>
      </c>
      <c r="T43">
        <v>20.315480000000001</v>
      </c>
      <c r="U43">
        <v>19.762626999999998</v>
      </c>
      <c r="V43">
        <v>20.081022000000001</v>
      </c>
      <c r="W43">
        <v>19.652139999999999</v>
      </c>
      <c r="X43">
        <v>19.977990999999999</v>
      </c>
      <c r="Y43">
        <v>23.096160000000001</v>
      </c>
      <c r="Z43">
        <v>20.265523999999999</v>
      </c>
      <c r="AA43">
        <v>23.390205000000002</v>
      </c>
      <c r="AB43">
        <v>23.109808000000001</v>
      </c>
      <c r="AC43">
        <v>22.177301</v>
      </c>
      <c r="AD43">
        <v>21.692314</v>
      </c>
      <c r="AE43">
        <v>22.872216999999999</v>
      </c>
      <c r="AF43">
        <v>24.644349999999999</v>
      </c>
      <c r="AG43">
        <v>23.259879999999999</v>
      </c>
    </row>
    <row r="44" spans="1:33" x14ac:dyDescent="0.25">
      <c r="A44" s="1">
        <v>44095</v>
      </c>
      <c r="B44">
        <v>21.133547</v>
      </c>
      <c r="C44">
        <v>21.044827000000002</v>
      </c>
      <c r="D44">
        <v>20.925367000000001</v>
      </c>
      <c r="E44">
        <v>20.832056000000001</v>
      </c>
      <c r="F44">
        <v>20.752222</v>
      </c>
      <c r="G44">
        <v>20.81991</v>
      </c>
      <c r="H44">
        <v>20.100643000000002</v>
      </c>
      <c r="I44">
        <v>19.868044000000001</v>
      </c>
      <c r="J44">
        <v>21.889305</v>
      </c>
      <c r="K44">
        <v>21.627355999999999</v>
      </c>
      <c r="L44">
        <v>21.651163</v>
      </c>
      <c r="M44">
        <v>20.951212000000002</v>
      </c>
      <c r="N44">
        <v>20.820550000000001</v>
      </c>
      <c r="O44">
        <v>21.261389999999999</v>
      </c>
      <c r="P44">
        <v>21.597429999999999</v>
      </c>
      <c r="Q44">
        <v>20.927416000000001</v>
      </c>
      <c r="R44">
        <v>21.569098</v>
      </c>
      <c r="S44">
        <v>19.843136000000001</v>
      </c>
      <c r="T44">
        <v>20.488682000000001</v>
      </c>
      <c r="U44">
        <v>19.799372000000002</v>
      </c>
      <c r="V44">
        <v>20.272622999999999</v>
      </c>
      <c r="W44">
        <v>19.671595</v>
      </c>
      <c r="X44">
        <v>20.168512</v>
      </c>
      <c r="Y44">
        <v>23.157548999999999</v>
      </c>
      <c r="Z44">
        <v>20.480374999999999</v>
      </c>
      <c r="AA44">
        <v>23.379396</v>
      </c>
      <c r="AB44">
        <v>23.156808999999999</v>
      </c>
      <c r="AC44">
        <v>22.191706</v>
      </c>
      <c r="AD44">
        <v>21.716529999999999</v>
      </c>
      <c r="AE44">
        <v>23.171339</v>
      </c>
      <c r="AF44">
        <v>24.623438</v>
      </c>
      <c r="AG44">
        <v>23.246103000000002</v>
      </c>
    </row>
    <row r="45" spans="1:33" x14ac:dyDescent="0.25">
      <c r="A45" s="1">
        <v>44096</v>
      </c>
      <c r="B45">
        <v>21.037199999999999</v>
      </c>
      <c r="C45">
        <v>20.952023000000001</v>
      </c>
      <c r="D45">
        <v>20.817222999999998</v>
      </c>
      <c r="E45">
        <v>20.729616</v>
      </c>
      <c r="F45">
        <v>20.595231999999999</v>
      </c>
      <c r="G45">
        <v>20.726514999999999</v>
      </c>
      <c r="H45">
        <v>20.02186</v>
      </c>
      <c r="I45">
        <v>19.536581000000002</v>
      </c>
      <c r="J45">
        <v>21.783463000000001</v>
      </c>
      <c r="K45">
        <v>21.571245000000001</v>
      </c>
      <c r="L45">
        <v>21.640388000000002</v>
      </c>
      <c r="M45">
        <v>20.864515000000001</v>
      </c>
      <c r="N45">
        <v>20.776029999999999</v>
      </c>
      <c r="O45">
        <v>21.277988000000001</v>
      </c>
      <c r="P45">
        <v>21.544218000000001</v>
      </c>
      <c r="Q45">
        <v>20.840665999999999</v>
      </c>
      <c r="R45">
        <v>21.537383999999999</v>
      </c>
      <c r="S45">
        <v>19.576022999999999</v>
      </c>
      <c r="T45">
        <v>20.500969999999999</v>
      </c>
      <c r="U45">
        <v>19.870047</v>
      </c>
      <c r="V45">
        <v>20.246770000000001</v>
      </c>
      <c r="W45">
        <v>19.765425</v>
      </c>
      <c r="X45">
        <v>20.115483999999999</v>
      </c>
      <c r="Y45">
        <v>22.97109</v>
      </c>
      <c r="Z45">
        <v>20.64235</v>
      </c>
      <c r="AA45">
        <v>23.300552</v>
      </c>
      <c r="AB45">
        <v>22.974074999999999</v>
      </c>
      <c r="AC45">
        <v>21.831606000000001</v>
      </c>
      <c r="AD45">
        <v>21.701295999999999</v>
      </c>
      <c r="AE45">
        <v>23.004014999999999</v>
      </c>
      <c r="AF45">
        <v>24.573252</v>
      </c>
      <c r="AG45">
        <v>23.024733000000001</v>
      </c>
    </row>
    <row r="46" spans="1:33" x14ac:dyDescent="0.25">
      <c r="A46" s="1">
        <v>44097</v>
      </c>
      <c r="B46">
        <v>20.778487999999999</v>
      </c>
      <c r="C46">
        <v>20.783149999999999</v>
      </c>
      <c r="D46">
        <v>20.585985000000001</v>
      </c>
      <c r="E46">
        <v>20.524324</v>
      </c>
      <c r="F46">
        <v>20.430937</v>
      </c>
      <c r="G46">
        <v>20.549648000000001</v>
      </c>
      <c r="H46">
        <v>19.875204</v>
      </c>
      <c r="I46">
        <v>19.12884</v>
      </c>
      <c r="J46">
        <v>21.439682000000001</v>
      </c>
      <c r="K46">
        <v>21.377686000000001</v>
      </c>
      <c r="L46">
        <v>21.505081000000001</v>
      </c>
      <c r="M46">
        <v>20.699362000000001</v>
      </c>
      <c r="N46">
        <v>20.598165999999999</v>
      </c>
      <c r="O46">
        <v>21.185486000000001</v>
      </c>
      <c r="P46">
        <v>21.345092999999999</v>
      </c>
      <c r="Q46">
        <v>20.662134000000002</v>
      </c>
      <c r="R46">
        <v>21.403112</v>
      </c>
      <c r="S46">
        <v>19.15934</v>
      </c>
      <c r="T46">
        <v>20.380976</v>
      </c>
      <c r="U46">
        <v>19.904454999999999</v>
      </c>
      <c r="V46">
        <v>20.109905000000001</v>
      </c>
      <c r="W46">
        <v>19.837869999999999</v>
      </c>
      <c r="X46">
        <v>19.995851999999999</v>
      </c>
      <c r="Y46">
        <v>22.676345999999999</v>
      </c>
      <c r="Z46">
        <v>20.644013999999999</v>
      </c>
      <c r="AA46">
        <v>23.164324000000001</v>
      </c>
      <c r="AB46">
        <v>22.770826</v>
      </c>
      <c r="AC46">
        <v>21.423836000000001</v>
      </c>
      <c r="AD46">
        <v>21.56765</v>
      </c>
      <c r="AE46">
        <v>22.122945999999999</v>
      </c>
      <c r="AF46">
        <v>24.413786000000002</v>
      </c>
      <c r="AG46">
        <v>22.876992999999999</v>
      </c>
    </row>
    <row r="47" spans="1:33" x14ac:dyDescent="0.25">
      <c r="A47" s="1">
        <v>44098</v>
      </c>
      <c r="B47">
        <v>20.854299999999999</v>
      </c>
      <c r="C47">
        <v>20.880863000000002</v>
      </c>
      <c r="D47">
        <v>20.596730000000001</v>
      </c>
      <c r="E47">
        <v>20.538433000000001</v>
      </c>
      <c r="F47">
        <v>20.528656000000002</v>
      </c>
      <c r="G47">
        <v>20.498214999999998</v>
      </c>
      <c r="H47">
        <v>19.838014999999999</v>
      </c>
      <c r="I47">
        <v>19.199929999999998</v>
      </c>
      <c r="J47">
        <v>21.383112000000001</v>
      </c>
      <c r="K47">
        <v>21.296484</v>
      </c>
      <c r="L47">
        <v>21.454084000000002</v>
      </c>
      <c r="M47">
        <v>20.626362</v>
      </c>
      <c r="N47">
        <v>20.629231999999998</v>
      </c>
      <c r="O47">
        <v>21.214732999999999</v>
      </c>
      <c r="P47">
        <v>21.287710000000001</v>
      </c>
      <c r="Q47">
        <v>20.610047999999999</v>
      </c>
      <c r="R47">
        <v>21.394393999999998</v>
      </c>
      <c r="S47">
        <v>19.161818</v>
      </c>
      <c r="T47">
        <v>20.449532999999999</v>
      </c>
      <c r="U47">
        <v>20.034994000000001</v>
      </c>
      <c r="V47">
        <v>20.289158</v>
      </c>
      <c r="W47">
        <v>19.942833</v>
      </c>
      <c r="X47">
        <v>20.191179999999999</v>
      </c>
      <c r="Y47">
        <v>22.699577000000001</v>
      </c>
      <c r="Z47">
        <v>20.737846000000001</v>
      </c>
      <c r="AA47">
        <v>23.057344000000001</v>
      </c>
      <c r="AB47">
        <v>22.783719999999999</v>
      </c>
      <c r="AC47">
        <v>21.468354999999999</v>
      </c>
      <c r="AD47">
        <v>21.491121</v>
      </c>
      <c r="AE47">
        <v>22.100027000000001</v>
      </c>
      <c r="AF47">
        <v>24.319445000000002</v>
      </c>
      <c r="AG47">
        <v>22.848490000000002</v>
      </c>
    </row>
    <row r="48" spans="1:33" x14ac:dyDescent="0.25">
      <c r="A48" s="1">
        <v>44099</v>
      </c>
      <c r="B48">
        <v>20.613306000000001</v>
      </c>
      <c r="C48">
        <v>20.684585999999999</v>
      </c>
      <c r="D48">
        <v>20.519188</v>
      </c>
      <c r="E48">
        <v>20.390180000000001</v>
      </c>
      <c r="F48">
        <v>20.264510000000001</v>
      </c>
      <c r="G48">
        <v>20.352319999999999</v>
      </c>
      <c r="H48">
        <v>19.750603000000002</v>
      </c>
      <c r="I48">
        <v>18.797625</v>
      </c>
      <c r="J48">
        <v>21.110569999999999</v>
      </c>
      <c r="K48">
        <v>21.145669999999999</v>
      </c>
      <c r="L48">
        <v>21.298355000000001</v>
      </c>
      <c r="M48">
        <v>20.450106000000002</v>
      </c>
      <c r="N48">
        <v>20.505869000000001</v>
      </c>
      <c r="O48">
        <v>21.095295</v>
      </c>
      <c r="P48">
        <v>21.108277999999999</v>
      </c>
      <c r="Q48">
        <v>20.466470000000001</v>
      </c>
      <c r="R48">
        <v>21.259134</v>
      </c>
      <c r="S48">
        <v>18.946777000000001</v>
      </c>
      <c r="T48">
        <v>20.342676000000001</v>
      </c>
      <c r="U48">
        <v>20.05002</v>
      </c>
      <c r="V48">
        <v>20.216846</v>
      </c>
      <c r="W48">
        <v>19.979551000000001</v>
      </c>
      <c r="X48">
        <v>20.179200000000002</v>
      </c>
      <c r="Y48">
        <v>22.320326000000001</v>
      </c>
      <c r="Z48">
        <v>20.624668</v>
      </c>
      <c r="AA48">
        <v>22.833632999999999</v>
      </c>
      <c r="AB48">
        <v>22.435675</v>
      </c>
      <c r="AC48">
        <v>21.270143999999998</v>
      </c>
      <c r="AD48">
        <v>21.370923999999999</v>
      </c>
      <c r="AE48">
        <v>21.871732999999999</v>
      </c>
      <c r="AF48">
        <v>24.089009999999998</v>
      </c>
      <c r="AG48">
        <v>22.491814000000002</v>
      </c>
    </row>
    <row r="49" spans="1:33" x14ac:dyDescent="0.25">
      <c r="A49" s="1">
        <v>44100</v>
      </c>
      <c r="B49">
        <v>20.731791999999999</v>
      </c>
      <c r="C49">
        <v>20.720147999999998</v>
      </c>
      <c r="D49">
        <v>20.520947</v>
      </c>
      <c r="E49">
        <v>20.376487999999998</v>
      </c>
      <c r="F49">
        <v>20.339247</v>
      </c>
      <c r="G49">
        <v>20.329011999999999</v>
      </c>
      <c r="H49">
        <v>19.716835</v>
      </c>
      <c r="I49">
        <v>18.90436</v>
      </c>
      <c r="J49">
        <v>21.204063000000001</v>
      </c>
      <c r="K49">
        <v>21.133700999999999</v>
      </c>
      <c r="L49">
        <v>21.282454999999999</v>
      </c>
      <c r="M49">
        <v>20.467421999999999</v>
      </c>
      <c r="N49">
        <v>20.525175000000001</v>
      </c>
      <c r="O49">
        <v>21.089085000000001</v>
      </c>
      <c r="P49">
        <v>21.084610000000001</v>
      </c>
      <c r="Q49">
        <v>20.442219000000001</v>
      </c>
      <c r="R49">
        <v>21.290776999999999</v>
      </c>
      <c r="S49">
        <v>19.044187999999998</v>
      </c>
      <c r="T49">
        <v>20.376822000000001</v>
      </c>
      <c r="U49">
        <v>20.111843</v>
      </c>
      <c r="V49">
        <v>20.387978</v>
      </c>
      <c r="W49">
        <v>20.035982000000001</v>
      </c>
      <c r="X49">
        <v>20.365255000000001</v>
      </c>
      <c r="Y49">
        <v>22.186240000000002</v>
      </c>
      <c r="Z49">
        <v>20.708901999999998</v>
      </c>
      <c r="AA49">
        <v>22.777069999999998</v>
      </c>
      <c r="AB49">
        <v>22.373740999999999</v>
      </c>
      <c r="AC49">
        <v>21.121817</v>
      </c>
      <c r="AD49">
        <v>21.371485</v>
      </c>
      <c r="AE49">
        <v>22.088142000000001</v>
      </c>
      <c r="AF49">
        <v>23.965039999999998</v>
      </c>
      <c r="AG49">
        <v>22.548742000000001</v>
      </c>
    </row>
    <row r="50" spans="1:33" x14ac:dyDescent="0.25">
      <c r="A50" s="1">
        <v>44101</v>
      </c>
      <c r="B50">
        <v>21.027521</v>
      </c>
      <c r="C50">
        <v>20.944700000000001</v>
      </c>
      <c r="D50">
        <v>20.698156000000001</v>
      </c>
      <c r="E50">
        <v>20.536906999999999</v>
      </c>
      <c r="F50">
        <v>20.619129999999998</v>
      </c>
      <c r="G50">
        <v>20.483038000000001</v>
      </c>
      <c r="H50">
        <v>19.855436000000001</v>
      </c>
      <c r="I50">
        <v>19.470257</v>
      </c>
      <c r="J50">
        <v>21.584429</v>
      </c>
      <c r="K50">
        <v>21.286709999999999</v>
      </c>
      <c r="L50">
        <v>21.385027000000001</v>
      </c>
      <c r="M50">
        <v>20.631815</v>
      </c>
      <c r="N50">
        <v>20.740622999999999</v>
      </c>
      <c r="O50">
        <v>21.214770999999999</v>
      </c>
      <c r="P50">
        <v>21.234241000000001</v>
      </c>
      <c r="Q50">
        <v>20.607309999999998</v>
      </c>
      <c r="R50">
        <v>21.384554000000001</v>
      </c>
      <c r="S50">
        <v>19.396542</v>
      </c>
      <c r="T50">
        <v>20.585201000000001</v>
      </c>
      <c r="U50">
        <v>20.111363999999998</v>
      </c>
      <c r="V50">
        <v>20.630272000000001</v>
      </c>
      <c r="W50">
        <v>20.067753</v>
      </c>
      <c r="X50">
        <v>20.596985</v>
      </c>
      <c r="Y50">
        <v>22.436475999999999</v>
      </c>
      <c r="Z50">
        <v>20.975601000000001</v>
      </c>
      <c r="AA50">
        <v>22.856928</v>
      </c>
      <c r="AB50">
        <v>22.570452</v>
      </c>
      <c r="AC50">
        <v>21.134360999999998</v>
      </c>
      <c r="AD50">
        <v>21.456544999999998</v>
      </c>
      <c r="AE50">
        <v>22.44087</v>
      </c>
      <c r="AF50">
        <v>23.913879999999999</v>
      </c>
      <c r="AG50">
        <v>22.647977999999998</v>
      </c>
    </row>
    <row r="51" spans="1:33" x14ac:dyDescent="0.25">
      <c r="A51" s="1">
        <v>44102</v>
      </c>
      <c r="B51">
        <v>21.135798000000001</v>
      </c>
      <c r="C51">
        <v>21.223488</v>
      </c>
      <c r="D51">
        <v>20.909990000000001</v>
      </c>
      <c r="E51">
        <v>20.66854</v>
      </c>
      <c r="F51">
        <v>20.824839000000001</v>
      </c>
      <c r="G51">
        <v>20.662485</v>
      </c>
      <c r="H51">
        <v>19.95843</v>
      </c>
      <c r="I51">
        <v>20.078733</v>
      </c>
      <c r="J51">
        <v>21.871485</v>
      </c>
      <c r="K51">
        <v>21.425684</v>
      </c>
      <c r="L51">
        <v>21.474288999999999</v>
      </c>
      <c r="M51">
        <v>20.791788</v>
      </c>
      <c r="N51">
        <v>20.929396000000001</v>
      </c>
      <c r="O51">
        <v>21.326965000000001</v>
      </c>
      <c r="P51">
        <v>21.3873</v>
      </c>
      <c r="Q51">
        <v>20.777649</v>
      </c>
      <c r="R51">
        <v>21.462349</v>
      </c>
      <c r="S51">
        <v>19.613005000000001</v>
      </c>
      <c r="T51">
        <v>20.763484999999999</v>
      </c>
      <c r="U51">
        <v>20.214762</v>
      </c>
      <c r="V51">
        <v>20.765661000000001</v>
      </c>
      <c r="W51">
        <v>20.088953</v>
      </c>
      <c r="X51">
        <v>20.700178000000001</v>
      </c>
      <c r="Y51">
        <v>22.564599999999999</v>
      </c>
      <c r="Z51">
        <v>21.187355</v>
      </c>
      <c r="AA51">
        <v>22.892237000000002</v>
      </c>
      <c r="AB51">
        <v>22.633832999999999</v>
      </c>
      <c r="AC51">
        <v>21.200937</v>
      </c>
      <c r="AD51">
        <v>21.527483</v>
      </c>
      <c r="AE51">
        <v>22.849640000000001</v>
      </c>
      <c r="AF51">
        <v>23.907982000000001</v>
      </c>
      <c r="AG51">
        <v>22.664404000000001</v>
      </c>
    </row>
    <row r="52" spans="1:33" x14ac:dyDescent="0.25">
      <c r="A52" s="1">
        <v>44103</v>
      </c>
      <c r="B52">
        <v>21.509246999999998</v>
      </c>
      <c r="C52">
        <v>21.597448</v>
      </c>
      <c r="D52">
        <v>21.204763</v>
      </c>
      <c r="E52">
        <v>20.995321000000001</v>
      </c>
      <c r="F52">
        <v>21.041922</v>
      </c>
      <c r="G52">
        <v>20.864246000000001</v>
      </c>
      <c r="H52">
        <v>20.07404</v>
      </c>
      <c r="I52">
        <v>20.397516</v>
      </c>
      <c r="J52">
        <v>22.314568000000001</v>
      </c>
      <c r="K52">
        <v>21.646184999999999</v>
      </c>
      <c r="L52">
        <v>21.698723000000001</v>
      </c>
      <c r="M52">
        <v>20.987068000000001</v>
      </c>
      <c r="N52">
        <v>21.178660000000001</v>
      </c>
      <c r="O52">
        <v>21.598116000000001</v>
      </c>
      <c r="P52">
        <v>21.608816000000001</v>
      </c>
      <c r="Q52">
        <v>20.988194</v>
      </c>
      <c r="R52">
        <v>21.692698</v>
      </c>
      <c r="S52">
        <v>20.165384</v>
      </c>
      <c r="T52">
        <v>21.083991999999999</v>
      </c>
      <c r="U52">
        <v>20.287877999999999</v>
      </c>
      <c r="V52">
        <v>21.049917000000001</v>
      </c>
      <c r="W52">
        <v>20.12998</v>
      </c>
      <c r="X52">
        <v>20.974703000000002</v>
      </c>
      <c r="Y52">
        <v>22.791419999999999</v>
      </c>
      <c r="Z52">
        <v>21.540728000000001</v>
      </c>
      <c r="AA52">
        <v>23.056229999999999</v>
      </c>
      <c r="AB52">
        <v>22.804174</v>
      </c>
      <c r="AC52">
        <v>21.529122999999998</v>
      </c>
      <c r="AD52">
        <v>21.709845999999999</v>
      </c>
      <c r="AE52">
        <v>22.627333</v>
      </c>
      <c r="AF52">
        <v>24.014289999999999</v>
      </c>
      <c r="AG52">
        <v>22.926126</v>
      </c>
    </row>
    <row r="53" spans="1:33" x14ac:dyDescent="0.25">
      <c r="A53" s="1">
        <v>44104</v>
      </c>
      <c r="B53">
        <v>21.447967999999999</v>
      </c>
      <c r="C53">
        <v>21.731397999999999</v>
      </c>
      <c r="D53">
        <v>21.314084999999999</v>
      </c>
      <c r="E53">
        <v>21.083404999999999</v>
      </c>
      <c r="F53">
        <v>20.966415000000001</v>
      </c>
      <c r="G53">
        <v>20.927420000000001</v>
      </c>
      <c r="H53">
        <v>20.110811000000002</v>
      </c>
      <c r="I53">
        <v>20.138216</v>
      </c>
      <c r="J53">
        <v>22.213041</v>
      </c>
      <c r="K53">
        <v>21.659655000000001</v>
      </c>
      <c r="L53">
        <v>21.741430000000001</v>
      </c>
      <c r="M53">
        <v>21.045134000000001</v>
      </c>
      <c r="N53">
        <v>21.223991000000002</v>
      </c>
      <c r="O53">
        <v>21.584204</v>
      </c>
      <c r="P53">
        <v>21.641855</v>
      </c>
      <c r="Q53">
        <v>21.047219999999999</v>
      </c>
      <c r="R53">
        <v>21.718381999999998</v>
      </c>
      <c r="S53">
        <v>20.221529</v>
      </c>
      <c r="T53">
        <v>21.170639999999999</v>
      </c>
      <c r="U53">
        <v>20.165496999999998</v>
      </c>
      <c r="V53">
        <v>21.000081999999999</v>
      </c>
      <c r="W53">
        <v>20.014348999999999</v>
      </c>
      <c r="X53">
        <v>20.897442000000002</v>
      </c>
      <c r="Y53">
        <v>22.941507000000001</v>
      </c>
      <c r="Z53">
        <v>21.669730999999999</v>
      </c>
      <c r="AA53">
        <v>23.092302</v>
      </c>
      <c r="AB53">
        <v>22.917840999999999</v>
      </c>
      <c r="AC53">
        <v>21.761492000000001</v>
      </c>
      <c r="AD53">
        <v>21.795127999999998</v>
      </c>
      <c r="AE53">
        <v>22.847180999999999</v>
      </c>
      <c r="AF53">
        <v>24.054124999999999</v>
      </c>
      <c r="AG53">
        <v>22.962076</v>
      </c>
    </row>
    <row r="54" spans="1:33" x14ac:dyDescent="0.25">
      <c r="A54" s="1">
        <v>44105</v>
      </c>
      <c r="B54">
        <v>21.495885999999999</v>
      </c>
      <c r="C54">
        <v>21.864649</v>
      </c>
      <c r="D54">
        <v>21.404005000000002</v>
      </c>
      <c r="E54">
        <v>21.183264000000001</v>
      </c>
      <c r="F54">
        <v>21.078835999999999</v>
      </c>
      <c r="G54">
        <v>21.027159000000001</v>
      </c>
      <c r="H54">
        <v>20.175841999999999</v>
      </c>
      <c r="I54">
        <v>20.131823000000001</v>
      </c>
      <c r="J54">
        <v>22.271509999999999</v>
      </c>
      <c r="K54">
        <v>21.776029999999999</v>
      </c>
      <c r="L54">
        <v>21.85821</v>
      </c>
      <c r="M54">
        <v>21.157319999999999</v>
      </c>
      <c r="N54">
        <v>21.378274999999999</v>
      </c>
      <c r="O54">
        <v>21.631934999999999</v>
      </c>
      <c r="P54">
        <v>21.759620000000002</v>
      </c>
      <c r="Q54">
        <v>21.162037000000002</v>
      </c>
      <c r="R54">
        <v>21.781942000000001</v>
      </c>
      <c r="S54">
        <v>20.316248000000002</v>
      </c>
      <c r="T54">
        <v>21.230091000000002</v>
      </c>
      <c r="U54">
        <v>20.05903</v>
      </c>
      <c r="V54">
        <v>20.968350999999998</v>
      </c>
      <c r="W54">
        <v>19.838899999999999</v>
      </c>
      <c r="X54">
        <v>20.808797999999999</v>
      </c>
      <c r="Y54">
        <v>22.997993000000001</v>
      </c>
      <c r="Z54">
        <v>21.662217999999999</v>
      </c>
      <c r="AA54">
        <v>23.085184000000002</v>
      </c>
      <c r="AB54">
        <v>22.975283000000001</v>
      </c>
      <c r="AC54">
        <v>21.804040000000001</v>
      </c>
      <c r="AD54">
        <v>21.89113</v>
      </c>
      <c r="AE54">
        <v>22.889081999999998</v>
      </c>
      <c r="AF54">
        <v>24.062307000000001</v>
      </c>
      <c r="AG54">
        <v>22.945139000000001</v>
      </c>
    </row>
    <row r="55" spans="1:33" x14ac:dyDescent="0.25">
      <c r="A55" s="1">
        <v>44106</v>
      </c>
      <c r="B55">
        <v>21.546282000000001</v>
      </c>
      <c r="C55">
        <v>21.97484</v>
      </c>
      <c r="D55">
        <v>21.465357000000001</v>
      </c>
      <c r="E55">
        <v>21.230877</v>
      </c>
      <c r="F55">
        <v>21.155760000000001</v>
      </c>
      <c r="G55">
        <v>21.125235</v>
      </c>
      <c r="H55">
        <v>20.195710999999999</v>
      </c>
      <c r="I55">
        <v>20.170134999999998</v>
      </c>
      <c r="J55">
        <v>22.343381999999998</v>
      </c>
      <c r="K55">
        <v>21.888978999999999</v>
      </c>
      <c r="L55">
        <v>21.904129999999999</v>
      </c>
      <c r="M55">
        <v>21.254093000000001</v>
      </c>
      <c r="N55">
        <v>21.505400000000002</v>
      </c>
      <c r="O55">
        <v>21.643097000000001</v>
      </c>
      <c r="P55">
        <v>21.885549999999999</v>
      </c>
      <c r="Q55">
        <v>21.282827000000001</v>
      </c>
      <c r="R55">
        <v>21.821648</v>
      </c>
      <c r="S55">
        <v>20.397017000000002</v>
      </c>
      <c r="T55">
        <v>21.210059999999999</v>
      </c>
      <c r="U55">
        <v>19.931139000000002</v>
      </c>
      <c r="V55">
        <v>20.856123</v>
      </c>
      <c r="W55">
        <v>19.830559000000001</v>
      </c>
      <c r="X55">
        <v>20.655481000000002</v>
      </c>
      <c r="Y55">
        <v>23.040987000000001</v>
      </c>
      <c r="Z55">
        <v>21.630678</v>
      </c>
      <c r="AA55">
        <v>23.085958000000002</v>
      </c>
      <c r="AB55">
        <v>22.983568000000002</v>
      </c>
      <c r="AC55">
        <v>21.913634999999999</v>
      </c>
      <c r="AD55">
        <v>21.940825</v>
      </c>
      <c r="AE55">
        <v>22.453690000000002</v>
      </c>
      <c r="AF55">
        <v>24.073544999999999</v>
      </c>
      <c r="AG55">
        <v>22.925339999999998</v>
      </c>
    </row>
    <row r="56" spans="1:33" x14ac:dyDescent="0.25">
      <c r="A56" s="1">
        <v>44107</v>
      </c>
      <c r="B56">
        <v>21.471664000000001</v>
      </c>
      <c r="C56">
        <v>22.005265999999999</v>
      </c>
      <c r="D56">
        <v>21.461126</v>
      </c>
      <c r="E56">
        <v>21.210885999999999</v>
      </c>
      <c r="F56">
        <v>21.113077000000001</v>
      </c>
      <c r="G56">
        <v>21.155363000000001</v>
      </c>
      <c r="H56">
        <v>20.161035999999999</v>
      </c>
      <c r="I56">
        <v>20.009240999999999</v>
      </c>
      <c r="J56">
        <v>22.217813</v>
      </c>
      <c r="K56">
        <v>21.930299999999999</v>
      </c>
      <c r="L56">
        <v>21.885922999999998</v>
      </c>
      <c r="M56">
        <v>21.279634000000001</v>
      </c>
      <c r="N56">
        <v>21.5428</v>
      </c>
      <c r="O56">
        <v>21.611267000000002</v>
      </c>
      <c r="P56">
        <v>21.935210999999999</v>
      </c>
      <c r="Q56">
        <v>21.325657</v>
      </c>
      <c r="R56">
        <v>21.827359999999999</v>
      </c>
      <c r="S56">
        <v>20.244215000000001</v>
      </c>
      <c r="T56">
        <v>21.131018000000001</v>
      </c>
      <c r="U56">
        <v>19.961030999999998</v>
      </c>
      <c r="V56">
        <v>20.694365000000001</v>
      </c>
      <c r="W56">
        <v>19.85398</v>
      </c>
      <c r="X56">
        <v>20.459959999999999</v>
      </c>
      <c r="Y56">
        <v>22.976949999999999</v>
      </c>
      <c r="Z56">
        <v>21.487480000000001</v>
      </c>
      <c r="AA56">
        <v>23.011465000000001</v>
      </c>
      <c r="AB56">
        <v>22.907509999999998</v>
      </c>
      <c r="AC56">
        <v>21.882422999999999</v>
      </c>
      <c r="AD56">
        <v>21.933485000000001</v>
      </c>
      <c r="AE56">
        <v>22.070785999999998</v>
      </c>
      <c r="AF56">
        <v>24.014374</v>
      </c>
      <c r="AG56">
        <v>22.815681000000001</v>
      </c>
    </row>
    <row r="57" spans="1:33" x14ac:dyDescent="0.25">
      <c r="A57" s="1">
        <v>44108</v>
      </c>
      <c r="B57">
        <v>21.283235999999999</v>
      </c>
      <c r="C57">
        <v>21.872102999999999</v>
      </c>
      <c r="D57">
        <v>21.359166999999999</v>
      </c>
      <c r="E57">
        <v>21.071449999999999</v>
      </c>
      <c r="F57">
        <v>20.921177</v>
      </c>
      <c r="G57">
        <v>21.113507999999999</v>
      </c>
      <c r="H57">
        <v>20.074349999999999</v>
      </c>
      <c r="I57">
        <v>19.589838</v>
      </c>
      <c r="J57">
        <v>21.964652999999998</v>
      </c>
      <c r="K57">
        <v>21.875933</v>
      </c>
      <c r="L57">
        <v>21.795356999999999</v>
      </c>
      <c r="M57">
        <v>21.237359999999999</v>
      </c>
      <c r="N57">
        <v>21.467963999999998</v>
      </c>
      <c r="O57">
        <v>21.468461999999999</v>
      </c>
      <c r="P57">
        <v>21.892187</v>
      </c>
      <c r="Q57">
        <v>21.298829999999999</v>
      </c>
      <c r="R57">
        <v>21.747920000000001</v>
      </c>
      <c r="S57">
        <v>19.972999999999999</v>
      </c>
      <c r="T57">
        <v>21.008721999999999</v>
      </c>
      <c r="U57">
        <v>19.870999999999999</v>
      </c>
      <c r="V57">
        <v>20.538091999999999</v>
      </c>
      <c r="W57">
        <v>19.650276000000002</v>
      </c>
      <c r="X57">
        <v>20.321231999999998</v>
      </c>
      <c r="Y57">
        <v>22.802720999999998</v>
      </c>
      <c r="Z57">
        <v>21.237852</v>
      </c>
      <c r="AA57">
        <v>22.862967000000001</v>
      </c>
      <c r="AB57">
        <v>22.718772999999999</v>
      </c>
      <c r="AC57">
        <v>21.799575999999998</v>
      </c>
      <c r="AD57">
        <v>21.865326</v>
      </c>
      <c r="AE57">
        <v>22.282080000000001</v>
      </c>
      <c r="AF57">
        <v>23.908498999999999</v>
      </c>
      <c r="AG57">
        <v>22.6389</v>
      </c>
    </row>
    <row r="58" spans="1:33" x14ac:dyDescent="0.25">
      <c r="A58" s="1">
        <v>44109</v>
      </c>
      <c r="B58">
        <v>21.022511999999999</v>
      </c>
      <c r="C58">
        <v>21.636742000000002</v>
      </c>
      <c r="D58">
        <v>21.202856000000001</v>
      </c>
      <c r="E58">
        <v>20.858519000000001</v>
      </c>
      <c r="F58">
        <v>20.722534</v>
      </c>
      <c r="G58">
        <v>20.972349999999999</v>
      </c>
      <c r="H58">
        <v>19.962357999999998</v>
      </c>
      <c r="I58">
        <v>19.255800000000001</v>
      </c>
      <c r="J58">
        <v>21.488510000000002</v>
      </c>
      <c r="K58">
        <v>21.710111999999999</v>
      </c>
      <c r="L58">
        <v>21.631789999999999</v>
      </c>
      <c r="M58">
        <v>21.101952000000001</v>
      </c>
      <c r="N58">
        <v>21.289541</v>
      </c>
      <c r="O58">
        <v>21.250467</v>
      </c>
      <c r="P58">
        <v>21.730902</v>
      </c>
      <c r="Q58">
        <v>21.175547000000002</v>
      </c>
      <c r="R58">
        <v>21.57836</v>
      </c>
      <c r="S58">
        <v>19.378588000000001</v>
      </c>
      <c r="T58">
        <v>20.751263000000002</v>
      </c>
      <c r="U58">
        <v>19.528528000000001</v>
      </c>
      <c r="V58">
        <v>20.297657000000001</v>
      </c>
      <c r="W58">
        <v>19.175395999999999</v>
      </c>
      <c r="X58">
        <v>20.096104</v>
      </c>
      <c r="Y58">
        <v>22.621347</v>
      </c>
      <c r="Z58">
        <v>20.935697999999999</v>
      </c>
      <c r="AA58">
        <v>22.666319999999999</v>
      </c>
      <c r="AB58">
        <v>22.575737</v>
      </c>
      <c r="AC58">
        <v>21.348296999999999</v>
      </c>
      <c r="AD58">
        <v>21.716508999999999</v>
      </c>
      <c r="AE58">
        <v>22.078623</v>
      </c>
      <c r="AF58">
        <v>23.727522</v>
      </c>
      <c r="AG58">
        <v>22.468765000000001</v>
      </c>
    </row>
    <row r="59" spans="1:33" x14ac:dyDescent="0.25">
      <c r="A59" s="1">
        <v>44110</v>
      </c>
      <c r="B59">
        <v>20.870947000000001</v>
      </c>
      <c r="C59">
        <v>21.452764999999999</v>
      </c>
      <c r="D59">
        <v>21.074728</v>
      </c>
      <c r="E59">
        <v>20.709420999999999</v>
      </c>
      <c r="F59">
        <v>20.517849999999999</v>
      </c>
      <c r="G59">
        <v>20.815442999999998</v>
      </c>
      <c r="H59">
        <v>19.766521000000001</v>
      </c>
      <c r="I59">
        <v>19.011099000000002</v>
      </c>
      <c r="J59">
        <v>21.098549999999999</v>
      </c>
      <c r="K59">
        <v>21.543447</v>
      </c>
      <c r="L59">
        <v>21.515594</v>
      </c>
      <c r="M59">
        <v>20.946016</v>
      </c>
      <c r="N59">
        <v>21.113641999999999</v>
      </c>
      <c r="O59">
        <v>21.205956</v>
      </c>
      <c r="P59">
        <v>21.548421999999999</v>
      </c>
      <c r="Q59">
        <v>21.036466999999998</v>
      </c>
      <c r="R59">
        <v>21.492193</v>
      </c>
      <c r="S59">
        <v>19.006520999999999</v>
      </c>
      <c r="T59">
        <v>20.551545999999998</v>
      </c>
      <c r="U59">
        <v>19.113688</v>
      </c>
      <c r="V59">
        <v>20.132261</v>
      </c>
      <c r="W59">
        <v>18.873722000000001</v>
      </c>
      <c r="X59">
        <v>19.897299</v>
      </c>
      <c r="Y59">
        <v>22.398512</v>
      </c>
      <c r="Z59">
        <v>20.727944999999998</v>
      </c>
      <c r="AA59">
        <v>22.448357000000001</v>
      </c>
      <c r="AB59">
        <v>22.37472</v>
      </c>
      <c r="AC59">
        <v>20.928923000000001</v>
      </c>
      <c r="AD59">
        <v>21.578125</v>
      </c>
      <c r="AE59">
        <v>21.742215999999999</v>
      </c>
      <c r="AF59">
        <v>23.598624999999998</v>
      </c>
      <c r="AG59">
        <v>22.256622</v>
      </c>
    </row>
    <row r="60" spans="1:33" x14ac:dyDescent="0.25">
      <c r="A60" s="1">
        <v>44111</v>
      </c>
      <c r="B60">
        <v>20.449945</v>
      </c>
      <c r="C60">
        <v>21.021688000000001</v>
      </c>
      <c r="D60">
        <v>20.779764</v>
      </c>
      <c r="E60">
        <v>20.345258999999999</v>
      </c>
      <c r="F60">
        <v>20.113382000000001</v>
      </c>
      <c r="G60">
        <v>20.503332</v>
      </c>
      <c r="H60">
        <v>19.458062999999999</v>
      </c>
      <c r="I60">
        <v>18.418244999999999</v>
      </c>
      <c r="J60">
        <v>20.486180999999998</v>
      </c>
      <c r="K60">
        <v>21.192684</v>
      </c>
      <c r="L60">
        <v>21.233087999999999</v>
      </c>
      <c r="M60">
        <v>20.598455000000001</v>
      </c>
      <c r="N60">
        <v>20.755268000000001</v>
      </c>
      <c r="O60">
        <v>20.970296999999999</v>
      </c>
      <c r="P60">
        <v>21.181694</v>
      </c>
      <c r="Q60">
        <v>20.712064999999999</v>
      </c>
      <c r="R60">
        <v>21.235804000000002</v>
      </c>
      <c r="S60">
        <v>18.306604</v>
      </c>
      <c r="T60">
        <v>20.192098999999999</v>
      </c>
      <c r="U60">
        <v>18.908532999999998</v>
      </c>
      <c r="V60">
        <v>19.707903000000002</v>
      </c>
      <c r="W60">
        <v>18.791609000000001</v>
      </c>
      <c r="X60">
        <v>19.376342999999999</v>
      </c>
      <c r="Y60">
        <v>22.156977000000001</v>
      </c>
      <c r="Z60">
        <v>20.430895</v>
      </c>
      <c r="AA60">
        <v>22.236488000000001</v>
      </c>
      <c r="AB60">
        <v>22.132066999999999</v>
      </c>
      <c r="AC60">
        <v>20.515364000000002</v>
      </c>
      <c r="AD60">
        <v>21.309950000000001</v>
      </c>
      <c r="AE60">
        <v>21.201077000000002</v>
      </c>
      <c r="AF60">
        <v>23.449014999999999</v>
      </c>
      <c r="AG60">
        <v>22.051462000000001</v>
      </c>
    </row>
    <row r="61" spans="1:33" x14ac:dyDescent="0.25">
      <c r="A61" s="1">
        <v>44112</v>
      </c>
      <c r="B61">
        <v>20.051076999999999</v>
      </c>
      <c r="C61">
        <v>20.515460999999998</v>
      </c>
      <c r="D61">
        <v>20.395043999999999</v>
      </c>
      <c r="E61">
        <v>19.941832000000002</v>
      </c>
      <c r="F61">
        <v>19.806239999999999</v>
      </c>
      <c r="G61">
        <v>20.14594</v>
      </c>
      <c r="H61">
        <v>19.175785000000001</v>
      </c>
      <c r="I61">
        <v>17.951986000000002</v>
      </c>
      <c r="J61">
        <v>19.803733999999999</v>
      </c>
      <c r="K61">
        <v>20.728739000000001</v>
      </c>
      <c r="L61">
        <v>20.844806999999999</v>
      </c>
      <c r="M61">
        <v>20.219545</v>
      </c>
      <c r="N61">
        <v>20.330190000000002</v>
      </c>
      <c r="O61">
        <v>20.623464999999999</v>
      </c>
      <c r="P61">
        <v>20.723697999999999</v>
      </c>
      <c r="Q61">
        <v>20.320978</v>
      </c>
      <c r="R61">
        <v>20.885242000000002</v>
      </c>
      <c r="S61">
        <v>17.485997999999999</v>
      </c>
      <c r="T61">
        <v>19.687971000000001</v>
      </c>
      <c r="U61">
        <v>18.850764999999999</v>
      </c>
      <c r="V61">
        <v>19.233129999999999</v>
      </c>
      <c r="W61">
        <v>18.652062999999998</v>
      </c>
      <c r="X61">
        <v>18.90502</v>
      </c>
      <c r="Y61">
        <v>21.742857000000001</v>
      </c>
      <c r="Z61">
        <v>20.055264999999999</v>
      </c>
      <c r="AA61">
        <v>22.079046000000002</v>
      </c>
      <c r="AB61">
        <v>21.849539</v>
      </c>
      <c r="AC61">
        <v>19.928885000000001</v>
      </c>
      <c r="AD61">
        <v>20.967497000000002</v>
      </c>
      <c r="AE61">
        <v>20.223299999999998</v>
      </c>
      <c r="AF61">
        <v>23.263987</v>
      </c>
      <c r="AG61">
        <v>21.791391000000001</v>
      </c>
    </row>
    <row r="62" spans="1:33" x14ac:dyDescent="0.25">
      <c r="A62" s="1">
        <v>44113</v>
      </c>
      <c r="B62">
        <v>19.648548000000002</v>
      </c>
      <c r="C62">
        <v>20.060822999999999</v>
      </c>
      <c r="D62">
        <v>20.032686000000002</v>
      </c>
      <c r="E62">
        <v>19.53293</v>
      </c>
      <c r="F62">
        <v>19.612915000000001</v>
      </c>
      <c r="G62">
        <v>19.821268</v>
      </c>
      <c r="H62">
        <v>18.967566000000001</v>
      </c>
      <c r="I62">
        <v>17.756350000000001</v>
      </c>
      <c r="J62">
        <v>19.392600000000002</v>
      </c>
      <c r="K62">
        <v>20.395782000000001</v>
      </c>
      <c r="L62">
        <v>20.520184</v>
      </c>
      <c r="M62">
        <v>19.910184999999998</v>
      </c>
      <c r="N62">
        <v>19.953565999999999</v>
      </c>
      <c r="O62">
        <v>20.272929999999999</v>
      </c>
      <c r="P62">
        <v>20.392690000000002</v>
      </c>
      <c r="Q62">
        <v>19.979417999999999</v>
      </c>
      <c r="R62">
        <v>20.586425999999999</v>
      </c>
      <c r="S62">
        <v>16.891165000000001</v>
      </c>
      <c r="T62">
        <v>19.257113</v>
      </c>
      <c r="U62">
        <v>18.596981</v>
      </c>
      <c r="V62">
        <v>18.931742</v>
      </c>
      <c r="W62">
        <v>18.380441999999999</v>
      </c>
      <c r="X62">
        <v>18.75206</v>
      </c>
      <c r="Y62">
        <v>21.407442</v>
      </c>
      <c r="Z62">
        <v>19.65992</v>
      </c>
      <c r="AA62">
        <v>21.817810000000001</v>
      </c>
      <c r="AB62">
        <v>21.592478</v>
      </c>
      <c r="AC62">
        <v>19.306481999999999</v>
      </c>
      <c r="AD62">
        <v>20.662264</v>
      </c>
      <c r="AE62">
        <v>19.698647999999999</v>
      </c>
      <c r="AF62">
        <v>22.980149999999998</v>
      </c>
      <c r="AG62">
        <v>21.503473</v>
      </c>
    </row>
    <row r="63" spans="1:33" x14ac:dyDescent="0.25">
      <c r="A63" s="1">
        <v>44114</v>
      </c>
      <c r="B63">
        <v>19.479527000000001</v>
      </c>
      <c r="C63">
        <v>19.876042999999999</v>
      </c>
      <c r="D63">
        <v>19.780407</v>
      </c>
      <c r="E63">
        <v>19.351130000000001</v>
      </c>
      <c r="F63">
        <v>19.604372000000001</v>
      </c>
      <c r="G63">
        <v>19.696278</v>
      </c>
      <c r="H63">
        <v>18.840140999999999</v>
      </c>
      <c r="I63">
        <v>17.786549999999998</v>
      </c>
      <c r="J63">
        <v>19.424440000000001</v>
      </c>
      <c r="K63">
        <v>20.277291999999999</v>
      </c>
      <c r="L63">
        <v>20.340712</v>
      </c>
      <c r="M63">
        <v>19.777035000000001</v>
      </c>
      <c r="N63">
        <v>19.832743000000001</v>
      </c>
      <c r="O63">
        <v>20.088629000000001</v>
      </c>
      <c r="P63">
        <v>20.276926</v>
      </c>
      <c r="Q63">
        <v>19.847822000000001</v>
      </c>
      <c r="R63">
        <v>20.434797</v>
      </c>
      <c r="S63">
        <v>16.903490000000001</v>
      </c>
      <c r="T63">
        <v>19.131039000000001</v>
      </c>
      <c r="U63">
        <v>18.436646</v>
      </c>
      <c r="V63">
        <v>18.956959999999999</v>
      </c>
      <c r="W63">
        <v>18.098752999999999</v>
      </c>
      <c r="X63">
        <v>18.821245000000001</v>
      </c>
      <c r="Y63">
        <v>21.302267000000001</v>
      </c>
      <c r="Z63">
        <v>19.392828000000002</v>
      </c>
      <c r="AA63">
        <v>21.629753000000001</v>
      </c>
      <c r="AB63">
        <v>21.515329999999999</v>
      </c>
      <c r="AC63">
        <v>19.058748000000001</v>
      </c>
      <c r="AD63">
        <v>20.457581999999999</v>
      </c>
      <c r="AE63">
        <v>19.785433000000001</v>
      </c>
      <c r="AF63">
        <v>22.717956999999998</v>
      </c>
      <c r="AG63">
        <v>21.362991000000001</v>
      </c>
    </row>
    <row r="64" spans="1:33" x14ac:dyDescent="0.25">
      <c r="A64" s="1">
        <v>44115</v>
      </c>
      <c r="B64">
        <v>19.454065</v>
      </c>
      <c r="C64">
        <v>19.792202</v>
      </c>
      <c r="D64">
        <v>19.640837000000001</v>
      </c>
      <c r="E64">
        <v>19.293455000000002</v>
      </c>
      <c r="F64">
        <v>19.580385</v>
      </c>
      <c r="G64">
        <v>19.617681999999999</v>
      </c>
      <c r="H64">
        <v>18.896767000000001</v>
      </c>
      <c r="I64">
        <v>17.865732000000001</v>
      </c>
      <c r="J64">
        <v>19.443216</v>
      </c>
      <c r="K64">
        <v>20.186834000000001</v>
      </c>
      <c r="L64">
        <v>20.196197999999999</v>
      </c>
      <c r="M64">
        <v>19.722300000000001</v>
      </c>
      <c r="N64">
        <v>19.65072</v>
      </c>
      <c r="O64">
        <v>19.936983000000001</v>
      </c>
      <c r="P64">
        <v>20.151807999999999</v>
      </c>
      <c r="Q64">
        <v>19.778803</v>
      </c>
      <c r="R64">
        <v>20.279693999999999</v>
      </c>
      <c r="S64">
        <v>17.140207</v>
      </c>
      <c r="T64">
        <v>19.017983999999998</v>
      </c>
      <c r="U64">
        <v>18.115134999999999</v>
      </c>
      <c r="V64">
        <v>18.772789</v>
      </c>
      <c r="W64">
        <v>17.887491000000001</v>
      </c>
      <c r="X64">
        <v>18.65934</v>
      </c>
      <c r="Y64">
        <v>21.114107000000001</v>
      </c>
      <c r="Z64">
        <v>19.268612000000001</v>
      </c>
      <c r="AA64">
        <v>21.439160999999999</v>
      </c>
      <c r="AB64">
        <v>21.269628999999998</v>
      </c>
      <c r="AC64">
        <v>18.873505000000002</v>
      </c>
      <c r="AD64">
        <v>20.345459000000002</v>
      </c>
      <c r="AE64">
        <v>19.973299000000001</v>
      </c>
      <c r="AF64">
        <v>22.435396000000001</v>
      </c>
      <c r="AG64">
        <v>21.112950999999999</v>
      </c>
    </row>
    <row r="65" spans="1:33" x14ac:dyDescent="0.25">
      <c r="A65" s="1">
        <v>44116</v>
      </c>
      <c r="B65">
        <v>19.494219000000001</v>
      </c>
      <c r="C65">
        <v>19.752838000000001</v>
      </c>
      <c r="D65">
        <v>19.622843</v>
      </c>
      <c r="E65">
        <v>19.288180000000001</v>
      </c>
      <c r="F65">
        <v>19.553999000000001</v>
      </c>
      <c r="G65">
        <v>19.570585000000001</v>
      </c>
      <c r="H65">
        <v>18.820713000000001</v>
      </c>
      <c r="I65">
        <v>18.057133</v>
      </c>
      <c r="J65">
        <v>19.327482</v>
      </c>
      <c r="K65">
        <v>20.046430000000001</v>
      </c>
      <c r="L65">
        <v>19.997145</v>
      </c>
      <c r="M65">
        <v>19.674268999999999</v>
      </c>
      <c r="N65">
        <v>19.529547000000001</v>
      </c>
      <c r="O65">
        <v>19.740686</v>
      </c>
      <c r="P65">
        <v>20.025670000000002</v>
      </c>
      <c r="Q65">
        <v>19.686764</v>
      </c>
      <c r="R65">
        <v>20.085833000000001</v>
      </c>
      <c r="S65">
        <v>17.047063999999999</v>
      </c>
      <c r="T65">
        <v>18.838148</v>
      </c>
      <c r="U65">
        <v>17.976908000000002</v>
      </c>
      <c r="V65">
        <v>18.586227000000001</v>
      </c>
      <c r="W65">
        <v>17.85032</v>
      </c>
      <c r="X65">
        <v>18.409310000000001</v>
      </c>
      <c r="Y65">
        <v>20.750713000000001</v>
      </c>
      <c r="Z65">
        <v>19.120439999999999</v>
      </c>
      <c r="AA65">
        <v>21.197261999999998</v>
      </c>
      <c r="AB65">
        <v>20.844380999999998</v>
      </c>
      <c r="AC65">
        <v>18.446120000000001</v>
      </c>
      <c r="AD65">
        <v>20.168683999999999</v>
      </c>
      <c r="AE65">
        <v>19.844185</v>
      </c>
      <c r="AF65">
        <v>22.078206999999999</v>
      </c>
      <c r="AG65">
        <v>20.782382999999999</v>
      </c>
    </row>
    <row r="66" spans="1:33" x14ac:dyDescent="0.25">
      <c r="A66" s="1">
        <v>44117</v>
      </c>
      <c r="B66">
        <v>19.608183</v>
      </c>
      <c r="C66">
        <v>19.748604</v>
      </c>
      <c r="D66">
        <v>19.661881999999999</v>
      </c>
      <c r="E66">
        <v>19.351084</v>
      </c>
      <c r="F66">
        <v>19.579104999999998</v>
      </c>
      <c r="G66">
        <v>19.553007000000001</v>
      </c>
      <c r="H66">
        <v>18.789390000000001</v>
      </c>
      <c r="I66">
        <v>18.313383000000002</v>
      </c>
      <c r="J66">
        <v>19.432438000000001</v>
      </c>
      <c r="K66">
        <v>20.013815000000001</v>
      </c>
      <c r="L66">
        <v>19.921455000000002</v>
      </c>
      <c r="M66">
        <v>19.658387999999999</v>
      </c>
      <c r="N66">
        <v>19.545742000000001</v>
      </c>
      <c r="O66">
        <v>19.732603000000001</v>
      </c>
      <c r="P66">
        <v>19.994184000000001</v>
      </c>
      <c r="Q66">
        <v>19.65812</v>
      </c>
      <c r="R66">
        <v>20.034310999999999</v>
      </c>
      <c r="S66">
        <v>17.126100000000001</v>
      </c>
      <c r="T66">
        <v>18.789967999999998</v>
      </c>
      <c r="U66">
        <v>17.988406999999999</v>
      </c>
      <c r="V66">
        <v>18.535471000000001</v>
      </c>
      <c r="W66">
        <v>17.807511999999999</v>
      </c>
      <c r="X66">
        <v>18.362528000000001</v>
      </c>
      <c r="Y66">
        <v>20.543755000000001</v>
      </c>
      <c r="Z66">
        <v>19.06767</v>
      </c>
      <c r="AA66">
        <v>21.089532999999999</v>
      </c>
      <c r="AB66">
        <v>20.679987000000001</v>
      </c>
      <c r="AC66">
        <v>18.118292</v>
      </c>
      <c r="AD66">
        <v>20.037984999999999</v>
      </c>
      <c r="AE66">
        <v>19.935002999999998</v>
      </c>
      <c r="AF66">
        <v>21.841767999999998</v>
      </c>
      <c r="AG66">
        <v>20.669096</v>
      </c>
    </row>
    <row r="67" spans="1:33" x14ac:dyDescent="0.25">
      <c r="A67" s="1">
        <v>44118</v>
      </c>
      <c r="B67">
        <v>19.777111000000001</v>
      </c>
      <c r="C67">
        <v>19.830292</v>
      </c>
      <c r="D67">
        <v>19.817245</v>
      </c>
      <c r="E67">
        <v>19.527070999999999</v>
      </c>
      <c r="F67">
        <v>19.647141999999999</v>
      </c>
      <c r="G67">
        <v>19.60652</v>
      </c>
      <c r="H67">
        <v>18.891221999999999</v>
      </c>
      <c r="I67">
        <v>18.571899999999999</v>
      </c>
      <c r="J67">
        <v>19.725802999999999</v>
      </c>
      <c r="K67">
        <v>20.039342999999999</v>
      </c>
      <c r="L67">
        <v>19.962132</v>
      </c>
      <c r="M67">
        <v>19.717469999999999</v>
      </c>
      <c r="N67">
        <v>19.568639999999998</v>
      </c>
      <c r="O67">
        <v>19.789127000000001</v>
      </c>
      <c r="P67">
        <v>20.031870000000001</v>
      </c>
      <c r="Q67">
        <v>19.696795999999999</v>
      </c>
      <c r="R67">
        <v>19.997492000000001</v>
      </c>
      <c r="S67">
        <v>17.488852000000001</v>
      </c>
      <c r="T67">
        <v>18.831589000000001</v>
      </c>
      <c r="U67">
        <v>18.227582999999999</v>
      </c>
      <c r="V67">
        <v>18.533175</v>
      </c>
      <c r="W67">
        <v>17.720120000000001</v>
      </c>
      <c r="X67">
        <v>18.355967</v>
      </c>
      <c r="Y67">
        <v>20.573384999999998</v>
      </c>
      <c r="Z67">
        <v>19.148882</v>
      </c>
      <c r="AA67">
        <v>21.102796999999999</v>
      </c>
      <c r="AB67">
        <v>20.675986999999999</v>
      </c>
      <c r="AC67">
        <v>17.986865999999999</v>
      </c>
      <c r="AD67">
        <v>20.017613999999998</v>
      </c>
      <c r="AE67">
        <v>20.434916999999999</v>
      </c>
      <c r="AF67">
        <v>21.656389999999998</v>
      </c>
      <c r="AG67">
        <v>20.765370999999998</v>
      </c>
    </row>
    <row r="68" spans="1:33" x14ac:dyDescent="0.25">
      <c r="A68" s="1">
        <v>44119</v>
      </c>
      <c r="B68">
        <v>19.697458000000001</v>
      </c>
      <c r="C68">
        <v>19.808402999999998</v>
      </c>
      <c r="D68">
        <v>19.858795000000001</v>
      </c>
      <c r="E68">
        <v>19.543234000000002</v>
      </c>
      <c r="F68">
        <v>19.617730000000002</v>
      </c>
      <c r="G68">
        <v>19.633424999999999</v>
      </c>
      <c r="H68">
        <v>18.964476000000001</v>
      </c>
      <c r="I68">
        <v>18.776879999999998</v>
      </c>
      <c r="J68">
        <v>19.802133999999999</v>
      </c>
      <c r="K68">
        <v>19.995152000000001</v>
      </c>
      <c r="L68">
        <v>19.889357</v>
      </c>
      <c r="M68">
        <v>19.728926000000001</v>
      </c>
      <c r="N68">
        <v>19.507874999999999</v>
      </c>
      <c r="O68">
        <v>19.762267999999999</v>
      </c>
      <c r="P68">
        <v>20.011316000000001</v>
      </c>
      <c r="Q68">
        <v>19.702513</v>
      </c>
      <c r="R68">
        <v>19.927820000000001</v>
      </c>
      <c r="S68">
        <v>17.527868000000002</v>
      </c>
      <c r="T68">
        <v>18.758240000000001</v>
      </c>
      <c r="U68">
        <v>18.413903999999999</v>
      </c>
      <c r="V68">
        <v>18.392702</v>
      </c>
      <c r="W68">
        <v>17.858647999999999</v>
      </c>
      <c r="X68">
        <v>18.215754</v>
      </c>
      <c r="Y68">
        <v>20.514872</v>
      </c>
      <c r="Z68">
        <v>19.108661999999999</v>
      </c>
      <c r="AA68">
        <v>21.007158</v>
      </c>
      <c r="AB68">
        <v>20.606179999999998</v>
      </c>
      <c r="AC68">
        <v>17.866994999999999</v>
      </c>
      <c r="AD68">
        <v>19.928021999999999</v>
      </c>
      <c r="AE68">
        <v>20.237238000000001</v>
      </c>
      <c r="AF68">
        <v>21.353285</v>
      </c>
      <c r="AG68">
        <v>20.644106000000001</v>
      </c>
    </row>
    <row r="69" spans="1:33" x14ac:dyDescent="0.25">
      <c r="A69" s="1">
        <v>44120</v>
      </c>
      <c r="B69">
        <v>19.680803000000001</v>
      </c>
      <c r="C69">
        <v>19.816344999999998</v>
      </c>
      <c r="D69">
        <v>19.844503</v>
      </c>
      <c r="E69">
        <v>19.592549999999999</v>
      </c>
      <c r="F69">
        <v>19.57311</v>
      </c>
      <c r="G69">
        <v>19.604113000000002</v>
      </c>
      <c r="H69">
        <v>18.975355</v>
      </c>
      <c r="I69">
        <v>18.935324000000001</v>
      </c>
      <c r="J69">
        <v>19.776009999999999</v>
      </c>
      <c r="K69">
        <v>19.966771999999999</v>
      </c>
      <c r="L69">
        <v>19.872093</v>
      </c>
      <c r="M69">
        <v>19.702615999999999</v>
      </c>
      <c r="N69">
        <v>19.501754999999999</v>
      </c>
      <c r="O69">
        <v>19.786049999999999</v>
      </c>
      <c r="P69">
        <v>19.998719999999999</v>
      </c>
      <c r="Q69">
        <v>19.694302</v>
      </c>
      <c r="R69">
        <v>19.903009999999998</v>
      </c>
      <c r="S69">
        <v>17.594056999999999</v>
      </c>
      <c r="T69">
        <v>18.686401</v>
      </c>
      <c r="U69">
        <v>18.588797</v>
      </c>
      <c r="V69">
        <v>18.355625</v>
      </c>
      <c r="W69">
        <v>18.054632000000002</v>
      </c>
      <c r="X69">
        <v>18.166058</v>
      </c>
      <c r="Y69">
        <v>20.417013000000001</v>
      </c>
      <c r="Z69">
        <v>19.077179000000001</v>
      </c>
      <c r="AA69">
        <v>20.903383000000002</v>
      </c>
      <c r="AB69">
        <v>20.468105000000001</v>
      </c>
      <c r="AC69">
        <v>17.975383999999998</v>
      </c>
      <c r="AD69">
        <v>19.876201999999999</v>
      </c>
      <c r="AE69">
        <v>19.616282000000002</v>
      </c>
      <c r="AF69">
        <v>21.191386999999999</v>
      </c>
      <c r="AG69">
        <v>20.528896</v>
      </c>
    </row>
    <row r="70" spans="1:33" x14ac:dyDescent="0.25">
      <c r="A70" s="1">
        <v>44121</v>
      </c>
      <c r="B70">
        <v>19.782589999999999</v>
      </c>
      <c r="C70">
        <v>19.815640999999999</v>
      </c>
      <c r="D70">
        <v>19.874587999999999</v>
      </c>
      <c r="E70">
        <v>19.684359000000001</v>
      </c>
      <c r="F70">
        <v>19.551833999999999</v>
      </c>
      <c r="G70">
        <v>19.560337000000001</v>
      </c>
      <c r="H70">
        <v>18.948506999999999</v>
      </c>
      <c r="I70">
        <v>18.92201</v>
      </c>
      <c r="J70">
        <v>19.693027000000001</v>
      </c>
      <c r="K70">
        <v>19.920449999999999</v>
      </c>
      <c r="L70">
        <v>19.879888999999999</v>
      </c>
      <c r="M70">
        <v>19.669964</v>
      </c>
      <c r="N70">
        <v>19.479153</v>
      </c>
      <c r="O70">
        <v>19.799469999999999</v>
      </c>
      <c r="P70">
        <v>19.954920000000001</v>
      </c>
      <c r="Q70">
        <v>19.673069000000002</v>
      </c>
      <c r="R70">
        <v>19.893038000000001</v>
      </c>
      <c r="S70">
        <v>17.609256999999999</v>
      </c>
      <c r="T70">
        <v>18.68168</v>
      </c>
      <c r="U70">
        <v>18.323993999999999</v>
      </c>
      <c r="V70">
        <v>18.490057</v>
      </c>
      <c r="W70">
        <v>18.169401000000001</v>
      </c>
      <c r="X70">
        <v>18.339666000000001</v>
      </c>
      <c r="Y70">
        <v>20.351642999999999</v>
      </c>
      <c r="Z70">
        <v>19.088964000000001</v>
      </c>
      <c r="AA70">
        <v>20.811243000000001</v>
      </c>
      <c r="AB70">
        <v>20.393878999999998</v>
      </c>
      <c r="AC70">
        <v>17.853249000000002</v>
      </c>
      <c r="AD70">
        <v>19.864163999999999</v>
      </c>
      <c r="AE70">
        <v>18.917795000000002</v>
      </c>
      <c r="AF70">
        <v>21.024699999999999</v>
      </c>
      <c r="AG70">
        <v>20.503153000000001</v>
      </c>
    </row>
    <row r="71" spans="1:33" x14ac:dyDescent="0.25">
      <c r="A71" s="1">
        <v>44122</v>
      </c>
      <c r="B71">
        <v>19.840025000000001</v>
      </c>
      <c r="C71">
        <v>19.741537000000001</v>
      </c>
      <c r="D71">
        <v>19.845345999999999</v>
      </c>
      <c r="E71">
        <v>19.689177999999998</v>
      </c>
      <c r="F71">
        <v>19.442678000000001</v>
      </c>
      <c r="G71">
        <v>19.518605999999998</v>
      </c>
      <c r="H71">
        <v>18.875536</v>
      </c>
      <c r="I71">
        <v>18.709879000000001</v>
      </c>
      <c r="J71">
        <v>19.713877</v>
      </c>
      <c r="K71">
        <v>19.90558</v>
      </c>
      <c r="L71">
        <v>19.880405</v>
      </c>
      <c r="M71">
        <v>19.618845</v>
      </c>
      <c r="N71">
        <v>19.464980000000001</v>
      </c>
      <c r="O71">
        <v>19.685746999999999</v>
      </c>
      <c r="P71">
        <v>19.940564999999999</v>
      </c>
      <c r="Q71">
        <v>19.635695999999999</v>
      </c>
      <c r="R71">
        <v>19.852060000000002</v>
      </c>
      <c r="S71">
        <v>17.787178000000001</v>
      </c>
      <c r="T71">
        <v>18.760382</v>
      </c>
      <c r="U71">
        <v>18.23996</v>
      </c>
      <c r="V71">
        <v>18.701038</v>
      </c>
      <c r="W71">
        <v>18.146426999999999</v>
      </c>
      <c r="X71">
        <v>18.583376000000001</v>
      </c>
      <c r="Y71">
        <v>20.274446000000001</v>
      </c>
      <c r="Z71">
        <v>19.084540000000001</v>
      </c>
      <c r="AA71">
        <v>20.753316999999999</v>
      </c>
      <c r="AB71">
        <v>20.367773</v>
      </c>
      <c r="AC71">
        <v>17.323830000000001</v>
      </c>
      <c r="AD71">
        <v>19.857244000000001</v>
      </c>
      <c r="AE71">
        <v>18.416036999999999</v>
      </c>
      <c r="AF71">
        <v>20.789473000000001</v>
      </c>
      <c r="AG71">
        <v>20.49492</v>
      </c>
    </row>
    <row r="72" spans="1:33" x14ac:dyDescent="0.25">
      <c r="A72" s="1">
        <v>44123</v>
      </c>
      <c r="B72">
        <v>19.796495</v>
      </c>
      <c r="C72">
        <v>19.685006999999999</v>
      </c>
      <c r="D72">
        <v>19.781174</v>
      </c>
      <c r="E72">
        <v>19.613443</v>
      </c>
      <c r="F72">
        <v>19.354174</v>
      </c>
      <c r="G72">
        <v>19.452539999999999</v>
      </c>
      <c r="H72">
        <v>18.77412</v>
      </c>
      <c r="I72">
        <v>18.476710000000001</v>
      </c>
      <c r="J72">
        <v>19.759115000000001</v>
      </c>
      <c r="K72">
        <v>19.903663999999999</v>
      </c>
      <c r="L72">
        <v>19.896204000000001</v>
      </c>
      <c r="M72">
        <v>19.561185999999999</v>
      </c>
      <c r="N72">
        <v>19.446719999999999</v>
      </c>
      <c r="O72">
        <v>19.639161999999999</v>
      </c>
      <c r="P72">
        <v>19.925238</v>
      </c>
      <c r="Q72">
        <v>19.577850000000002</v>
      </c>
      <c r="R72">
        <v>19.82807</v>
      </c>
      <c r="S72">
        <v>17.925222000000002</v>
      </c>
      <c r="T72">
        <v>18.873377000000001</v>
      </c>
      <c r="U72">
        <v>18.211110999999999</v>
      </c>
      <c r="V72">
        <v>18.78331</v>
      </c>
      <c r="W72">
        <v>18.170742000000001</v>
      </c>
      <c r="X72">
        <v>18.663188999999999</v>
      </c>
      <c r="Y72">
        <v>20.073599000000002</v>
      </c>
      <c r="Z72">
        <v>19.146802999999998</v>
      </c>
      <c r="AA72">
        <v>20.730782999999999</v>
      </c>
      <c r="AB72">
        <v>20.386517999999999</v>
      </c>
      <c r="AC72">
        <v>18.762395999999999</v>
      </c>
      <c r="AD72">
        <v>19.878413999999999</v>
      </c>
      <c r="AE72">
        <v>18.070826</v>
      </c>
      <c r="AF72">
        <v>20.43347</v>
      </c>
      <c r="AG72">
        <v>20.522749000000001</v>
      </c>
    </row>
    <row r="73" spans="1:33" x14ac:dyDescent="0.25">
      <c r="A73" s="1">
        <v>44124</v>
      </c>
      <c r="B73">
        <v>19.647219</v>
      </c>
      <c r="C73">
        <v>19.578320999999999</v>
      </c>
      <c r="D73">
        <v>19.675208999999999</v>
      </c>
      <c r="E73">
        <v>19.464040000000001</v>
      </c>
      <c r="F73">
        <v>19.248756</v>
      </c>
      <c r="G73">
        <v>19.36111</v>
      </c>
      <c r="H73">
        <v>18.684048000000001</v>
      </c>
      <c r="I73">
        <v>18.305544000000001</v>
      </c>
      <c r="J73">
        <v>19.621448999999998</v>
      </c>
      <c r="K73">
        <v>19.837586999999999</v>
      </c>
      <c r="L73">
        <v>19.867854999999999</v>
      </c>
      <c r="M73">
        <v>19.484521999999998</v>
      </c>
      <c r="N73">
        <v>19.415082999999999</v>
      </c>
      <c r="O73">
        <v>19.624497999999999</v>
      </c>
      <c r="P73">
        <v>19.846540000000001</v>
      </c>
      <c r="Q73">
        <v>19.491817000000001</v>
      </c>
      <c r="R73">
        <v>19.775717</v>
      </c>
      <c r="S73">
        <v>17.921849999999999</v>
      </c>
      <c r="T73">
        <v>18.910746</v>
      </c>
      <c r="U73">
        <v>18.259650000000001</v>
      </c>
      <c r="V73">
        <v>18.754785999999999</v>
      </c>
      <c r="W73">
        <v>18.362324000000001</v>
      </c>
      <c r="X73">
        <v>18.608004000000001</v>
      </c>
      <c r="Y73">
        <v>19.809266999999998</v>
      </c>
      <c r="Z73">
        <v>19.178647999999999</v>
      </c>
      <c r="AA73">
        <v>20.641725999999998</v>
      </c>
      <c r="AB73">
        <v>20.335384000000001</v>
      </c>
      <c r="AC73">
        <v>19.606268</v>
      </c>
      <c r="AD73">
        <v>19.856787000000001</v>
      </c>
      <c r="AE73">
        <v>18.271858000000002</v>
      </c>
      <c r="AF73">
        <v>19.969183000000001</v>
      </c>
      <c r="AG73">
        <v>20.427354999999999</v>
      </c>
    </row>
    <row r="74" spans="1:33" x14ac:dyDescent="0.25">
      <c r="A74" s="1">
        <v>44125</v>
      </c>
      <c r="B74">
        <v>19.506792000000001</v>
      </c>
      <c r="C74">
        <v>19.539570000000001</v>
      </c>
      <c r="D74">
        <v>19.521301000000001</v>
      </c>
      <c r="E74">
        <v>19.254252999999999</v>
      </c>
      <c r="F74">
        <v>19.204080000000001</v>
      </c>
      <c r="G74">
        <v>19.261327999999999</v>
      </c>
      <c r="H74">
        <v>18.601927</v>
      </c>
      <c r="I74">
        <v>18.177316999999999</v>
      </c>
      <c r="J74">
        <v>19.353400000000001</v>
      </c>
      <c r="K74">
        <v>19.722189</v>
      </c>
      <c r="L74">
        <v>19.760290000000001</v>
      </c>
      <c r="M74">
        <v>19.389585</v>
      </c>
      <c r="N74">
        <v>19.367471999999999</v>
      </c>
      <c r="O74">
        <v>19.536546999999999</v>
      </c>
      <c r="P74">
        <v>19.711027000000001</v>
      </c>
      <c r="Q74">
        <v>19.38719</v>
      </c>
      <c r="R74">
        <v>19.684145000000001</v>
      </c>
      <c r="S74">
        <v>17.700396999999999</v>
      </c>
      <c r="T74">
        <v>18.832101999999999</v>
      </c>
      <c r="U74">
        <v>18.151411</v>
      </c>
      <c r="V74">
        <v>18.536944999999999</v>
      </c>
      <c r="W74">
        <v>18.540769999999998</v>
      </c>
      <c r="X74">
        <v>18.334067999999998</v>
      </c>
      <c r="Y74">
        <v>19.586039</v>
      </c>
      <c r="Z74">
        <v>19.120305999999999</v>
      </c>
      <c r="AA74">
        <v>20.480743</v>
      </c>
      <c r="AB74">
        <v>20.066701999999999</v>
      </c>
      <c r="AC74">
        <v>19.162575</v>
      </c>
      <c r="AD74">
        <v>19.756903000000001</v>
      </c>
      <c r="AE74">
        <v>18.585709999999999</v>
      </c>
      <c r="AF74">
        <v>19.516446999999999</v>
      </c>
      <c r="AG74">
        <v>20.222577999999999</v>
      </c>
    </row>
    <row r="75" spans="1:33" x14ac:dyDescent="0.25">
      <c r="A75" s="1">
        <v>44126</v>
      </c>
      <c r="B75">
        <v>19.368452000000001</v>
      </c>
      <c r="C75">
        <v>19.450056</v>
      </c>
      <c r="D75">
        <v>19.372885</v>
      </c>
      <c r="E75">
        <v>19.108118000000001</v>
      </c>
      <c r="F75">
        <v>19.203347999999998</v>
      </c>
      <c r="G75">
        <v>19.206907000000001</v>
      </c>
      <c r="H75">
        <v>18.537065999999999</v>
      </c>
      <c r="I75">
        <v>18.165196999999999</v>
      </c>
      <c r="J75">
        <v>19.138387999999999</v>
      </c>
      <c r="K75">
        <v>19.613023999999999</v>
      </c>
      <c r="L75">
        <v>19.631186</v>
      </c>
      <c r="M75">
        <v>19.315300000000001</v>
      </c>
      <c r="N75">
        <v>19.29796</v>
      </c>
      <c r="O75">
        <v>19.452261</v>
      </c>
      <c r="P75">
        <v>19.598095000000001</v>
      </c>
      <c r="Q75">
        <v>19.337617999999999</v>
      </c>
      <c r="R75">
        <v>19.573796999999999</v>
      </c>
      <c r="S75">
        <v>17.421824000000001</v>
      </c>
      <c r="T75">
        <v>18.71105</v>
      </c>
      <c r="U75">
        <v>18.114032999999999</v>
      </c>
      <c r="V75">
        <v>18.419401000000001</v>
      </c>
      <c r="W75">
        <v>18.40287</v>
      </c>
      <c r="X75">
        <v>18.339613</v>
      </c>
      <c r="Y75">
        <v>19.732243</v>
      </c>
      <c r="Z75">
        <v>18.98094</v>
      </c>
      <c r="AA75">
        <v>20.277082</v>
      </c>
      <c r="AB75">
        <v>19.883376999999999</v>
      </c>
      <c r="AC75">
        <v>18.557167</v>
      </c>
      <c r="AD75">
        <v>19.635061</v>
      </c>
      <c r="AE75">
        <v>18.357372000000002</v>
      </c>
      <c r="AF75">
        <v>19.290022</v>
      </c>
      <c r="AG75">
        <v>19.965843</v>
      </c>
    </row>
    <row r="76" spans="1:33" x14ac:dyDescent="0.25">
      <c r="A76" s="1">
        <v>44127</v>
      </c>
      <c r="B76">
        <v>18.866657</v>
      </c>
      <c r="C76">
        <v>19.123971999999998</v>
      </c>
      <c r="D76">
        <v>19.018357999999999</v>
      </c>
      <c r="E76">
        <v>18.759623999999999</v>
      </c>
      <c r="F76">
        <v>18.884474000000001</v>
      </c>
      <c r="G76">
        <v>19.000982</v>
      </c>
      <c r="H76">
        <v>18.332115000000002</v>
      </c>
      <c r="I76">
        <v>17.689872999999999</v>
      </c>
      <c r="J76">
        <v>18.477846</v>
      </c>
      <c r="K76">
        <v>19.265322000000001</v>
      </c>
      <c r="L76">
        <v>19.299318</v>
      </c>
      <c r="M76">
        <v>19.053357999999999</v>
      </c>
      <c r="N76">
        <v>18.960553999999998</v>
      </c>
      <c r="O76">
        <v>19.179805999999999</v>
      </c>
      <c r="P76">
        <v>19.260828</v>
      </c>
      <c r="Q76">
        <v>19.125399000000002</v>
      </c>
      <c r="R76">
        <v>19.314491</v>
      </c>
      <c r="S76">
        <v>16.411898000000001</v>
      </c>
      <c r="T76">
        <v>18.347918</v>
      </c>
      <c r="U76">
        <v>17.889617999999999</v>
      </c>
      <c r="V76">
        <v>18.169589999999999</v>
      </c>
      <c r="W76">
        <v>18.062656</v>
      </c>
      <c r="X76">
        <v>18.174416999999998</v>
      </c>
      <c r="Y76">
        <v>19.449507000000001</v>
      </c>
      <c r="Z76">
        <v>18.540759999999999</v>
      </c>
      <c r="AA76">
        <v>19.854894999999999</v>
      </c>
      <c r="AB76">
        <v>19.539438000000001</v>
      </c>
      <c r="AC76">
        <v>17.312291999999999</v>
      </c>
      <c r="AD76">
        <v>19.343029999999999</v>
      </c>
      <c r="AE76">
        <v>17.343447000000001</v>
      </c>
      <c r="AF76">
        <v>19.253813000000001</v>
      </c>
      <c r="AG76">
        <v>19.380322</v>
      </c>
    </row>
    <row r="77" spans="1:33" x14ac:dyDescent="0.25">
      <c r="A77" s="1">
        <v>44128</v>
      </c>
      <c r="B77">
        <v>18.289439999999999</v>
      </c>
      <c r="C77">
        <v>18.706845999999999</v>
      </c>
      <c r="D77">
        <v>18.558634000000001</v>
      </c>
      <c r="E77">
        <v>18.297167000000002</v>
      </c>
      <c r="F77">
        <v>18.394784999999999</v>
      </c>
      <c r="G77">
        <v>18.652070999999999</v>
      </c>
      <c r="H77">
        <v>18.018867</v>
      </c>
      <c r="I77">
        <v>16.809533999999999</v>
      </c>
      <c r="J77">
        <v>17.911073999999999</v>
      </c>
      <c r="K77">
        <v>18.89218</v>
      </c>
      <c r="L77">
        <v>18.981642000000001</v>
      </c>
      <c r="M77">
        <v>18.679518000000002</v>
      </c>
      <c r="N77">
        <v>18.518888</v>
      </c>
      <c r="O77">
        <v>18.896227</v>
      </c>
      <c r="P77">
        <v>18.887846</v>
      </c>
      <c r="Q77">
        <v>18.757314999999998</v>
      </c>
      <c r="R77">
        <v>19.055047999999999</v>
      </c>
      <c r="S77">
        <v>15.562055000000001</v>
      </c>
      <c r="T77">
        <v>17.95468</v>
      </c>
      <c r="U77">
        <v>17.760041999999999</v>
      </c>
      <c r="V77">
        <v>17.930689999999998</v>
      </c>
      <c r="W77">
        <v>17.569239</v>
      </c>
      <c r="X77">
        <v>17.910702000000001</v>
      </c>
      <c r="Y77">
        <v>19.014887000000002</v>
      </c>
      <c r="Z77">
        <v>18.083501999999999</v>
      </c>
      <c r="AA77">
        <v>19.521673</v>
      </c>
      <c r="AB77">
        <v>19.154387</v>
      </c>
      <c r="AC77">
        <v>16.209692</v>
      </c>
      <c r="AD77">
        <v>19.072737</v>
      </c>
      <c r="AE77">
        <v>16.566582</v>
      </c>
      <c r="AF77">
        <v>19.314556</v>
      </c>
      <c r="AG77">
        <v>19.008216999999998</v>
      </c>
    </row>
    <row r="78" spans="1:33" x14ac:dyDescent="0.25">
      <c r="A78" s="1">
        <v>44129</v>
      </c>
      <c r="B78">
        <v>17.811499000000001</v>
      </c>
      <c r="C78">
        <v>18.312335999999998</v>
      </c>
      <c r="D78">
        <v>18.062989999999999</v>
      </c>
      <c r="E78">
        <v>17.855626999999998</v>
      </c>
      <c r="F78">
        <v>18.063652000000001</v>
      </c>
      <c r="G78">
        <v>18.348759999999999</v>
      </c>
      <c r="H78">
        <v>17.796655999999999</v>
      </c>
      <c r="I78">
        <v>16.275639000000002</v>
      </c>
      <c r="J78">
        <v>17.386213000000001</v>
      </c>
      <c r="K78">
        <v>18.557628999999999</v>
      </c>
      <c r="L78">
        <v>18.639019999999999</v>
      </c>
      <c r="M78">
        <v>18.363717999999999</v>
      </c>
      <c r="N78">
        <v>18.091609999999999</v>
      </c>
      <c r="O78">
        <v>18.461320000000001</v>
      </c>
      <c r="P78">
        <v>18.558012000000002</v>
      </c>
      <c r="Q78">
        <v>18.433295999999999</v>
      </c>
      <c r="R78">
        <v>18.712161999999999</v>
      </c>
      <c r="S78">
        <v>14.923163000000001</v>
      </c>
      <c r="T78">
        <v>17.520987000000002</v>
      </c>
      <c r="U78">
        <v>17.248647999999999</v>
      </c>
      <c r="V78">
        <v>17.552391</v>
      </c>
      <c r="W78">
        <v>16.910131</v>
      </c>
      <c r="X78">
        <v>17.55527</v>
      </c>
      <c r="Y78">
        <v>18.489384000000001</v>
      </c>
      <c r="Z78">
        <v>17.662521000000002</v>
      </c>
      <c r="AA78">
        <v>19.196045000000002</v>
      </c>
      <c r="AB78">
        <v>18.781607000000001</v>
      </c>
      <c r="AC78">
        <v>15.296844500000001</v>
      </c>
      <c r="AD78">
        <v>18.768294999999998</v>
      </c>
      <c r="AE78">
        <v>15.918663</v>
      </c>
      <c r="AF78">
        <v>19.198544999999999</v>
      </c>
      <c r="AG78">
        <v>18.658625000000001</v>
      </c>
    </row>
    <row r="79" spans="1:33" x14ac:dyDescent="0.25">
      <c r="A79" s="1">
        <v>44130</v>
      </c>
      <c r="B79">
        <v>15.972613000000001</v>
      </c>
      <c r="C79">
        <v>16.996763000000001</v>
      </c>
      <c r="D79">
        <v>16.566454</v>
      </c>
      <c r="E79">
        <v>16.307200999999999</v>
      </c>
      <c r="F79">
        <v>16.934888999999998</v>
      </c>
      <c r="G79">
        <v>17.613416999999998</v>
      </c>
      <c r="H79">
        <v>17.095002999999998</v>
      </c>
      <c r="I79">
        <v>14.780023</v>
      </c>
      <c r="J79">
        <v>15.549769</v>
      </c>
      <c r="K79">
        <v>17.432562000000001</v>
      </c>
      <c r="L79">
        <v>17.481736999999999</v>
      </c>
      <c r="M79">
        <v>17.580808999999999</v>
      </c>
      <c r="N79">
        <v>16.867327</v>
      </c>
      <c r="O79">
        <v>17.172588000000001</v>
      </c>
      <c r="P79">
        <v>17.545248000000001</v>
      </c>
      <c r="Q79">
        <v>17.481667000000002</v>
      </c>
      <c r="R79">
        <v>17.526053999999998</v>
      </c>
      <c r="S79">
        <v>12.925224999999999</v>
      </c>
      <c r="T79">
        <v>15.963215999999999</v>
      </c>
      <c r="U79">
        <v>15.884596999999999</v>
      </c>
      <c r="V79">
        <v>16.108086</v>
      </c>
      <c r="W79">
        <v>15.527056999999999</v>
      </c>
      <c r="X79">
        <v>16.106909000000002</v>
      </c>
      <c r="Y79">
        <v>16.968737000000001</v>
      </c>
      <c r="Z79">
        <v>16.438437</v>
      </c>
      <c r="AA79">
        <v>18.181532000000001</v>
      </c>
      <c r="AB79">
        <v>17.657876999999999</v>
      </c>
      <c r="AC79">
        <v>14.883053</v>
      </c>
      <c r="AD79">
        <v>17.797180000000001</v>
      </c>
      <c r="AE79">
        <v>14.133785</v>
      </c>
      <c r="AF79">
        <v>17.924787999999999</v>
      </c>
      <c r="AG79">
        <v>17.387056000000001</v>
      </c>
    </row>
    <row r="80" spans="1:33" x14ac:dyDescent="0.25">
      <c r="A80" s="1">
        <v>44131</v>
      </c>
      <c r="B80">
        <v>15.830752</v>
      </c>
      <c r="C80">
        <v>16.902263999999999</v>
      </c>
      <c r="D80">
        <v>15.833035000000001</v>
      </c>
      <c r="E80">
        <v>15.923958000000001</v>
      </c>
      <c r="F80">
        <v>16.795183000000002</v>
      </c>
      <c r="G80">
        <v>17.150454</v>
      </c>
      <c r="H80">
        <v>16.698877</v>
      </c>
      <c r="I80">
        <v>14.718793</v>
      </c>
      <c r="J80">
        <v>14.85712</v>
      </c>
      <c r="K80">
        <v>16.985005999999998</v>
      </c>
      <c r="L80">
        <v>17.001268</v>
      </c>
      <c r="M80">
        <v>17.139986</v>
      </c>
      <c r="N80">
        <v>16.585932</v>
      </c>
      <c r="O80">
        <v>16.774370000000001</v>
      </c>
      <c r="P80">
        <v>17.060724</v>
      </c>
      <c r="Q80">
        <v>17.078410000000002</v>
      </c>
      <c r="R80">
        <v>17.169347999999999</v>
      </c>
      <c r="S80">
        <v>11.785608999999999</v>
      </c>
      <c r="T80">
        <v>15.412750000000001</v>
      </c>
      <c r="U80">
        <v>15.146348</v>
      </c>
      <c r="V80">
        <v>15.611893</v>
      </c>
      <c r="W80">
        <v>14.677341999999999</v>
      </c>
      <c r="X80">
        <v>15.56094</v>
      </c>
      <c r="Y80">
        <v>16.070871</v>
      </c>
      <c r="Z80">
        <v>15.777183000000001</v>
      </c>
      <c r="AA80">
        <v>17.582602000000001</v>
      </c>
      <c r="AB80">
        <v>16.75686</v>
      </c>
      <c r="AC80">
        <v>14.110122</v>
      </c>
      <c r="AD80">
        <v>17.237528000000001</v>
      </c>
      <c r="AE80">
        <v>13.766609000000001</v>
      </c>
      <c r="AF80">
        <v>16.571470000000001</v>
      </c>
      <c r="AG80">
        <v>16.759539</v>
      </c>
    </row>
    <row r="81" spans="1:33" x14ac:dyDescent="0.25">
      <c r="A81" s="1">
        <v>44132</v>
      </c>
      <c r="B81">
        <v>15.723564</v>
      </c>
      <c r="C81">
        <v>16.861104999999998</v>
      </c>
      <c r="D81">
        <v>15.678884999999999</v>
      </c>
      <c r="E81">
        <v>15.744374000000001</v>
      </c>
      <c r="F81">
        <v>16.707628</v>
      </c>
      <c r="G81">
        <v>16.920870000000001</v>
      </c>
      <c r="H81">
        <v>16.472227</v>
      </c>
      <c r="I81">
        <v>15.010648</v>
      </c>
      <c r="J81">
        <v>14.802566000000001</v>
      </c>
      <c r="K81">
        <v>16.772171</v>
      </c>
      <c r="L81">
        <v>16.743006000000001</v>
      </c>
      <c r="M81">
        <v>16.927206000000002</v>
      </c>
      <c r="N81">
        <v>16.41919</v>
      </c>
      <c r="O81">
        <v>16.585920000000002</v>
      </c>
      <c r="P81">
        <v>16.839269999999999</v>
      </c>
      <c r="Q81">
        <v>16.879562</v>
      </c>
      <c r="R81">
        <v>16.941189999999999</v>
      </c>
      <c r="S81">
        <v>11.706229</v>
      </c>
      <c r="T81">
        <v>15.109192</v>
      </c>
      <c r="U81">
        <v>14.452206</v>
      </c>
      <c r="V81">
        <v>15.340548999999999</v>
      </c>
      <c r="W81">
        <v>13.977183</v>
      </c>
      <c r="X81">
        <v>15.262408000000001</v>
      </c>
      <c r="Y81">
        <v>15.656461</v>
      </c>
      <c r="Z81">
        <v>15.465794000000001</v>
      </c>
      <c r="AA81">
        <v>17.255849999999999</v>
      </c>
      <c r="AB81">
        <v>16.563593000000001</v>
      </c>
      <c r="AC81">
        <v>12.804194000000001</v>
      </c>
      <c r="AD81">
        <v>16.928581000000001</v>
      </c>
      <c r="AE81">
        <v>14.070954</v>
      </c>
      <c r="AF81">
        <v>15.699315</v>
      </c>
      <c r="AG81">
        <v>16.515917000000002</v>
      </c>
    </row>
    <row r="82" spans="1:33" x14ac:dyDescent="0.25">
      <c r="A82" s="1">
        <v>44133</v>
      </c>
      <c r="B82">
        <v>15.591609</v>
      </c>
      <c r="C82">
        <v>16.708829999999999</v>
      </c>
      <c r="D82">
        <v>15.739426999999999</v>
      </c>
      <c r="E82">
        <v>15.609220000000001</v>
      </c>
      <c r="F82">
        <v>16.573923000000001</v>
      </c>
      <c r="G82">
        <v>16.767347000000001</v>
      </c>
      <c r="H82">
        <v>16.337347000000001</v>
      </c>
      <c r="I82">
        <v>15.087838</v>
      </c>
      <c r="J82">
        <v>14.697791</v>
      </c>
      <c r="K82">
        <v>16.577784000000001</v>
      </c>
      <c r="L82">
        <v>16.488848000000001</v>
      </c>
      <c r="M82">
        <v>16.778448000000001</v>
      </c>
      <c r="N82">
        <v>16.221672000000002</v>
      </c>
      <c r="O82">
        <v>16.450256</v>
      </c>
      <c r="P82">
        <v>16.641539000000002</v>
      </c>
      <c r="Q82">
        <v>16.734086999999999</v>
      </c>
      <c r="R82">
        <v>16.720942000000001</v>
      </c>
      <c r="S82">
        <v>11.673484</v>
      </c>
      <c r="T82">
        <v>14.868309</v>
      </c>
      <c r="U82">
        <v>14.204095000000001</v>
      </c>
      <c r="V82">
        <v>14.842257500000001</v>
      </c>
      <c r="W82">
        <v>13.904778500000001</v>
      </c>
      <c r="X82">
        <v>14.716778</v>
      </c>
      <c r="Y82">
        <v>15.523239</v>
      </c>
      <c r="Z82">
        <v>15.299744</v>
      </c>
      <c r="AA82">
        <v>16.966080000000002</v>
      </c>
      <c r="AB82">
        <v>16.330331999999999</v>
      </c>
      <c r="AC82">
        <v>12.720287000000001</v>
      </c>
      <c r="AD82">
        <v>16.659939000000001</v>
      </c>
      <c r="AE82">
        <v>14.351748000000001</v>
      </c>
      <c r="AF82">
        <v>15.418813</v>
      </c>
      <c r="AG82">
        <v>16.282838999999999</v>
      </c>
    </row>
    <row r="83" spans="1:33" x14ac:dyDescent="0.25">
      <c r="A83" s="1">
        <v>44134</v>
      </c>
      <c r="B83">
        <v>15.536724</v>
      </c>
      <c r="C83">
        <v>16.577051000000001</v>
      </c>
      <c r="D83">
        <v>15.851946999999999</v>
      </c>
      <c r="E83">
        <v>15.535245</v>
      </c>
      <c r="F83">
        <v>16.38325</v>
      </c>
      <c r="G83">
        <v>16.608162</v>
      </c>
      <c r="H83">
        <v>16.223198</v>
      </c>
      <c r="I83">
        <v>15.032017</v>
      </c>
      <c r="J83">
        <v>14.709641</v>
      </c>
      <c r="K83">
        <v>16.421990999999998</v>
      </c>
      <c r="L83">
        <v>16.342428000000002</v>
      </c>
      <c r="M83">
        <v>16.612113999999998</v>
      </c>
      <c r="N83">
        <v>15.97865</v>
      </c>
      <c r="O83">
        <v>16.353995999999999</v>
      </c>
      <c r="P83">
        <v>16.471547999999999</v>
      </c>
      <c r="Q83">
        <v>16.57133</v>
      </c>
      <c r="R83">
        <v>16.577852</v>
      </c>
      <c r="S83">
        <v>11.766602000000001</v>
      </c>
      <c r="T83">
        <v>14.631522</v>
      </c>
      <c r="U83">
        <v>14.275601</v>
      </c>
      <c r="V83">
        <v>14.316302</v>
      </c>
      <c r="W83">
        <v>13.780889</v>
      </c>
      <c r="X83">
        <v>14.067349</v>
      </c>
      <c r="Y83">
        <v>15.450771</v>
      </c>
      <c r="Z83">
        <v>15.239362</v>
      </c>
      <c r="AA83">
        <v>16.811192999999999</v>
      </c>
      <c r="AB83">
        <v>16.109635999999998</v>
      </c>
      <c r="AC83">
        <v>12.485056999999999</v>
      </c>
      <c r="AD83">
        <v>16.474798</v>
      </c>
      <c r="AE83">
        <v>14.244173999999999</v>
      </c>
      <c r="AF83">
        <v>15.353267000000001</v>
      </c>
      <c r="AG83">
        <v>16.220801999999999</v>
      </c>
    </row>
    <row r="84" spans="1:33" x14ac:dyDescent="0.25">
      <c r="A84" s="1">
        <v>44135</v>
      </c>
      <c r="B84">
        <v>15.477676000000001</v>
      </c>
      <c r="C84">
        <v>16.430990000000001</v>
      </c>
      <c r="D84">
        <v>15.962465999999999</v>
      </c>
      <c r="E84">
        <v>15.493451</v>
      </c>
      <c r="F84">
        <v>16.276492999999999</v>
      </c>
      <c r="G84">
        <v>16.460245</v>
      </c>
      <c r="H84">
        <v>16.145030999999999</v>
      </c>
      <c r="I84">
        <v>15.0374365</v>
      </c>
      <c r="J84">
        <v>14.70739</v>
      </c>
      <c r="K84">
        <v>16.294176</v>
      </c>
      <c r="L84">
        <v>16.184999999999999</v>
      </c>
      <c r="M84">
        <v>16.470358000000001</v>
      </c>
      <c r="N84">
        <v>15.734418</v>
      </c>
      <c r="O84">
        <v>16.117346000000001</v>
      </c>
      <c r="P84">
        <v>16.333189999999998</v>
      </c>
      <c r="Q84">
        <v>16.406057000000001</v>
      </c>
      <c r="R84">
        <v>16.390633000000001</v>
      </c>
      <c r="S84">
        <v>11.921627000000001</v>
      </c>
      <c r="T84">
        <v>14.429631000000001</v>
      </c>
      <c r="U84">
        <v>13.962066999999999</v>
      </c>
      <c r="V84">
        <v>14.197441</v>
      </c>
      <c r="W84">
        <v>13.755279</v>
      </c>
      <c r="X84">
        <v>14.051678000000001</v>
      </c>
      <c r="Y84">
        <v>14.991671999999999</v>
      </c>
      <c r="Z84">
        <v>15.161035</v>
      </c>
      <c r="AA84">
        <v>16.670614</v>
      </c>
      <c r="AB84">
        <v>15.868962</v>
      </c>
      <c r="AC84">
        <v>12.270924000000001</v>
      </c>
      <c r="AD84">
        <v>16.300688000000001</v>
      </c>
      <c r="AE84">
        <v>14.402412</v>
      </c>
      <c r="AF84">
        <v>14.909428999999999</v>
      </c>
      <c r="AG84">
        <v>16.104322</v>
      </c>
    </row>
    <row r="85" spans="1:33" x14ac:dyDescent="0.25">
      <c r="A85" s="1">
        <v>44136</v>
      </c>
      <c r="B85">
        <v>15.4817915</v>
      </c>
      <c r="C85">
        <v>16.380859999999998</v>
      </c>
      <c r="D85">
        <v>16.05808</v>
      </c>
      <c r="E85">
        <v>15.54683</v>
      </c>
      <c r="F85">
        <v>16.254358</v>
      </c>
      <c r="G85">
        <v>16.388300000000001</v>
      </c>
      <c r="H85">
        <v>16.158595999999999</v>
      </c>
      <c r="I85">
        <v>15.292301999999999</v>
      </c>
      <c r="J85">
        <v>14.794359999999999</v>
      </c>
      <c r="K85">
        <v>16.217124999999999</v>
      </c>
      <c r="L85">
        <v>16.073528</v>
      </c>
      <c r="M85">
        <v>16.408213</v>
      </c>
      <c r="N85">
        <v>15.611566</v>
      </c>
      <c r="O85">
        <v>15.829402</v>
      </c>
      <c r="P85">
        <v>16.245100000000001</v>
      </c>
      <c r="Q85">
        <v>16.319105</v>
      </c>
      <c r="R85">
        <v>16.212986000000001</v>
      </c>
      <c r="S85">
        <v>12.091224</v>
      </c>
      <c r="T85">
        <v>14.348011</v>
      </c>
      <c r="U85">
        <v>13.900058</v>
      </c>
      <c r="V85">
        <v>14.225125</v>
      </c>
      <c r="W85">
        <v>14.034694</v>
      </c>
      <c r="X85">
        <v>14.059281</v>
      </c>
      <c r="Y85">
        <v>14.677211</v>
      </c>
      <c r="Z85">
        <v>15.038102</v>
      </c>
      <c r="AA85">
        <v>16.573996000000001</v>
      </c>
      <c r="AB85">
        <v>15.690136000000001</v>
      </c>
      <c r="AC85">
        <v>12.32283</v>
      </c>
      <c r="AD85">
        <v>16.162737</v>
      </c>
      <c r="AE85">
        <v>14.382268</v>
      </c>
      <c r="AF85">
        <v>14.378586</v>
      </c>
      <c r="AG85">
        <v>16.031815999999999</v>
      </c>
    </row>
    <row r="86" spans="1:33" x14ac:dyDescent="0.25">
      <c r="A86" s="1">
        <v>44137</v>
      </c>
      <c r="B86">
        <v>15.4796095</v>
      </c>
      <c r="C86">
        <v>16.274491999999999</v>
      </c>
      <c r="D86">
        <v>16.067432</v>
      </c>
      <c r="E86">
        <v>15.60004</v>
      </c>
      <c r="F86">
        <v>16.162496999999998</v>
      </c>
      <c r="G86">
        <v>16.312100000000001</v>
      </c>
      <c r="H86">
        <v>16.146439999999998</v>
      </c>
      <c r="I86">
        <v>15.435573</v>
      </c>
      <c r="J86">
        <v>14.797291</v>
      </c>
      <c r="K86">
        <v>16.114294000000001</v>
      </c>
      <c r="L86">
        <v>15.940803000000001</v>
      </c>
      <c r="M86">
        <v>16.326971</v>
      </c>
      <c r="N86">
        <v>15.52732</v>
      </c>
      <c r="O86">
        <v>15.700317</v>
      </c>
      <c r="P86">
        <v>16.136659999999999</v>
      </c>
      <c r="Q86">
        <v>16.237421000000001</v>
      </c>
      <c r="R86">
        <v>16.035215000000001</v>
      </c>
      <c r="S86">
        <v>12.159926</v>
      </c>
      <c r="T86">
        <v>14.290799</v>
      </c>
      <c r="U86">
        <v>14.223798</v>
      </c>
      <c r="V86">
        <v>14.142150000000001</v>
      </c>
      <c r="W86">
        <v>14.112302</v>
      </c>
      <c r="X86">
        <v>13.933109999999999</v>
      </c>
      <c r="Y86">
        <v>14.464408000000001</v>
      </c>
      <c r="Z86">
        <v>14.87997</v>
      </c>
      <c r="AA86">
        <v>16.441911999999999</v>
      </c>
      <c r="AB86">
        <v>15.482106</v>
      </c>
      <c r="AC86">
        <v>12.500220000000001</v>
      </c>
      <c r="AD86">
        <v>16.011997000000001</v>
      </c>
      <c r="AE86">
        <v>14.316964</v>
      </c>
      <c r="AF86">
        <v>13.858584</v>
      </c>
      <c r="AG86">
        <v>15.760816</v>
      </c>
    </row>
    <row r="87" spans="1:33" x14ac:dyDescent="0.25">
      <c r="A87" s="1">
        <v>44138</v>
      </c>
      <c r="B87">
        <v>15.521039</v>
      </c>
      <c r="C87">
        <v>16.153578</v>
      </c>
      <c r="D87">
        <v>16.009613000000002</v>
      </c>
      <c r="E87">
        <v>15.631116</v>
      </c>
      <c r="F87">
        <v>16.017904000000001</v>
      </c>
      <c r="G87">
        <v>16.209095000000001</v>
      </c>
      <c r="H87">
        <v>16.049040000000002</v>
      </c>
      <c r="I87">
        <v>15.227722999999999</v>
      </c>
      <c r="J87">
        <v>14.875424000000001</v>
      </c>
      <c r="K87">
        <v>16.009830000000001</v>
      </c>
      <c r="L87">
        <v>15.84765</v>
      </c>
      <c r="M87">
        <v>16.214403000000001</v>
      </c>
      <c r="N87">
        <v>15.430088</v>
      </c>
      <c r="O87">
        <v>15.723544</v>
      </c>
      <c r="P87">
        <v>16.030519999999999</v>
      </c>
      <c r="Q87">
        <v>16.134070999999999</v>
      </c>
      <c r="R87">
        <v>15.948472000000001</v>
      </c>
      <c r="S87">
        <v>12.348915999999999</v>
      </c>
      <c r="T87">
        <v>14.288021000000001</v>
      </c>
      <c r="U87">
        <v>14.30166</v>
      </c>
      <c r="V87">
        <v>14.170392</v>
      </c>
      <c r="W87">
        <v>14.146615000000001</v>
      </c>
      <c r="X87">
        <v>14.042558</v>
      </c>
      <c r="Y87">
        <v>14.3219385</v>
      </c>
      <c r="Z87">
        <v>14.817947</v>
      </c>
      <c r="AA87">
        <v>16.313555000000001</v>
      </c>
      <c r="AB87">
        <v>15.125747</v>
      </c>
      <c r="AC87">
        <v>12.812405999999999</v>
      </c>
      <c r="AD87">
        <v>15.899876000000001</v>
      </c>
      <c r="AE87">
        <v>14.651135</v>
      </c>
      <c r="AF87">
        <v>13.566269999999999</v>
      </c>
      <c r="AG87">
        <v>15.702572</v>
      </c>
    </row>
    <row r="88" spans="1:33" x14ac:dyDescent="0.25">
      <c r="A88" s="1">
        <v>44139</v>
      </c>
      <c r="B88">
        <v>15.534883000000001</v>
      </c>
      <c r="C88">
        <v>16.125181000000001</v>
      </c>
      <c r="D88">
        <v>15.942594</v>
      </c>
      <c r="E88">
        <v>15.582686000000001</v>
      </c>
      <c r="F88">
        <v>16.024737999999999</v>
      </c>
      <c r="G88">
        <v>16.085531</v>
      </c>
      <c r="H88">
        <v>15.996914</v>
      </c>
      <c r="I88">
        <v>15.128194000000001</v>
      </c>
      <c r="J88">
        <v>14.912395500000001</v>
      </c>
      <c r="K88">
        <v>15.911023</v>
      </c>
      <c r="L88">
        <v>15.792522</v>
      </c>
      <c r="M88">
        <v>16.127065999999999</v>
      </c>
      <c r="N88">
        <v>15.312243</v>
      </c>
      <c r="O88">
        <v>15.692288</v>
      </c>
      <c r="P88">
        <v>15.914035999999999</v>
      </c>
      <c r="Q88">
        <v>15.992405</v>
      </c>
      <c r="R88">
        <v>15.882142</v>
      </c>
      <c r="S88">
        <v>12.461983</v>
      </c>
      <c r="T88">
        <v>14.299066</v>
      </c>
      <c r="U88">
        <v>14.328168</v>
      </c>
      <c r="V88">
        <v>14.230098</v>
      </c>
      <c r="W88">
        <v>14.245982</v>
      </c>
      <c r="X88">
        <v>14.17281</v>
      </c>
      <c r="Y88">
        <v>14.361024</v>
      </c>
      <c r="Z88">
        <v>14.750681999999999</v>
      </c>
      <c r="AA88">
        <v>16.18308</v>
      </c>
      <c r="AB88">
        <v>15.064933</v>
      </c>
      <c r="AC88">
        <v>13.029553</v>
      </c>
      <c r="AD88">
        <v>15.814774</v>
      </c>
      <c r="AE88">
        <v>14.963001</v>
      </c>
      <c r="AF88">
        <v>13.477176999999999</v>
      </c>
      <c r="AG88">
        <v>15.651374000000001</v>
      </c>
    </row>
    <row r="89" spans="1:33" x14ac:dyDescent="0.25">
      <c r="A89" s="1">
        <v>44140</v>
      </c>
      <c r="B89">
        <v>15.83033</v>
      </c>
      <c r="C89">
        <v>16.187726999999999</v>
      </c>
      <c r="D89">
        <v>16.032982000000001</v>
      </c>
      <c r="E89">
        <v>15.768708</v>
      </c>
      <c r="F89">
        <v>16.209389999999999</v>
      </c>
      <c r="G89">
        <v>16.121216</v>
      </c>
      <c r="H89">
        <v>16.073473</v>
      </c>
      <c r="I89">
        <v>15.512143</v>
      </c>
      <c r="J89">
        <v>15.282241000000001</v>
      </c>
      <c r="K89">
        <v>15.970902000000001</v>
      </c>
      <c r="L89">
        <v>15.872972000000001</v>
      </c>
      <c r="M89">
        <v>16.183503999999999</v>
      </c>
      <c r="N89">
        <v>15.368638000000001</v>
      </c>
      <c r="O89">
        <v>15.729571999999999</v>
      </c>
      <c r="P89">
        <v>15.963046</v>
      </c>
      <c r="Q89">
        <v>16.006717999999999</v>
      </c>
      <c r="R89">
        <v>15.917626</v>
      </c>
      <c r="S89">
        <v>12.823059000000001</v>
      </c>
      <c r="T89">
        <v>14.474771</v>
      </c>
      <c r="U89">
        <v>14.524585999999999</v>
      </c>
      <c r="V89">
        <v>14.443716999999999</v>
      </c>
      <c r="W89">
        <v>14.472474</v>
      </c>
      <c r="X89">
        <v>14.41483</v>
      </c>
      <c r="Y89">
        <v>14.775307</v>
      </c>
      <c r="Z89">
        <v>14.867900000000001</v>
      </c>
      <c r="AA89">
        <v>16.241610000000001</v>
      </c>
      <c r="AB89">
        <v>15.247821</v>
      </c>
      <c r="AC89">
        <v>13.278445</v>
      </c>
      <c r="AD89">
        <v>15.862541</v>
      </c>
      <c r="AE89">
        <v>15.433147999999999</v>
      </c>
      <c r="AF89">
        <v>13.596572999999999</v>
      </c>
      <c r="AG89">
        <v>15.832913</v>
      </c>
    </row>
    <row r="90" spans="1:33" x14ac:dyDescent="0.25">
      <c r="A90" s="1">
        <v>44141</v>
      </c>
      <c r="B90">
        <v>15.334709999999999</v>
      </c>
      <c r="C90">
        <v>15.788587</v>
      </c>
      <c r="D90">
        <v>15.876557</v>
      </c>
      <c r="E90">
        <v>15.582670999999999</v>
      </c>
      <c r="F90">
        <v>15.76056</v>
      </c>
      <c r="G90">
        <v>16.006947</v>
      </c>
      <c r="H90">
        <v>15.841170999999999</v>
      </c>
      <c r="I90">
        <v>14.979564999999999</v>
      </c>
      <c r="J90">
        <v>14.947124499999999</v>
      </c>
      <c r="K90">
        <v>15.757084000000001</v>
      </c>
      <c r="L90">
        <v>15.697844999999999</v>
      </c>
      <c r="M90">
        <v>15.959915000000001</v>
      </c>
      <c r="N90">
        <v>15.243245</v>
      </c>
      <c r="O90">
        <v>15.615017999999999</v>
      </c>
      <c r="P90">
        <v>15.761771</v>
      </c>
      <c r="Q90">
        <v>15.905727000000001</v>
      </c>
      <c r="R90">
        <v>15.773066500000001</v>
      </c>
      <c r="S90">
        <v>12.939435</v>
      </c>
      <c r="T90">
        <v>14.462260000000001</v>
      </c>
      <c r="U90">
        <v>14.4766245</v>
      </c>
      <c r="V90">
        <v>14.347758000000001</v>
      </c>
      <c r="W90">
        <v>14.479815500000001</v>
      </c>
      <c r="X90">
        <v>14.303544</v>
      </c>
      <c r="Y90">
        <v>14.916036</v>
      </c>
      <c r="Z90">
        <v>14.7362795</v>
      </c>
      <c r="AA90">
        <v>16.067335</v>
      </c>
      <c r="AB90">
        <v>15.285323999999999</v>
      </c>
      <c r="AC90">
        <v>13.378049000000001</v>
      </c>
      <c r="AD90">
        <v>15.700829000000001</v>
      </c>
      <c r="AE90">
        <v>15.312431999999999</v>
      </c>
      <c r="AF90">
        <v>13.688298</v>
      </c>
      <c r="AG90">
        <v>15.691134999999999</v>
      </c>
    </row>
    <row r="91" spans="1:33" x14ac:dyDescent="0.25">
      <c r="A91" s="1">
        <v>44142</v>
      </c>
      <c r="B91">
        <v>14.736393</v>
      </c>
      <c r="C91">
        <v>15.480693</v>
      </c>
      <c r="D91">
        <v>15.377468</v>
      </c>
      <c r="E91">
        <v>15.066191999999999</v>
      </c>
      <c r="F91">
        <v>15.335448</v>
      </c>
      <c r="G91">
        <v>15.576000000000001</v>
      </c>
      <c r="H91">
        <v>15.474137000000001</v>
      </c>
      <c r="I91">
        <v>14.103122000000001</v>
      </c>
      <c r="J91">
        <v>14.086185</v>
      </c>
      <c r="K91">
        <v>15.249907500000001</v>
      </c>
      <c r="L91">
        <v>15.268374</v>
      </c>
      <c r="M91">
        <v>15.527699</v>
      </c>
      <c r="N91">
        <v>14.813376</v>
      </c>
      <c r="O91">
        <v>15.167263999999999</v>
      </c>
      <c r="P91">
        <v>15.251264000000001</v>
      </c>
      <c r="Q91">
        <v>15.458123000000001</v>
      </c>
      <c r="R91">
        <v>15.377831</v>
      </c>
      <c r="S91">
        <v>12.225322</v>
      </c>
      <c r="T91">
        <v>14.142937999999999</v>
      </c>
      <c r="U91">
        <v>14.287533</v>
      </c>
      <c r="V91">
        <v>14.083126</v>
      </c>
      <c r="W91">
        <v>14.383787999999999</v>
      </c>
      <c r="X91">
        <v>14.073392</v>
      </c>
      <c r="Y91">
        <v>14.503704000000001</v>
      </c>
      <c r="Z91">
        <v>14.204822</v>
      </c>
      <c r="AA91">
        <v>15.639511000000001</v>
      </c>
      <c r="AB91">
        <v>14.866248000000001</v>
      </c>
      <c r="AC91">
        <v>13.132462</v>
      </c>
      <c r="AD91">
        <v>15.359073</v>
      </c>
      <c r="AE91">
        <v>14.445808</v>
      </c>
      <c r="AF91">
        <v>13.649295</v>
      </c>
      <c r="AG91">
        <v>15.095060999999999</v>
      </c>
    </row>
    <row r="92" spans="1:33" x14ac:dyDescent="0.25">
      <c r="A92" s="1">
        <v>44143</v>
      </c>
      <c r="B92">
        <v>13.701860999999999</v>
      </c>
      <c r="C92">
        <v>14.820027</v>
      </c>
      <c r="D92">
        <v>14.604402</v>
      </c>
      <c r="E92">
        <v>14.274597</v>
      </c>
      <c r="F92">
        <v>14.502644</v>
      </c>
      <c r="G92">
        <v>15.0369005</v>
      </c>
      <c r="H92">
        <v>14.937503</v>
      </c>
      <c r="I92">
        <v>12.776408</v>
      </c>
      <c r="J92">
        <v>12.971034</v>
      </c>
      <c r="K92">
        <v>14.730751</v>
      </c>
      <c r="L92">
        <v>14.707229999999999</v>
      </c>
      <c r="M92">
        <v>14.906788000000001</v>
      </c>
      <c r="N92">
        <v>14.150157</v>
      </c>
      <c r="O92">
        <v>14.516835</v>
      </c>
      <c r="P92">
        <v>14.71177</v>
      </c>
      <c r="Q92">
        <v>14.912037</v>
      </c>
      <c r="R92">
        <v>14.803551000000001</v>
      </c>
      <c r="S92">
        <v>11.505440999999999</v>
      </c>
      <c r="T92">
        <v>13.639796</v>
      </c>
      <c r="U92">
        <v>13.952878</v>
      </c>
      <c r="V92">
        <v>13.613868</v>
      </c>
      <c r="W92">
        <v>13.813465000000001</v>
      </c>
      <c r="X92">
        <v>13.668056999999999</v>
      </c>
      <c r="Y92">
        <v>13.786083</v>
      </c>
      <c r="Z92">
        <v>13.672667499999999</v>
      </c>
      <c r="AA92">
        <v>15.0355215</v>
      </c>
      <c r="AB92">
        <v>14.186264</v>
      </c>
      <c r="AC92">
        <v>12.073346000000001</v>
      </c>
      <c r="AD92">
        <v>14.865462000000001</v>
      </c>
      <c r="AE92">
        <v>13.588483</v>
      </c>
      <c r="AF92">
        <v>13.440704</v>
      </c>
      <c r="AG92">
        <v>14.242863</v>
      </c>
    </row>
    <row r="93" spans="1:33" x14ac:dyDescent="0.25">
      <c r="A93" s="1">
        <v>44144</v>
      </c>
      <c r="B93">
        <v>12.907439</v>
      </c>
      <c r="C93">
        <v>14.110785999999999</v>
      </c>
      <c r="D93">
        <v>13.746943999999999</v>
      </c>
      <c r="E93">
        <v>13.4724045</v>
      </c>
      <c r="F93">
        <v>13.894992</v>
      </c>
      <c r="G93">
        <v>14.365842000000001</v>
      </c>
      <c r="H93">
        <v>14.242751</v>
      </c>
      <c r="I93">
        <v>12.073221999999999</v>
      </c>
      <c r="J93">
        <v>11.687343</v>
      </c>
      <c r="K93">
        <v>13.991189</v>
      </c>
      <c r="L93">
        <v>13.9170885</v>
      </c>
      <c r="M93">
        <v>14.278332000000001</v>
      </c>
      <c r="N93">
        <v>13.459235</v>
      </c>
      <c r="O93">
        <v>13.680237999999999</v>
      </c>
      <c r="P93">
        <v>14.043068999999999</v>
      </c>
      <c r="Q93">
        <v>14.146089</v>
      </c>
      <c r="R93">
        <v>14.069743000000001</v>
      </c>
      <c r="S93">
        <v>9.5133810000000008</v>
      </c>
      <c r="T93">
        <v>12.838367</v>
      </c>
      <c r="U93">
        <v>13.224716000000001</v>
      </c>
      <c r="V93">
        <v>13.073902</v>
      </c>
      <c r="W93">
        <v>13.050063</v>
      </c>
      <c r="X93">
        <v>13.124438</v>
      </c>
      <c r="Y93">
        <v>12.76352</v>
      </c>
      <c r="Z93">
        <v>12.796608000000001</v>
      </c>
      <c r="AA93">
        <v>14.139365</v>
      </c>
      <c r="AB93">
        <v>13.153449</v>
      </c>
      <c r="AC93">
        <v>10.322247000000001</v>
      </c>
      <c r="AD93">
        <v>14.20337</v>
      </c>
      <c r="AE93">
        <v>12.371159</v>
      </c>
      <c r="AF93">
        <v>13.060693000000001</v>
      </c>
      <c r="AG93">
        <v>13.088203999999999</v>
      </c>
    </row>
    <row r="94" spans="1:33" x14ac:dyDescent="0.25">
      <c r="A94" s="1">
        <v>44145</v>
      </c>
      <c r="B94">
        <v>12.764423000000001</v>
      </c>
      <c r="C94">
        <v>13.740033</v>
      </c>
      <c r="D94">
        <v>13.193390000000001</v>
      </c>
      <c r="E94">
        <v>13.099546999999999</v>
      </c>
      <c r="F94">
        <v>13.611675999999999</v>
      </c>
      <c r="G94">
        <v>13.955596999999999</v>
      </c>
      <c r="H94">
        <v>13.856866</v>
      </c>
      <c r="I94">
        <v>11.860027000000001</v>
      </c>
      <c r="J94">
        <v>11.228721</v>
      </c>
      <c r="K94">
        <v>13.642886000000001</v>
      </c>
      <c r="L94">
        <v>13.497018000000001</v>
      </c>
      <c r="M94">
        <v>13.892061999999999</v>
      </c>
      <c r="N94">
        <v>13.173805</v>
      </c>
      <c r="O94">
        <v>13.421612</v>
      </c>
      <c r="P94">
        <v>13.649158999999999</v>
      </c>
      <c r="Q94">
        <v>13.769515999999999</v>
      </c>
      <c r="R94">
        <v>13.732393999999999</v>
      </c>
      <c r="S94">
        <v>8.2619369999999996</v>
      </c>
      <c r="T94">
        <v>12.428417</v>
      </c>
      <c r="U94">
        <v>12.773334999999999</v>
      </c>
      <c r="V94">
        <v>12.762</v>
      </c>
      <c r="W94">
        <v>12.3468485</v>
      </c>
      <c r="X94">
        <v>12.819614</v>
      </c>
      <c r="Y94">
        <v>12.229547999999999</v>
      </c>
      <c r="Z94">
        <v>12.300191</v>
      </c>
      <c r="AA94">
        <v>13.623517</v>
      </c>
      <c r="AB94">
        <v>12.572476</v>
      </c>
      <c r="AC94">
        <v>9.0347039999999996</v>
      </c>
      <c r="AD94">
        <v>13.7452545</v>
      </c>
      <c r="AE94">
        <v>11.757949</v>
      </c>
      <c r="AF94">
        <v>12.753081999999999</v>
      </c>
      <c r="AG94">
        <v>12.607094</v>
      </c>
    </row>
    <row r="95" spans="1:33" x14ac:dyDescent="0.25">
      <c r="A95" s="1">
        <v>44146</v>
      </c>
      <c r="B95">
        <v>12.782638</v>
      </c>
      <c r="C95">
        <v>13.594882999999999</v>
      </c>
      <c r="D95">
        <v>13.030488</v>
      </c>
      <c r="E95">
        <v>12.992915999999999</v>
      </c>
      <c r="F95">
        <v>13.553750000000001</v>
      </c>
      <c r="G95">
        <v>13.76895</v>
      </c>
      <c r="H95">
        <v>13.730938999999999</v>
      </c>
      <c r="I95">
        <v>12.077038</v>
      </c>
      <c r="J95">
        <v>11.352178</v>
      </c>
      <c r="K95">
        <v>13.460826000000001</v>
      </c>
      <c r="L95">
        <v>13.322597999999999</v>
      </c>
      <c r="M95">
        <v>13.722182</v>
      </c>
      <c r="N95">
        <v>13.122884000000001</v>
      </c>
      <c r="O95">
        <v>13.421237</v>
      </c>
      <c r="P95">
        <v>13.470608</v>
      </c>
      <c r="Q95">
        <v>13.631</v>
      </c>
      <c r="R95">
        <v>13.634734</v>
      </c>
      <c r="S95">
        <v>8.270016</v>
      </c>
      <c r="T95">
        <v>12.266082000000001</v>
      </c>
      <c r="U95">
        <v>12.622563</v>
      </c>
      <c r="V95">
        <v>12.528034</v>
      </c>
      <c r="W95">
        <v>11.985196</v>
      </c>
      <c r="X95">
        <v>12.546200000000001</v>
      </c>
      <c r="Y95">
        <v>11.988113</v>
      </c>
      <c r="Z95">
        <v>12.107131000000001</v>
      </c>
      <c r="AA95">
        <v>13.364288999999999</v>
      </c>
      <c r="AB95">
        <v>12.412601</v>
      </c>
      <c r="AC95">
        <v>8.6813640000000003</v>
      </c>
      <c r="AD95">
        <v>13.493449999999999</v>
      </c>
      <c r="AE95">
        <v>11.693528000000001</v>
      </c>
      <c r="AF95">
        <v>12.534984</v>
      </c>
      <c r="AG95">
        <v>12.510258</v>
      </c>
    </row>
    <row r="96" spans="1:33" x14ac:dyDescent="0.25">
      <c r="A96" s="1">
        <v>44147</v>
      </c>
      <c r="B96">
        <v>12.466056</v>
      </c>
      <c r="C96">
        <v>13.42665</v>
      </c>
      <c r="D96">
        <v>12.923588000000001</v>
      </c>
      <c r="E96">
        <v>12.7644415</v>
      </c>
      <c r="F96">
        <v>13.352384000000001</v>
      </c>
      <c r="G96">
        <v>13.594474</v>
      </c>
      <c r="H96">
        <v>13.587089000000001</v>
      </c>
      <c r="I96">
        <v>12.058373</v>
      </c>
      <c r="J96">
        <v>11.369084000000001</v>
      </c>
      <c r="K96">
        <v>13.234638</v>
      </c>
      <c r="L96">
        <v>13.142396</v>
      </c>
      <c r="M96">
        <v>13.545574999999999</v>
      </c>
      <c r="N96">
        <v>12.950545999999999</v>
      </c>
      <c r="O96">
        <v>13.259861000000001</v>
      </c>
      <c r="P96">
        <v>13.263343000000001</v>
      </c>
      <c r="Q96">
        <v>13.461802499999999</v>
      </c>
      <c r="R96">
        <v>13.437690999999999</v>
      </c>
      <c r="S96">
        <v>8.2391249999999996</v>
      </c>
      <c r="T96">
        <v>12.031459</v>
      </c>
      <c r="U96">
        <v>12.411771</v>
      </c>
      <c r="V96">
        <v>12.115527</v>
      </c>
      <c r="W96">
        <v>11.595254000000001</v>
      </c>
      <c r="X96">
        <v>12.058393000000001</v>
      </c>
      <c r="Y96">
        <v>11.781867999999999</v>
      </c>
      <c r="Z96">
        <v>11.955840999999999</v>
      </c>
      <c r="AA96">
        <v>13.125188</v>
      </c>
      <c r="AB96">
        <v>12.123951999999999</v>
      </c>
      <c r="AC96">
        <v>8.538354</v>
      </c>
      <c r="AD96">
        <v>13.289361</v>
      </c>
      <c r="AE96">
        <v>11.5631895</v>
      </c>
      <c r="AF96">
        <v>12.353942</v>
      </c>
      <c r="AG96">
        <v>12.438713</v>
      </c>
    </row>
    <row r="97" spans="1:33" x14ac:dyDescent="0.25">
      <c r="A97" s="1">
        <v>44148</v>
      </c>
      <c r="B97">
        <v>12.139431</v>
      </c>
      <c r="C97">
        <v>13.149751</v>
      </c>
      <c r="D97">
        <v>12.722127</v>
      </c>
      <c r="E97">
        <v>12.516776</v>
      </c>
      <c r="F97">
        <v>13.025304</v>
      </c>
      <c r="G97">
        <v>13.358086999999999</v>
      </c>
      <c r="H97">
        <v>13.419295999999999</v>
      </c>
      <c r="I97">
        <v>11.763645</v>
      </c>
      <c r="J97">
        <v>11.28997</v>
      </c>
      <c r="K97">
        <v>12.980096</v>
      </c>
      <c r="L97">
        <v>12.970464</v>
      </c>
      <c r="M97">
        <v>13.311799000000001</v>
      </c>
      <c r="N97">
        <v>12.758792</v>
      </c>
      <c r="O97">
        <v>13.024554</v>
      </c>
      <c r="P97">
        <v>13.015442</v>
      </c>
      <c r="Q97">
        <v>13.260384999999999</v>
      </c>
      <c r="R97">
        <v>13.209580000000001</v>
      </c>
      <c r="S97">
        <v>8.2009799999999995</v>
      </c>
      <c r="T97">
        <v>11.765323</v>
      </c>
      <c r="U97">
        <v>11.737909999999999</v>
      </c>
      <c r="V97">
        <v>11.786625000000001</v>
      </c>
      <c r="W97">
        <v>11.135192999999999</v>
      </c>
      <c r="X97">
        <v>11.677625000000001</v>
      </c>
      <c r="Y97">
        <v>11.514770499999999</v>
      </c>
      <c r="Z97">
        <v>11.806872</v>
      </c>
      <c r="AA97">
        <v>12.873119000000001</v>
      </c>
      <c r="AB97">
        <v>11.983822</v>
      </c>
      <c r="AC97">
        <v>8.5295140000000007</v>
      </c>
      <c r="AD97">
        <v>13.050762000000001</v>
      </c>
      <c r="AE97">
        <v>11.64453</v>
      </c>
      <c r="AF97">
        <v>12.195156000000001</v>
      </c>
      <c r="AG97">
        <v>12.357827</v>
      </c>
    </row>
    <row r="98" spans="1:33" x14ac:dyDescent="0.25">
      <c r="A98" s="1">
        <v>44149</v>
      </c>
      <c r="B98">
        <v>12.226101</v>
      </c>
      <c r="C98">
        <v>13.169017</v>
      </c>
      <c r="D98">
        <v>12.719041000000001</v>
      </c>
      <c r="E98">
        <v>12.509688000000001</v>
      </c>
      <c r="F98">
        <v>13.05555</v>
      </c>
      <c r="G98">
        <v>13.225979000000001</v>
      </c>
      <c r="H98">
        <v>13.294238</v>
      </c>
      <c r="I98">
        <v>11.896305999999999</v>
      </c>
      <c r="J98">
        <v>11.612183</v>
      </c>
      <c r="K98">
        <v>12.909649999999999</v>
      </c>
      <c r="L98">
        <v>12.932525</v>
      </c>
      <c r="M98">
        <v>13.202741</v>
      </c>
      <c r="N98">
        <v>12.669257999999999</v>
      </c>
      <c r="O98">
        <v>12.86106</v>
      </c>
      <c r="P98">
        <v>12.938744</v>
      </c>
      <c r="Q98">
        <v>13.132448999999999</v>
      </c>
      <c r="R98">
        <v>13.107777</v>
      </c>
      <c r="S98">
        <v>8.8871420000000008</v>
      </c>
      <c r="T98">
        <v>11.68238</v>
      </c>
      <c r="U98">
        <v>11.111253</v>
      </c>
      <c r="V98">
        <v>11.731412000000001</v>
      </c>
      <c r="W98">
        <v>10.852561</v>
      </c>
      <c r="X98">
        <v>11.60759</v>
      </c>
      <c r="Y98">
        <v>11.3747635</v>
      </c>
      <c r="Z98">
        <v>11.963376</v>
      </c>
      <c r="AA98">
        <v>12.838139999999999</v>
      </c>
      <c r="AB98">
        <v>11.999555000000001</v>
      </c>
      <c r="AC98">
        <v>8.7940939999999994</v>
      </c>
      <c r="AD98">
        <v>12.953782</v>
      </c>
      <c r="AE98">
        <v>11.930484999999999</v>
      </c>
      <c r="AF98">
        <v>12.167099</v>
      </c>
      <c r="AG98">
        <v>12.527589000000001</v>
      </c>
    </row>
    <row r="99" spans="1:33" x14ac:dyDescent="0.25">
      <c r="A99" s="1">
        <v>44150</v>
      </c>
      <c r="B99">
        <v>12.202802</v>
      </c>
      <c r="C99">
        <v>12.994548999999999</v>
      </c>
      <c r="D99">
        <v>12.673894000000001</v>
      </c>
      <c r="E99">
        <v>12.475692</v>
      </c>
      <c r="F99">
        <v>12.899349000000001</v>
      </c>
      <c r="G99">
        <v>13.097497000000001</v>
      </c>
      <c r="H99">
        <v>13.255309</v>
      </c>
      <c r="I99">
        <v>11.925178000000001</v>
      </c>
      <c r="J99">
        <v>11.562794999999999</v>
      </c>
      <c r="K99">
        <v>12.805141000000001</v>
      </c>
      <c r="L99">
        <v>12.739516</v>
      </c>
      <c r="M99">
        <v>13.082435</v>
      </c>
      <c r="N99">
        <v>12.501065000000001</v>
      </c>
      <c r="O99">
        <v>12.608226</v>
      </c>
      <c r="P99">
        <v>12.828625000000001</v>
      </c>
      <c r="Q99">
        <v>13.011374</v>
      </c>
      <c r="R99">
        <v>12.867219</v>
      </c>
      <c r="S99">
        <v>8.9928539999999995</v>
      </c>
      <c r="T99">
        <v>11.561540000000001</v>
      </c>
      <c r="U99">
        <v>10.767500999999999</v>
      </c>
      <c r="V99">
        <v>11.508229</v>
      </c>
      <c r="W99">
        <v>10.746005</v>
      </c>
      <c r="X99">
        <v>11.350966</v>
      </c>
      <c r="Y99">
        <v>11.044586000000001</v>
      </c>
      <c r="Z99">
        <v>11.833940999999999</v>
      </c>
      <c r="AA99">
        <v>12.709020000000001</v>
      </c>
      <c r="AB99">
        <v>11.73532</v>
      </c>
      <c r="AC99">
        <v>8.7739309999999993</v>
      </c>
      <c r="AD99">
        <v>12.773460999999999</v>
      </c>
      <c r="AE99">
        <v>11.960171000000001</v>
      </c>
      <c r="AF99">
        <v>12.000802</v>
      </c>
      <c r="AG99">
        <v>12.381751</v>
      </c>
    </row>
    <row r="100" spans="1:33" x14ac:dyDescent="0.25">
      <c r="A100" s="1">
        <v>44151</v>
      </c>
      <c r="B100">
        <v>12.482625000000001</v>
      </c>
      <c r="C100">
        <v>13.029078500000001</v>
      </c>
      <c r="D100">
        <v>12.767269000000001</v>
      </c>
      <c r="E100">
        <v>12.645161999999999</v>
      </c>
      <c r="F100">
        <v>13.009629</v>
      </c>
      <c r="G100">
        <v>13.103384999999999</v>
      </c>
      <c r="H100">
        <v>13.357010000000001</v>
      </c>
      <c r="I100">
        <v>12.362712</v>
      </c>
      <c r="J100">
        <v>11.886163</v>
      </c>
      <c r="K100">
        <v>12.798707</v>
      </c>
      <c r="L100">
        <v>12.713077999999999</v>
      </c>
      <c r="M100">
        <v>13.101910999999999</v>
      </c>
      <c r="N100">
        <v>12.511044</v>
      </c>
      <c r="O100">
        <v>12.569241999999999</v>
      </c>
      <c r="P100">
        <v>12.820304</v>
      </c>
      <c r="Q100">
        <v>13.010235</v>
      </c>
      <c r="R100">
        <v>12.797242000000001</v>
      </c>
      <c r="S100">
        <v>9.4394349999999996</v>
      </c>
      <c r="T100">
        <v>11.540630999999999</v>
      </c>
      <c r="U100">
        <v>10.9292</v>
      </c>
      <c r="V100">
        <v>11.38569</v>
      </c>
      <c r="W100">
        <v>10.798278</v>
      </c>
      <c r="X100">
        <v>11.151472999999999</v>
      </c>
      <c r="Y100">
        <v>11.185127</v>
      </c>
      <c r="Z100">
        <v>11.827809</v>
      </c>
      <c r="AA100">
        <v>12.740497</v>
      </c>
      <c r="AB100">
        <v>11.859491999999999</v>
      </c>
      <c r="AC100">
        <v>9.0356740000000002</v>
      </c>
      <c r="AD100">
        <v>12.715444</v>
      </c>
      <c r="AE100">
        <v>12.344329</v>
      </c>
      <c r="AF100">
        <v>11.978472999999999</v>
      </c>
      <c r="AG100">
        <v>12.489615000000001</v>
      </c>
    </row>
    <row r="101" spans="1:33" x14ac:dyDescent="0.25">
      <c r="A101" s="1">
        <v>44152</v>
      </c>
      <c r="B101">
        <v>12.587167000000001</v>
      </c>
      <c r="C101">
        <v>12.934310999999999</v>
      </c>
      <c r="D101">
        <v>12.765385999999999</v>
      </c>
      <c r="E101">
        <v>12.789088</v>
      </c>
      <c r="F101">
        <v>13.004612</v>
      </c>
      <c r="G101">
        <v>13.109135999999999</v>
      </c>
      <c r="H101">
        <v>13.585618</v>
      </c>
      <c r="I101">
        <v>12.533122000000001</v>
      </c>
      <c r="J101">
        <v>12.057031</v>
      </c>
      <c r="K101">
        <v>12.736924</v>
      </c>
      <c r="L101">
        <v>12.663341000000001</v>
      </c>
      <c r="M101">
        <v>13.090946000000001</v>
      </c>
      <c r="N101">
        <v>12.550613</v>
      </c>
      <c r="O101">
        <v>12.563879999999999</v>
      </c>
      <c r="P101">
        <v>12.750266999999999</v>
      </c>
      <c r="Q101">
        <v>12.9971075</v>
      </c>
      <c r="R101">
        <v>12.722747</v>
      </c>
      <c r="S101">
        <v>9.7794290000000004</v>
      </c>
      <c r="T101">
        <v>11.541726000000001</v>
      </c>
      <c r="U101">
        <v>10.955985999999999</v>
      </c>
      <c r="V101">
        <v>11.274010000000001</v>
      </c>
      <c r="W101">
        <v>10.923406</v>
      </c>
      <c r="X101">
        <v>11.010662</v>
      </c>
      <c r="Y101">
        <v>11.373564999999999</v>
      </c>
      <c r="Z101">
        <v>11.833401</v>
      </c>
      <c r="AA101">
        <v>12.702086</v>
      </c>
      <c r="AB101">
        <v>11.860967</v>
      </c>
      <c r="AC101">
        <v>9.285069</v>
      </c>
      <c r="AD101">
        <v>12.647869</v>
      </c>
      <c r="AE101">
        <v>12.598226</v>
      </c>
      <c r="AF101">
        <v>11.989163</v>
      </c>
      <c r="AG101">
        <v>12.486862</v>
      </c>
    </row>
    <row r="102" spans="1:33" x14ac:dyDescent="0.25">
      <c r="A102" s="1">
        <v>44153</v>
      </c>
      <c r="B102">
        <v>13.148879000000001</v>
      </c>
      <c r="C102">
        <v>13.175815999999999</v>
      </c>
      <c r="D102">
        <v>12.906552</v>
      </c>
      <c r="E102">
        <v>13.059462999999999</v>
      </c>
      <c r="F102">
        <v>13.174863</v>
      </c>
      <c r="G102">
        <v>13.153945999999999</v>
      </c>
      <c r="H102">
        <v>13.657427999999999</v>
      </c>
      <c r="I102">
        <v>12.827797</v>
      </c>
      <c r="J102">
        <v>12.494419000000001</v>
      </c>
      <c r="K102">
        <v>12.801345</v>
      </c>
      <c r="L102">
        <v>12.798546999999999</v>
      </c>
      <c r="M102">
        <v>13.133786000000001</v>
      </c>
      <c r="N102">
        <v>12.542964</v>
      </c>
      <c r="O102">
        <v>12.694118</v>
      </c>
      <c r="P102">
        <v>12.802645999999999</v>
      </c>
      <c r="Q102">
        <v>13.030086000000001</v>
      </c>
      <c r="R102">
        <v>12.807536000000001</v>
      </c>
      <c r="S102">
        <v>10.458046</v>
      </c>
      <c r="T102">
        <v>11.565849</v>
      </c>
      <c r="U102">
        <v>11.182757000000001</v>
      </c>
      <c r="V102">
        <v>11.264885</v>
      </c>
      <c r="W102">
        <v>11.449434999999999</v>
      </c>
      <c r="X102">
        <v>11.08821</v>
      </c>
      <c r="Y102">
        <v>11.565186000000001</v>
      </c>
      <c r="Z102">
        <v>11.914491</v>
      </c>
      <c r="AA102">
        <v>12.872318999999999</v>
      </c>
      <c r="AB102">
        <v>12.225343000000001</v>
      </c>
      <c r="AC102">
        <v>9.7906230000000001</v>
      </c>
      <c r="AD102">
        <v>12.742489000000001</v>
      </c>
      <c r="AE102">
        <v>13.397736999999999</v>
      </c>
      <c r="AF102">
        <v>12.092053</v>
      </c>
      <c r="AG102">
        <v>12.842402999999999</v>
      </c>
    </row>
    <row r="103" spans="1:33" x14ac:dyDescent="0.25">
      <c r="A103" s="1">
        <v>44154</v>
      </c>
      <c r="B103">
        <v>12.710737999999999</v>
      </c>
      <c r="C103">
        <v>13.031497999999999</v>
      </c>
      <c r="D103">
        <v>12.814800999999999</v>
      </c>
      <c r="E103">
        <v>12.788106000000001</v>
      </c>
      <c r="F103">
        <v>12.9770155</v>
      </c>
      <c r="G103">
        <v>13.008176000000001</v>
      </c>
      <c r="H103">
        <v>13.518502</v>
      </c>
      <c r="I103">
        <v>12.638267000000001</v>
      </c>
      <c r="J103">
        <v>12.253674500000001</v>
      </c>
      <c r="K103">
        <v>12.712318</v>
      </c>
      <c r="L103">
        <v>12.675743000000001</v>
      </c>
      <c r="M103">
        <v>12.99234</v>
      </c>
      <c r="N103">
        <v>12.187799999999999</v>
      </c>
      <c r="O103">
        <v>12.437923</v>
      </c>
      <c r="P103">
        <v>12.706458</v>
      </c>
      <c r="Q103">
        <v>12.854112000000001</v>
      </c>
      <c r="R103">
        <v>12.64307</v>
      </c>
      <c r="S103">
        <v>10.336014</v>
      </c>
      <c r="T103">
        <v>11.456222</v>
      </c>
      <c r="U103">
        <v>11.174552</v>
      </c>
      <c r="V103">
        <v>11.163489999999999</v>
      </c>
      <c r="W103">
        <v>11.675824</v>
      </c>
      <c r="X103">
        <v>11.175371999999999</v>
      </c>
      <c r="Y103">
        <v>11.248362999999999</v>
      </c>
      <c r="Z103">
        <v>11.775261</v>
      </c>
      <c r="AA103">
        <v>12.780609999999999</v>
      </c>
      <c r="AB103">
        <v>11.897565</v>
      </c>
      <c r="AC103">
        <v>9.8775624999999998</v>
      </c>
      <c r="AD103">
        <v>12.631187000000001</v>
      </c>
      <c r="AE103">
        <v>13.553513000000001</v>
      </c>
      <c r="AF103">
        <v>11.983987000000001</v>
      </c>
      <c r="AG103">
        <v>12.622373</v>
      </c>
    </row>
    <row r="104" spans="1:33" x14ac:dyDescent="0.25">
      <c r="A104" s="1">
        <v>44155</v>
      </c>
      <c r="B104">
        <v>12.223412</v>
      </c>
      <c r="C104">
        <v>12.842340999999999</v>
      </c>
      <c r="D104">
        <v>12.5918455</v>
      </c>
      <c r="E104">
        <v>12.42751</v>
      </c>
      <c r="F104">
        <v>12.767696000000001</v>
      </c>
      <c r="G104">
        <v>12.795650999999999</v>
      </c>
      <c r="H104">
        <v>13.392208999999999</v>
      </c>
      <c r="I104">
        <v>12.383637</v>
      </c>
      <c r="J104">
        <v>11.725612999999999</v>
      </c>
      <c r="K104">
        <v>12.461157999999999</v>
      </c>
      <c r="L104">
        <v>12.400486000000001</v>
      </c>
      <c r="M104">
        <v>12.774910999999999</v>
      </c>
      <c r="N104">
        <v>11.857806</v>
      </c>
      <c r="O104">
        <v>12.140995999999999</v>
      </c>
      <c r="P104">
        <v>12.458017999999999</v>
      </c>
      <c r="Q104">
        <v>12.582352999999999</v>
      </c>
      <c r="R104">
        <v>12.383730999999999</v>
      </c>
      <c r="S104">
        <v>9.6585760000000001</v>
      </c>
      <c r="T104">
        <v>11.289502000000001</v>
      </c>
      <c r="U104">
        <v>11.022296000000001</v>
      </c>
      <c r="V104">
        <v>11.268364</v>
      </c>
      <c r="W104">
        <v>11.942920000000001</v>
      </c>
      <c r="X104">
        <v>11.308310499999999</v>
      </c>
      <c r="Y104">
        <v>11.066421999999999</v>
      </c>
      <c r="Z104">
        <v>11.455299</v>
      </c>
      <c r="AA104">
        <v>12.500636</v>
      </c>
      <c r="AB104">
        <v>11.554557000000001</v>
      </c>
      <c r="AC104">
        <v>9.8483300000000007</v>
      </c>
      <c r="AD104">
        <v>12.391842</v>
      </c>
      <c r="AE104">
        <v>12.90809</v>
      </c>
      <c r="AF104">
        <v>11.792630000000001</v>
      </c>
      <c r="AG104">
        <v>12.196251999999999</v>
      </c>
    </row>
    <row r="105" spans="1:33" x14ac:dyDescent="0.25">
      <c r="A105" s="1">
        <v>44156</v>
      </c>
      <c r="B105">
        <v>11.875934000000001</v>
      </c>
      <c r="C105">
        <v>12.580299</v>
      </c>
      <c r="D105">
        <v>12.346501</v>
      </c>
      <c r="E105">
        <v>12.105872</v>
      </c>
      <c r="F105">
        <v>12.546199</v>
      </c>
      <c r="G105">
        <v>12.585285000000001</v>
      </c>
      <c r="H105">
        <v>13.339233999999999</v>
      </c>
      <c r="I105">
        <v>12.094617</v>
      </c>
      <c r="J105">
        <v>11.221532</v>
      </c>
      <c r="K105">
        <v>12.217667</v>
      </c>
      <c r="L105">
        <v>12.116084000000001</v>
      </c>
      <c r="M105">
        <v>12.544833000000001</v>
      </c>
      <c r="N105">
        <v>11.614261000000001</v>
      </c>
      <c r="O105">
        <v>11.916963000000001</v>
      </c>
      <c r="P105">
        <v>12.203795</v>
      </c>
      <c r="Q105">
        <v>12.338037999999999</v>
      </c>
      <c r="R105">
        <v>12.157982000000001</v>
      </c>
      <c r="S105">
        <v>8.8006469999999997</v>
      </c>
      <c r="T105">
        <v>11.149292000000001</v>
      </c>
      <c r="U105">
        <v>10.807885000000001</v>
      </c>
      <c r="V105">
        <v>11.465756000000001</v>
      </c>
      <c r="W105">
        <v>11.761438999999999</v>
      </c>
      <c r="X105">
        <v>11.571145</v>
      </c>
      <c r="Y105">
        <v>10.701413000000001</v>
      </c>
      <c r="Z105">
        <v>11.066719000000001</v>
      </c>
      <c r="AA105">
        <v>12.177864</v>
      </c>
      <c r="AB105">
        <v>11.224849000000001</v>
      </c>
      <c r="AC105">
        <v>9.6669020000000003</v>
      </c>
      <c r="AD105">
        <v>12.132042</v>
      </c>
      <c r="AE105">
        <v>12.060695000000001</v>
      </c>
      <c r="AF105">
        <v>11.579796</v>
      </c>
      <c r="AG105">
        <v>11.77852</v>
      </c>
    </row>
    <row r="106" spans="1:33" x14ac:dyDescent="0.25">
      <c r="A106" s="1">
        <v>44157</v>
      </c>
      <c r="B106">
        <v>11.6803255</v>
      </c>
      <c r="C106">
        <v>12.288429000000001</v>
      </c>
      <c r="D106">
        <v>12.137703</v>
      </c>
      <c r="E106">
        <v>11.866512999999999</v>
      </c>
      <c r="F106">
        <v>12.313355</v>
      </c>
      <c r="G106">
        <v>12.389828</v>
      </c>
      <c r="H106">
        <v>13.362518</v>
      </c>
      <c r="I106">
        <v>11.71659</v>
      </c>
      <c r="J106">
        <v>10.752907</v>
      </c>
      <c r="K106">
        <v>11.979194</v>
      </c>
      <c r="L106">
        <v>11.864064000000001</v>
      </c>
      <c r="M106">
        <v>12.313086999999999</v>
      </c>
      <c r="N106">
        <v>11.414744000000001</v>
      </c>
      <c r="O106">
        <v>11.740311</v>
      </c>
      <c r="P106">
        <v>11.960145000000001</v>
      </c>
      <c r="Q106">
        <v>12.130402</v>
      </c>
      <c r="R106">
        <v>11.976658</v>
      </c>
      <c r="S106">
        <v>8.0865880000000008</v>
      </c>
      <c r="T106">
        <v>11.043246</v>
      </c>
      <c r="U106">
        <v>10.580418999999999</v>
      </c>
      <c r="V106">
        <v>11.464229</v>
      </c>
      <c r="W106">
        <v>11.564178999999999</v>
      </c>
      <c r="X106">
        <v>11.556514</v>
      </c>
      <c r="Y106">
        <v>10.381531000000001</v>
      </c>
      <c r="Z106">
        <v>10.6565485</v>
      </c>
      <c r="AA106">
        <v>11.888932</v>
      </c>
      <c r="AB106">
        <v>10.986926</v>
      </c>
      <c r="AC106">
        <v>9.3308429999999998</v>
      </c>
      <c r="AD106">
        <v>11.887283999999999</v>
      </c>
      <c r="AE106">
        <v>11.326688000000001</v>
      </c>
      <c r="AF106">
        <v>11.3977995</v>
      </c>
      <c r="AG106">
        <v>11.464506999999999</v>
      </c>
    </row>
    <row r="107" spans="1:33" x14ac:dyDescent="0.25">
      <c r="A107" s="1">
        <v>44158</v>
      </c>
      <c r="B107">
        <v>11.672344000000001</v>
      </c>
      <c r="C107">
        <v>12.114122999999999</v>
      </c>
      <c r="D107">
        <v>12.015559</v>
      </c>
      <c r="E107">
        <v>11.759782</v>
      </c>
      <c r="F107">
        <v>12.244443</v>
      </c>
      <c r="G107">
        <v>12.295094000000001</v>
      </c>
      <c r="H107">
        <v>13.303864000000001</v>
      </c>
      <c r="I107">
        <v>11.555122000000001</v>
      </c>
      <c r="J107">
        <v>10.590624999999999</v>
      </c>
      <c r="K107">
        <v>11.837569</v>
      </c>
      <c r="L107">
        <v>11.747826999999999</v>
      </c>
      <c r="M107">
        <v>12.204896</v>
      </c>
      <c r="N107">
        <v>11.343315</v>
      </c>
      <c r="O107">
        <v>11.694875</v>
      </c>
      <c r="P107">
        <v>11.819858</v>
      </c>
      <c r="Q107">
        <v>12.023148000000001</v>
      </c>
      <c r="R107">
        <v>11.884475</v>
      </c>
      <c r="S107">
        <v>7.8137819999999998</v>
      </c>
      <c r="T107">
        <v>10.9986725</v>
      </c>
      <c r="U107">
        <v>10.508203</v>
      </c>
      <c r="V107">
        <v>11.375651</v>
      </c>
      <c r="W107">
        <v>11.312552999999999</v>
      </c>
      <c r="X107">
        <v>11.430839000000001</v>
      </c>
      <c r="Y107">
        <v>10.162375000000001</v>
      </c>
      <c r="Z107">
        <v>10.453379999999999</v>
      </c>
      <c r="AA107">
        <v>11.711444</v>
      </c>
      <c r="AB107">
        <v>10.811170000000001</v>
      </c>
      <c r="AC107">
        <v>9.1202889999999996</v>
      </c>
      <c r="AD107">
        <v>11.736423500000001</v>
      </c>
      <c r="AE107">
        <v>11.647582</v>
      </c>
      <c r="AF107">
        <v>11.317627999999999</v>
      </c>
      <c r="AG107">
        <v>11.395372999999999</v>
      </c>
    </row>
    <row r="108" spans="1:33" x14ac:dyDescent="0.25">
      <c r="A108" s="1">
        <v>44159</v>
      </c>
      <c r="B108">
        <v>11.619075</v>
      </c>
      <c r="C108">
        <v>12.034528</v>
      </c>
      <c r="D108">
        <v>11.775359</v>
      </c>
      <c r="E108">
        <v>11.720447999999999</v>
      </c>
      <c r="F108">
        <v>12.193546</v>
      </c>
      <c r="G108">
        <v>12.240121</v>
      </c>
      <c r="H108">
        <v>13.291083</v>
      </c>
      <c r="I108">
        <v>11.505177</v>
      </c>
      <c r="J108">
        <v>10.587445000000001</v>
      </c>
      <c r="K108">
        <v>11.7625475</v>
      </c>
      <c r="L108">
        <v>11.664199</v>
      </c>
      <c r="M108">
        <v>12.130404</v>
      </c>
      <c r="N108">
        <v>11.328837</v>
      </c>
      <c r="O108">
        <v>11.648742</v>
      </c>
      <c r="P108">
        <v>11.747605</v>
      </c>
      <c r="Q108">
        <v>11.951930000000001</v>
      </c>
      <c r="R108">
        <v>11.808337</v>
      </c>
      <c r="S108">
        <v>7.8075320000000001</v>
      </c>
      <c r="T108">
        <v>10.992240000000001</v>
      </c>
      <c r="U108">
        <v>10.493722</v>
      </c>
      <c r="V108">
        <v>11.303997000000001</v>
      </c>
      <c r="W108">
        <v>11.317703</v>
      </c>
      <c r="X108">
        <v>11.311569</v>
      </c>
      <c r="Y108">
        <v>9.9993940000000006</v>
      </c>
      <c r="Z108">
        <v>10.430812</v>
      </c>
      <c r="AA108">
        <v>11.631162</v>
      </c>
      <c r="AB108">
        <v>10.735066</v>
      </c>
      <c r="AC108">
        <v>8.8415420000000005</v>
      </c>
      <c r="AD108">
        <v>11.657399</v>
      </c>
      <c r="AE108">
        <v>11.858955999999999</v>
      </c>
      <c r="AF108">
        <v>11.271267999999999</v>
      </c>
      <c r="AG108">
        <v>11.369756000000001</v>
      </c>
    </row>
    <row r="109" spans="1:33" x14ac:dyDescent="0.25">
      <c r="A109" s="1">
        <v>44160</v>
      </c>
      <c r="B109">
        <v>11.455859</v>
      </c>
      <c r="C109">
        <v>11.809436</v>
      </c>
      <c r="D109">
        <v>11.642457</v>
      </c>
      <c r="E109">
        <v>11.65771</v>
      </c>
      <c r="F109">
        <v>12.037345</v>
      </c>
      <c r="G109">
        <v>12.173572999999999</v>
      </c>
      <c r="H109">
        <v>13.2319</v>
      </c>
      <c r="I109">
        <v>11.323902</v>
      </c>
      <c r="J109">
        <v>10.477798999999999</v>
      </c>
      <c r="K109">
        <v>11.646509999999999</v>
      </c>
      <c r="L109">
        <v>11.541180000000001</v>
      </c>
      <c r="M109">
        <v>12.040240000000001</v>
      </c>
      <c r="N109">
        <v>11.2799225</v>
      </c>
      <c r="O109">
        <v>11.495744</v>
      </c>
      <c r="P109">
        <v>11.651115000000001</v>
      </c>
      <c r="Q109">
        <v>11.887361</v>
      </c>
      <c r="R109">
        <v>11.668621999999999</v>
      </c>
      <c r="S109">
        <v>7.8765016000000001</v>
      </c>
      <c r="T109">
        <v>10.925134</v>
      </c>
      <c r="U109">
        <v>10.877319</v>
      </c>
      <c r="V109">
        <v>11.128391000000001</v>
      </c>
      <c r="W109">
        <v>11.1548815</v>
      </c>
      <c r="X109">
        <v>11.146501000000001</v>
      </c>
      <c r="Y109">
        <v>9.9969020000000004</v>
      </c>
      <c r="Z109">
        <v>10.441732999999999</v>
      </c>
      <c r="AA109">
        <v>11.531686000000001</v>
      </c>
      <c r="AB109">
        <v>10.636595</v>
      </c>
      <c r="AC109">
        <v>8.6580549999999992</v>
      </c>
      <c r="AD109">
        <v>11.554309999999999</v>
      </c>
      <c r="AE109">
        <v>11.66825</v>
      </c>
      <c r="AF109">
        <v>11.223762000000001</v>
      </c>
      <c r="AG109">
        <v>11.245766</v>
      </c>
    </row>
    <row r="110" spans="1:33" x14ac:dyDescent="0.25">
      <c r="A110" s="1">
        <v>44161</v>
      </c>
      <c r="B110">
        <v>10.905053000000001</v>
      </c>
      <c r="C110">
        <v>11.496378999999999</v>
      </c>
      <c r="D110">
        <v>11.40043</v>
      </c>
      <c r="E110">
        <v>11.309009</v>
      </c>
      <c r="F110">
        <v>11.624715</v>
      </c>
      <c r="G110">
        <v>11.936398000000001</v>
      </c>
      <c r="H110">
        <v>12.837218</v>
      </c>
      <c r="I110">
        <v>10.891776999999999</v>
      </c>
      <c r="J110">
        <v>9.8414339999999996</v>
      </c>
      <c r="K110">
        <v>11.3133955</v>
      </c>
      <c r="L110">
        <v>11.151591</v>
      </c>
      <c r="M110">
        <v>11.751792999999999</v>
      </c>
      <c r="N110">
        <v>10.952667</v>
      </c>
      <c r="O110">
        <v>11.038376</v>
      </c>
      <c r="P110">
        <v>11.345124</v>
      </c>
      <c r="Q110">
        <v>11.622866999999999</v>
      </c>
      <c r="R110">
        <v>11.236473999999999</v>
      </c>
      <c r="S110">
        <v>7.6528535</v>
      </c>
      <c r="T110">
        <v>10.520659</v>
      </c>
      <c r="U110">
        <v>10.816329</v>
      </c>
      <c r="V110">
        <v>10.706799</v>
      </c>
      <c r="W110">
        <v>10.724219</v>
      </c>
      <c r="X110">
        <v>10.719162000000001</v>
      </c>
      <c r="Y110">
        <v>9.2413129999999999</v>
      </c>
      <c r="Z110">
        <v>10.237959999999999</v>
      </c>
      <c r="AA110">
        <v>11.18594</v>
      </c>
      <c r="AB110">
        <v>10.181151</v>
      </c>
      <c r="AC110">
        <v>8.1414960000000001</v>
      </c>
      <c r="AD110">
        <v>11.199465999999999</v>
      </c>
      <c r="AE110">
        <v>11.169703500000001</v>
      </c>
      <c r="AF110">
        <v>10.972685999999999</v>
      </c>
      <c r="AG110">
        <v>10.776279000000001</v>
      </c>
    </row>
    <row r="111" spans="1:33" x14ac:dyDescent="0.25">
      <c r="A111" s="1">
        <v>44162</v>
      </c>
      <c r="B111">
        <v>10.663563999999999</v>
      </c>
      <c r="C111">
        <v>11.281276</v>
      </c>
      <c r="D111">
        <v>11.116826</v>
      </c>
      <c r="E111">
        <v>11.061593</v>
      </c>
      <c r="F111">
        <v>11.477147</v>
      </c>
      <c r="G111">
        <v>11.753978</v>
      </c>
      <c r="H111">
        <v>12.927077000000001</v>
      </c>
      <c r="I111">
        <v>10.610531999999999</v>
      </c>
      <c r="J111">
        <v>9.3256370000000004</v>
      </c>
      <c r="K111">
        <v>11.050926</v>
      </c>
      <c r="L111">
        <v>10.897952999999999</v>
      </c>
      <c r="M111">
        <v>11.626397000000001</v>
      </c>
      <c r="N111">
        <v>10.865997999999999</v>
      </c>
      <c r="O111">
        <v>10.729953</v>
      </c>
      <c r="P111">
        <v>11.0947</v>
      </c>
      <c r="Q111">
        <v>11.48481</v>
      </c>
      <c r="R111">
        <v>11.047095000000001</v>
      </c>
      <c r="S111">
        <v>7.0204816000000001</v>
      </c>
      <c r="T111">
        <v>10.262845</v>
      </c>
      <c r="U111">
        <v>10.448757000000001</v>
      </c>
      <c r="V111">
        <v>10.402366000000001</v>
      </c>
      <c r="W111">
        <v>10.384748999999999</v>
      </c>
      <c r="X111">
        <v>10.425469</v>
      </c>
      <c r="Y111">
        <v>9.0155879999999993</v>
      </c>
      <c r="Z111">
        <v>9.9432799999999997</v>
      </c>
      <c r="AA111">
        <v>10.807629</v>
      </c>
      <c r="AB111">
        <v>9.8780599999999996</v>
      </c>
      <c r="AC111">
        <v>7.8011302999999996</v>
      </c>
      <c r="AD111">
        <v>10.903343</v>
      </c>
      <c r="AE111">
        <v>10.63738</v>
      </c>
      <c r="AF111">
        <v>10.766182000000001</v>
      </c>
      <c r="AG111">
        <v>10.426736</v>
      </c>
    </row>
    <row r="112" spans="1:33" x14ac:dyDescent="0.25">
      <c r="A112" s="1">
        <v>44163</v>
      </c>
      <c r="B112">
        <v>10.507244999999999</v>
      </c>
      <c r="C112">
        <v>11.24183</v>
      </c>
      <c r="D112">
        <v>10.913022</v>
      </c>
      <c r="E112">
        <v>10.880197000000001</v>
      </c>
      <c r="F112">
        <v>11.346380999999999</v>
      </c>
      <c r="G112">
        <v>11.628361</v>
      </c>
      <c r="H112">
        <v>12.821122000000001</v>
      </c>
      <c r="I112">
        <v>10.440738</v>
      </c>
      <c r="J112">
        <v>9.093337</v>
      </c>
      <c r="K112">
        <v>10.86144</v>
      </c>
      <c r="L112">
        <v>10.6943245</v>
      </c>
      <c r="M112">
        <v>11.497356999999999</v>
      </c>
      <c r="N112">
        <v>10.750436000000001</v>
      </c>
      <c r="O112">
        <v>10.517552</v>
      </c>
      <c r="P112">
        <v>10.907658</v>
      </c>
      <c r="Q112">
        <v>11.359764999999999</v>
      </c>
      <c r="R112">
        <v>10.817307</v>
      </c>
      <c r="S112">
        <v>6.6029369999999998</v>
      </c>
      <c r="T112">
        <v>10.037534000000001</v>
      </c>
      <c r="U112">
        <v>10.176389</v>
      </c>
      <c r="V112">
        <v>10.215422</v>
      </c>
      <c r="W112">
        <v>10.085680999999999</v>
      </c>
      <c r="X112">
        <v>10.243793</v>
      </c>
      <c r="Y112">
        <v>8.6668669999999999</v>
      </c>
      <c r="Z112">
        <v>9.7676979999999993</v>
      </c>
      <c r="AA112">
        <v>10.573941</v>
      </c>
      <c r="AB112">
        <v>9.6014490000000006</v>
      </c>
      <c r="AC112">
        <v>7.4936889999999998</v>
      </c>
      <c r="AD112">
        <v>10.683125</v>
      </c>
      <c r="AE112">
        <v>10.218412000000001</v>
      </c>
      <c r="AF112">
        <v>10.610414</v>
      </c>
      <c r="AG112">
        <v>10.249886500000001</v>
      </c>
    </row>
    <row r="113" spans="1:33" x14ac:dyDescent="0.25">
      <c r="A113" s="1">
        <v>44164</v>
      </c>
      <c r="B113">
        <v>10.426753</v>
      </c>
      <c r="C113">
        <v>11.125405000000001</v>
      </c>
      <c r="D113">
        <v>10.755008</v>
      </c>
      <c r="E113">
        <v>10.743473</v>
      </c>
      <c r="F113">
        <v>11.234940999999999</v>
      </c>
      <c r="G113">
        <v>11.531556</v>
      </c>
      <c r="H113">
        <v>12.856213</v>
      </c>
      <c r="I113">
        <v>10.372903000000001</v>
      </c>
      <c r="J113">
        <v>8.8737549999999992</v>
      </c>
      <c r="K113">
        <v>10.682933999999999</v>
      </c>
      <c r="L113">
        <v>10.505794</v>
      </c>
      <c r="M113">
        <v>11.407344999999999</v>
      </c>
      <c r="N113">
        <v>10.642245000000001</v>
      </c>
      <c r="O113">
        <v>10.375785</v>
      </c>
      <c r="P113">
        <v>10.724959999999999</v>
      </c>
      <c r="Q113">
        <v>11.269901000000001</v>
      </c>
      <c r="R113">
        <v>10.643446000000001</v>
      </c>
      <c r="S113">
        <v>6.3510985</v>
      </c>
      <c r="T113">
        <v>9.8519659999999991</v>
      </c>
      <c r="U113">
        <v>9.8727664999999991</v>
      </c>
      <c r="V113">
        <v>10.027799999999999</v>
      </c>
      <c r="W113">
        <v>9.931419</v>
      </c>
      <c r="X113">
        <v>10.044229</v>
      </c>
      <c r="Y113">
        <v>8.502542</v>
      </c>
      <c r="Z113">
        <v>9.6554990000000007</v>
      </c>
      <c r="AA113">
        <v>10.335198</v>
      </c>
      <c r="AB113">
        <v>9.4318240000000007</v>
      </c>
      <c r="AC113">
        <v>7.0519885999999996</v>
      </c>
      <c r="AD113">
        <v>10.490575</v>
      </c>
      <c r="AE113">
        <v>9.9411970000000007</v>
      </c>
      <c r="AF113">
        <v>10.460224999999999</v>
      </c>
      <c r="AG113">
        <v>10.040746</v>
      </c>
    </row>
    <row r="114" spans="1:33" x14ac:dyDescent="0.25">
      <c r="A114" s="1">
        <v>44165</v>
      </c>
      <c r="B114">
        <v>10.390639</v>
      </c>
      <c r="C114">
        <v>11.045861</v>
      </c>
      <c r="D114">
        <v>10.654714</v>
      </c>
      <c r="E114">
        <v>10.643838000000001</v>
      </c>
      <c r="F114">
        <v>11.152564999999999</v>
      </c>
      <c r="G114">
        <v>11.424649</v>
      </c>
      <c r="H114">
        <v>12.782246000000001</v>
      </c>
      <c r="I114">
        <v>10.325423000000001</v>
      </c>
      <c r="J114">
        <v>8.8181759999999993</v>
      </c>
      <c r="K114">
        <v>10.538415000000001</v>
      </c>
      <c r="L114">
        <v>10.37194</v>
      </c>
      <c r="M114">
        <v>11.296739000000001</v>
      </c>
      <c r="N114">
        <v>10.505191</v>
      </c>
      <c r="O114">
        <v>10.255134</v>
      </c>
      <c r="P114">
        <v>10.573010999999999</v>
      </c>
      <c r="Q114">
        <v>11.156373</v>
      </c>
      <c r="R114">
        <v>10.485658000000001</v>
      </c>
      <c r="S114">
        <v>6.3775449999999996</v>
      </c>
      <c r="T114">
        <v>9.6909829999999992</v>
      </c>
      <c r="U114">
        <v>9.8197039999999998</v>
      </c>
      <c r="V114">
        <v>9.8579670000000004</v>
      </c>
      <c r="W114">
        <v>9.8442229999999995</v>
      </c>
      <c r="X114">
        <v>9.8652029999999993</v>
      </c>
      <c r="Y114">
        <v>8.2442620000000009</v>
      </c>
      <c r="Z114">
        <v>9.6086469999999995</v>
      </c>
      <c r="AA114">
        <v>10.184421</v>
      </c>
      <c r="AB114">
        <v>9.3403980000000004</v>
      </c>
      <c r="AC114">
        <v>6.7212357999999996</v>
      </c>
      <c r="AD114">
        <v>10.3375635</v>
      </c>
      <c r="AE114">
        <v>9.9188089999999995</v>
      </c>
      <c r="AF114">
        <v>10.342943999999999</v>
      </c>
      <c r="AG114">
        <v>9.9232150000000008</v>
      </c>
    </row>
    <row r="115" spans="1:33" x14ac:dyDescent="0.25">
      <c r="A115" s="1">
        <v>44166</v>
      </c>
      <c r="B115">
        <v>10.404367000000001</v>
      </c>
      <c r="C115">
        <v>11.034103999999999</v>
      </c>
      <c r="D115">
        <v>10.61162</v>
      </c>
      <c r="E115">
        <v>10.594011999999999</v>
      </c>
      <c r="F115">
        <v>11.172329</v>
      </c>
      <c r="G115">
        <v>11.342097000000001</v>
      </c>
      <c r="H115">
        <v>12.652718999999999</v>
      </c>
      <c r="I115">
        <v>10.419048999999999</v>
      </c>
      <c r="J115">
        <v>8.9350470000000008</v>
      </c>
      <c r="K115">
        <v>10.467838</v>
      </c>
      <c r="L115">
        <v>10.265127</v>
      </c>
      <c r="M115">
        <v>11.238206</v>
      </c>
      <c r="N115">
        <v>10.424315</v>
      </c>
      <c r="O115">
        <v>10.18286</v>
      </c>
      <c r="P115">
        <v>10.491559000000001</v>
      </c>
      <c r="Q115">
        <v>11.066955</v>
      </c>
      <c r="R115">
        <v>10.370756</v>
      </c>
      <c r="S115">
        <v>6.4283929999999998</v>
      </c>
      <c r="T115">
        <v>9.6018030000000003</v>
      </c>
      <c r="U115">
        <v>9.702496</v>
      </c>
      <c r="V115">
        <v>9.7917170000000002</v>
      </c>
      <c r="W115">
        <v>9.7970550000000003</v>
      </c>
      <c r="X115">
        <v>9.8247509999999991</v>
      </c>
      <c r="Y115">
        <v>8.1836369999999992</v>
      </c>
      <c r="Z115">
        <v>9.577064</v>
      </c>
      <c r="AA115">
        <v>10.090422999999999</v>
      </c>
      <c r="AB115">
        <v>9.1957100000000001</v>
      </c>
      <c r="AC115">
        <v>6.6258720000000002</v>
      </c>
      <c r="AD115">
        <v>10.226588</v>
      </c>
      <c r="AE115">
        <v>10.09792</v>
      </c>
      <c r="AF115">
        <v>10.234508</v>
      </c>
      <c r="AG115">
        <v>9.8336170000000003</v>
      </c>
    </row>
    <row r="116" spans="1:33" x14ac:dyDescent="0.25">
      <c r="A116" s="1">
        <v>44167</v>
      </c>
      <c r="B116">
        <v>10.328023</v>
      </c>
      <c r="C116">
        <v>10.929057</v>
      </c>
      <c r="D116">
        <v>10.552205000000001</v>
      </c>
      <c r="E116">
        <v>10.5281</v>
      </c>
      <c r="F116">
        <v>11.086356</v>
      </c>
      <c r="G116">
        <v>11.300948999999999</v>
      </c>
      <c r="H116">
        <v>12.668836000000001</v>
      </c>
      <c r="I116">
        <v>10.459766999999999</v>
      </c>
      <c r="J116">
        <v>8.9620309999999996</v>
      </c>
      <c r="K116">
        <v>10.367667000000001</v>
      </c>
      <c r="L116">
        <v>10.164463</v>
      </c>
      <c r="M116">
        <v>11.192767</v>
      </c>
      <c r="N116">
        <v>10.333664000000001</v>
      </c>
      <c r="O116">
        <v>10.115186</v>
      </c>
      <c r="P116">
        <v>10.392421000000001</v>
      </c>
      <c r="Q116">
        <v>11.003133</v>
      </c>
      <c r="R116">
        <v>10.267728</v>
      </c>
      <c r="S116">
        <v>6.5218945000000001</v>
      </c>
      <c r="T116">
        <v>9.5238650000000007</v>
      </c>
      <c r="U116">
        <v>9.5692699999999995</v>
      </c>
      <c r="V116">
        <v>9.6785589999999999</v>
      </c>
      <c r="W116">
        <v>9.8376830000000002</v>
      </c>
      <c r="X116">
        <v>9.6589170000000006</v>
      </c>
      <c r="Y116">
        <v>8.4395380000000007</v>
      </c>
      <c r="Z116">
        <v>9.5399999999999991</v>
      </c>
      <c r="AA116">
        <v>9.9791139999999992</v>
      </c>
      <c r="AB116">
        <v>9.0435680000000005</v>
      </c>
      <c r="AC116">
        <v>6.5801309999999997</v>
      </c>
      <c r="AD116">
        <v>10.139378000000001</v>
      </c>
      <c r="AE116">
        <v>10.041465000000001</v>
      </c>
      <c r="AF116">
        <v>10.144080000000001</v>
      </c>
      <c r="AG116">
        <v>9.7225239999999999</v>
      </c>
    </row>
    <row r="117" spans="1:33" x14ac:dyDescent="0.25">
      <c r="A117" s="1">
        <v>44168</v>
      </c>
      <c r="B117">
        <v>10.320701</v>
      </c>
      <c r="C117">
        <v>10.896222</v>
      </c>
      <c r="D117">
        <v>10.524519</v>
      </c>
      <c r="E117">
        <v>10.487447</v>
      </c>
      <c r="F117">
        <v>11.111446000000001</v>
      </c>
      <c r="G117">
        <v>11.228675000000001</v>
      </c>
      <c r="H117">
        <v>12.568643</v>
      </c>
      <c r="I117">
        <v>10.545728</v>
      </c>
      <c r="J117">
        <v>8.9724930000000001</v>
      </c>
      <c r="K117">
        <v>10.263422</v>
      </c>
      <c r="L117">
        <v>10.076517000000001</v>
      </c>
      <c r="M117">
        <v>11.124091</v>
      </c>
      <c r="N117">
        <v>10.199472999999999</v>
      </c>
      <c r="O117">
        <v>10.040559</v>
      </c>
      <c r="P117">
        <v>10.288677</v>
      </c>
      <c r="Q117">
        <v>10.910933999999999</v>
      </c>
      <c r="R117">
        <v>10.179027</v>
      </c>
      <c r="S117">
        <v>6.5737839999999998</v>
      </c>
      <c r="T117">
        <v>9.4203759999999992</v>
      </c>
      <c r="U117">
        <v>9.4816900000000004</v>
      </c>
      <c r="V117">
        <v>9.5821679999999994</v>
      </c>
      <c r="W117">
        <v>9.7653239999999997</v>
      </c>
      <c r="X117">
        <v>9.5789795000000009</v>
      </c>
      <c r="Y117">
        <v>8.0495280000000005</v>
      </c>
      <c r="Z117">
        <v>9.4765730000000001</v>
      </c>
      <c r="AA117">
        <v>9.8673579999999994</v>
      </c>
      <c r="AB117">
        <v>9.0036799999999992</v>
      </c>
      <c r="AC117">
        <v>6.553903</v>
      </c>
      <c r="AD117">
        <v>10.047181999999999</v>
      </c>
      <c r="AE117">
        <v>10.025409</v>
      </c>
      <c r="AF117">
        <v>10.027620000000001</v>
      </c>
      <c r="AG117">
        <v>9.6069279999999999</v>
      </c>
    </row>
    <row r="118" spans="1:33" x14ac:dyDescent="0.25">
      <c r="A118" s="1">
        <v>44169</v>
      </c>
      <c r="B118">
        <v>10.215375</v>
      </c>
      <c r="C118">
        <v>10.767016999999999</v>
      </c>
      <c r="D118">
        <v>10.457202000000001</v>
      </c>
      <c r="E118">
        <v>10.400739</v>
      </c>
      <c r="F118">
        <v>11.057774999999999</v>
      </c>
      <c r="G118">
        <v>11.13165</v>
      </c>
      <c r="H118">
        <v>12.548017</v>
      </c>
      <c r="I118">
        <v>10.581357000000001</v>
      </c>
      <c r="J118">
        <v>8.9816240000000001</v>
      </c>
      <c r="K118">
        <v>10.152996</v>
      </c>
      <c r="L118">
        <v>9.9761760000000006</v>
      </c>
      <c r="M118">
        <v>11.044581000000001</v>
      </c>
      <c r="N118">
        <v>10.050215</v>
      </c>
      <c r="O118">
        <v>9.9580690000000001</v>
      </c>
      <c r="P118">
        <v>10.172537999999999</v>
      </c>
      <c r="Q118">
        <v>10.791199000000001</v>
      </c>
      <c r="R118">
        <v>10.071205000000001</v>
      </c>
      <c r="S118">
        <v>6.5591540000000004</v>
      </c>
      <c r="T118">
        <v>9.3190369999999998</v>
      </c>
      <c r="U118">
        <v>9.3967139999999993</v>
      </c>
      <c r="V118">
        <v>9.5231309999999993</v>
      </c>
      <c r="W118">
        <v>9.7688279999999992</v>
      </c>
      <c r="X118">
        <v>9.5167230000000007</v>
      </c>
      <c r="Y118">
        <v>8.1171290000000003</v>
      </c>
      <c r="Z118">
        <v>9.3922050000000006</v>
      </c>
      <c r="AA118">
        <v>9.7530710000000003</v>
      </c>
      <c r="AB118">
        <v>8.7574719999999999</v>
      </c>
      <c r="AC118">
        <v>6.5557322999999998</v>
      </c>
      <c r="AD118">
        <v>9.9520140000000001</v>
      </c>
      <c r="AE118">
        <v>10.351988</v>
      </c>
      <c r="AF118">
        <v>9.9002739999999996</v>
      </c>
      <c r="AG118">
        <v>9.4789349999999999</v>
      </c>
    </row>
    <row r="119" spans="1:33" x14ac:dyDescent="0.25">
      <c r="A119" s="1">
        <v>44170</v>
      </c>
      <c r="B119">
        <v>10.1048765</v>
      </c>
      <c r="C119">
        <v>10.658598</v>
      </c>
      <c r="D119">
        <v>10.371252</v>
      </c>
      <c r="E119">
        <v>10.308116999999999</v>
      </c>
      <c r="F119">
        <v>10.988728999999999</v>
      </c>
      <c r="G119">
        <v>11.098672000000001</v>
      </c>
      <c r="H119">
        <v>12.57648</v>
      </c>
      <c r="I119">
        <v>10.572974</v>
      </c>
      <c r="J119">
        <v>8.8718880000000002</v>
      </c>
      <c r="K119">
        <v>10.053402</v>
      </c>
      <c r="L119">
        <v>9.8929930000000006</v>
      </c>
      <c r="M119">
        <v>10.983325000000001</v>
      </c>
      <c r="N119">
        <v>9.9606159999999999</v>
      </c>
      <c r="O119">
        <v>9.8819389999999991</v>
      </c>
      <c r="P119">
        <v>10.074973</v>
      </c>
      <c r="Q119">
        <v>10.720765</v>
      </c>
      <c r="R119">
        <v>9.9905290000000004</v>
      </c>
      <c r="S119">
        <v>6.5211569999999996</v>
      </c>
      <c r="T119">
        <v>9.2670759999999994</v>
      </c>
      <c r="U119">
        <v>9.2485959999999992</v>
      </c>
      <c r="V119">
        <v>9.4777799999999992</v>
      </c>
      <c r="W119">
        <v>9.7536819999999995</v>
      </c>
      <c r="X119">
        <v>9.4977129999999992</v>
      </c>
      <c r="Y119">
        <v>8.2374519999999993</v>
      </c>
      <c r="Z119">
        <v>9.2743079999999996</v>
      </c>
      <c r="AA119">
        <v>9.6243940000000006</v>
      </c>
      <c r="AB119">
        <v>8.7411340000000006</v>
      </c>
      <c r="AC119">
        <v>6.6368660000000004</v>
      </c>
      <c r="AD119">
        <v>9.8624580000000002</v>
      </c>
      <c r="AE119">
        <v>10.267929000000001</v>
      </c>
      <c r="AF119">
        <v>9.7866979999999995</v>
      </c>
      <c r="AG119">
        <v>9.3285750000000007</v>
      </c>
    </row>
    <row r="120" spans="1:33" x14ac:dyDescent="0.25">
      <c r="A120" s="1">
        <v>44171</v>
      </c>
      <c r="B120">
        <v>9.9901269999999993</v>
      </c>
      <c r="C120">
        <v>10.511631</v>
      </c>
      <c r="D120">
        <v>10.222060000000001</v>
      </c>
      <c r="E120">
        <v>10.12876</v>
      </c>
      <c r="F120">
        <v>10.917740999999999</v>
      </c>
      <c r="G120">
        <v>10.935077</v>
      </c>
      <c r="H120">
        <v>12.445033</v>
      </c>
      <c r="I120">
        <v>10.420424000000001</v>
      </c>
      <c r="J120">
        <v>8.6927269999999996</v>
      </c>
      <c r="K120">
        <v>9.9243780000000008</v>
      </c>
      <c r="L120">
        <v>9.7684239999999996</v>
      </c>
      <c r="M120">
        <v>10.812405</v>
      </c>
      <c r="N120">
        <v>9.7754755000000007</v>
      </c>
      <c r="O120">
        <v>9.7817589999999992</v>
      </c>
      <c r="P120">
        <v>9.9376979999999993</v>
      </c>
      <c r="Q120">
        <v>10.561271</v>
      </c>
      <c r="R120">
        <v>9.8766960000000008</v>
      </c>
      <c r="S120">
        <v>6.4057709999999997</v>
      </c>
      <c r="T120">
        <v>9.1876745</v>
      </c>
      <c r="U120">
        <v>9.1598109999999995</v>
      </c>
      <c r="V120">
        <v>9.456251</v>
      </c>
      <c r="W120">
        <v>9.7877379999999992</v>
      </c>
      <c r="X120">
        <v>9.5029520000000005</v>
      </c>
      <c r="Y120">
        <v>8.0943830000000005</v>
      </c>
      <c r="Z120">
        <v>9.1185539999999996</v>
      </c>
      <c r="AA120">
        <v>9.4543909999999993</v>
      </c>
      <c r="AB120">
        <v>8.6436700000000002</v>
      </c>
      <c r="AC120">
        <v>6.7270336000000004</v>
      </c>
      <c r="AD120">
        <v>9.7193769999999997</v>
      </c>
      <c r="AE120">
        <v>10.219946999999999</v>
      </c>
      <c r="AF120">
        <v>9.6263170000000002</v>
      </c>
      <c r="AG120">
        <v>9.1366650000000007</v>
      </c>
    </row>
    <row r="121" spans="1:33" x14ac:dyDescent="0.25">
      <c r="A121" s="1">
        <v>44172</v>
      </c>
      <c r="B121">
        <v>9.9315390000000008</v>
      </c>
      <c r="C121">
        <v>10.385866999999999</v>
      </c>
      <c r="D121">
        <v>10.069806</v>
      </c>
      <c r="E121">
        <v>9.9983740000000001</v>
      </c>
      <c r="F121">
        <v>10.841714</v>
      </c>
      <c r="G121">
        <v>10.796561000000001</v>
      </c>
      <c r="H121">
        <v>12.300789999999999</v>
      </c>
      <c r="I121">
        <v>10.430807</v>
      </c>
      <c r="J121">
        <v>8.6037520000000001</v>
      </c>
      <c r="K121">
        <v>9.7946980000000003</v>
      </c>
      <c r="L121">
        <v>9.6018170000000005</v>
      </c>
      <c r="M121">
        <v>10.670247</v>
      </c>
      <c r="N121">
        <v>9.5405990000000003</v>
      </c>
      <c r="O121">
        <v>9.680631</v>
      </c>
      <c r="P121">
        <v>9.8025465000000001</v>
      </c>
      <c r="Q121">
        <v>10.405566</v>
      </c>
      <c r="R121">
        <v>9.7290969999999994</v>
      </c>
      <c r="S121">
        <v>6.4155917000000002</v>
      </c>
      <c r="T121">
        <v>9.0921979999999998</v>
      </c>
      <c r="U121">
        <v>9.0140170000000008</v>
      </c>
      <c r="V121">
        <v>9.3783045000000005</v>
      </c>
      <c r="W121">
        <v>9.7665900000000008</v>
      </c>
      <c r="X121">
        <v>9.4351280000000006</v>
      </c>
      <c r="Y121">
        <v>7.7197110000000002</v>
      </c>
      <c r="Z121">
        <v>8.9761520000000008</v>
      </c>
      <c r="AA121">
        <v>9.3122690000000006</v>
      </c>
      <c r="AB121">
        <v>8.3126379999999997</v>
      </c>
      <c r="AC121">
        <v>6.7665977000000002</v>
      </c>
      <c r="AD121">
        <v>9.5739169999999998</v>
      </c>
      <c r="AE121">
        <v>10.391387999999999</v>
      </c>
      <c r="AF121">
        <v>9.4348100000000006</v>
      </c>
      <c r="AG121">
        <v>8.9834099999999992</v>
      </c>
    </row>
    <row r="122" spans="1:33" x14ac:dyDescent="0.25">
      <c r="A122" s="1">
        <v>44173</v>
      </c>
      <c r="B122">
        <v>10.012325000000001</v>
      </c>
      <c r="C122">
        <v>10.35187</v>
      </c>
      <c r="D122">
        <v>9.9997779999999992</v>
      </c>
      <c r="E122">
        <v>10.015644</v>
      </c>
      <c r="F122">
        <v>10.860085</v>
      </c>
      <c r="G122">
        <v>10.774056</v>
      </c>
      <c r="H122">
        <v>12.446313</v>
      </c>
      <c r="I122">
        <v>10.499458000000001</v>
      </c>
      <c r="J122">
        <v>8.6715555000000002</v>
      </c>
      <c r="K122">
        <v>9.7843520000000002</v>
      </c>
      <c r="L122">
        <v>9.5696410000000007</v>
      </c>
      <c r="M122">
        <v>10.612927000000001</v>
      </c>
      <c r="N122">
        <v>9.5711429999999993</v>
      </c>
      <c r="O122">
        <v>9.6661005000000007</v>
      </c>
      <c r="P122">
        <v>9.7733620000000005</v>
      </c>
      <c r="Q122">
        <v>10.357196</v>
      </c>
      <c r="R122">
        <v>9.7530479999999997</v>
      </c>
      <c r="S122">
        <v>6.481636</v>
      </c>
      <c r="T122">
        <v>9.1562110000000008</v>
      </c>
      <c r="U122">
        <v>8.9579389999999997</v>
      </c>
      <c r="V122">
        <v>9.5141480000000005</v>
      </c>
      <c r="W122">
        <v>9.7760840000000009</v>
      </c>
      <c r="X122">
        <v>9.5786494999999992</v>
      </c>
      <c r="Y122">
        <v>7.8143380000000002</v>
      </c>
      <c r="Z122">
        <v>8.9472360000000002</v>
      </c>
      <c r="AA122">
        <v>9.2995439999999991</v>
      </c>
      <c r="AB122">
        <v>8.3677259999999993</v>
      </c>
      <c r="AC122">
        <v>6.7894363000000002</v>
      </c>
      <c r="AD122">
        <v>9.54148</v>
      </c>
      <c r="AE122">
        <v>10.607604</v>
      </c>
      <c r="AF122">
        <v>9.3163579999999993</v>
      </c>
      <c r="AG122">
        <v>9.0216069999999995</v>
      </c>
    </row>
    <row r="123" spans="1:33" x14ac:dyDescent="0.25">
      <c r="A123" s="1">
        <v>44174</v>
      </c>
      <c r="B123">
        <v>9.8040540000000007</v>
      </c>
      <c r="C123">
        <v>10.252103</v>
      </c>
      <c r="D123">
        <v>9.9366240000000001</v>
      </c>
      <c r="E123">
        <v>9.9430510000000005</v>
      </c>
      <c r="F123">
        <v>10.772081999999999</v>
      </c>
      <c r="G123">
        <v>10.751811999999999</v>
      </c>
      <c r="H123">
        <v>12.474899000000001</v>
      </c>
      <c r="I123">
        <v>10.407980999999999</v>
      </c>
      <c r="J123">
        <v>8.5374590000000001</v>
      </c>
      <c r="K123">
        <v>9.7114039999999999</v>
      </c>
      <c r="L123">
        <v>9.4390669999999997</v>
      </c>
      <c r="M123">
        <v>10.550390999999999</v>
      </c>
      <c r="N123">
        <v>9.5289300000000008</v>
      </c>
      <c r="O123">
        <v>9.542389</v>
      </c>
      <c r="P123">
        <v>9.7115629999999999</v>
      </c>
      <c r="Q123">
        <v>10.298019999999999</v>
      </c>
      <c r="R123">
        <v>9.6545129999999997</v>
      </c>
      <c r="S123">
        <v>6.3144400000000003</v>
      </c>
      <c r="T123">
        <v>9.1318520000000003</v>
      </c>
      <c r="U123">
        <v>8.8511199999999999</v>
      </c>
      <c r="V123">
        <v>9.4974740000000004</v>
      </c>
      <c r="W123">
        <v>9.6950439999999993</v>
      </c>
      <c r="X123">
        <v>9.5575399999999995</v>
      </c>
      <c r="Y123">
        <v>7.884379</v>
      </c>
      <c r="Z123">
        <v>8.8633109999999995</v>
      </c>
      <c r="AA123">
        <v>9.2055950000000006</v>
      </c>
      <c r="AB123">
        <v>8.3859239999999993</v>
      </c>
      <c r="AC123">
        <v>6.7206020000000004</v>
      </c>
      <c r="AD123">
        <v>9.4569899999999993</v>
      </c>
      <c r="AE123">
        <v>10.347631</v>
      </c>
      <c r="AF123">
        <v>9.1854859999999992</v>
      </c>
      <c r="AG123">
        <v>8.8847939999999994</v>
      </c>
    </row>
    <row r="124" spans="1:33" x14ac:dyDescent="0.25">
      <c r="A124" s="1">
        <v>44175</v>
      </c>
      <c r="B124">
        <v>9.7763190000000009</v>
      </c>
      <c r="C124">
        <v>10.211413</v>
      </c>
      <c r="D124">
        <v>9.9627189999999999</v>
      </c>
      <c r="E124">
        <v>9.9769050000000004</v>
      </c>
      <c r="F124">
        <v>10.775124</v>
      </c>
      <c r="G124">
        <v>10.830924</v>
      </c>
      <c r="H124">
        <v>12.701307999999999</v>
      </c>
      <c r="I124">
        <v>10.365294</v>
      </c>
      <c r="J124">
        <v>8.539142</v>
      </c>
      <c r="K124">
        <v>9.6479225</v>
      </c>
      <c r="L124">
        <v>9.3831319999999998</v>
      </c>
      <c r="M124">
        <v>10.604191999999999</v>
      </c>
      <c r="N124">
        <v>9.5541079999999994</v>
      </c>
      <c r="O124">
        <v>9.4988290000000006</v>
      </c>
      <c r="P124">
        <v>9.6661560000000009</v>
      </c>
      <c r="Q124">
        <v>10.363937</v>
      </c>
      <c r="R124">
        <v>9.5929680000000008</v>
      </c>
      <c r="S124">
        <v>6.4043640000000002</v>
      </c>
      <c r="T124">
        <v>9.1339679999999994</v>
      </c>
      <c r="U124">
        <v>8.7842040000000008</v>
      </c>
      <c r="V124">
        <v>9.4284110000000005</v>
      </c>
      <c r="W124">
        <v>9.7348230000000004</v>
      </c>
      <c r="X124">
        <v>9.4702634999999997</v>
      </c>
      <c r="Y124">
        <v>8.0410740000000001</v>
      </c>
      <c r="Z124">
        <v>8.8013589999999997</v>
      </c>
      <c r="AA124">
        <v>9.1132200000000001</v>
      </c>
      <c r="AB124">
        <v>8.4896569999999993</v>
      </c>
      <c r="AC124">
        <v>6.6946225000000004</v>
      </c>
      <c r="AD124">
        <v>9.3957990000000002</v>
      </c>
      <c r="AE124">
        <v>10.316820999999999</v>
      </c>
      <c r="AF124">
        <v>9.1110910000000001</v>
      </c>
      <c r="AG124">
        <v>8.7893980000000003</v>
      </c>
    </row>
    <row r="125" spans="1:33" x14ac:dyDescent="0.25">
      <c r="A125" s="1">
        <v>44176</v>
      </c>
      <c r="B125">
        <v>9.3666450000000001</v>
      </c>
      <c r="C125">
        <v>10.106282</v>
      </c>
      <c r="D125">
        <v>9.8276830000000004</v>
      </c>
      <c r="E125">
        <v>9.8180894999999992</v>
      </c>
      <c r="F125">
        <v>10.468438000000001</v>
      </c>
      <c r="G125">
        <v>10.674602500000001</v>
      </c>
      <c r="H125">
        <v>12.407315000000001</v>
      </c>
      <c r="I125">
        <v>9.9053319999999996</v>
      </c>
      <c r="J125">
        <v>8.3354750000000006</v>
      </c>
      <c r="K125">
        <v>9.4790720000000004</v>
      </c>
      <c r="L125">
        <v>9.2206259999999993</v>
      </c>
      <c r="M125">
        <v>10.44885</v>
      </c>
      <c r="N125">
        <v>9.4352979999999995</v>
      </c>
      <c r="O125">
        <v>9.347289</v>
      </c>
      <c r="P125">
        <v>9.5229844999999997</v>
      </c>
      <c r="Q125">
        <v>10.217307</v>
      </c>
      <c r="R125">
        <v>9.4242799999999995</v>
      </c>
      <c r="S125">
        <v>6.2419114000000002</v>
      </c>
      <c r="T125">
        <v>9.008699</v>
      </c>
      <c r="U125">
        <v>8.6361310000000007</v>
      </c>
      <c r="V125">
        <v>9.2757500000000004</v>
      </c>
      <c r="W125">
        <v>9.6386660000000006</v>
      </c>
      <c r="X125">
        <v>9.3343880000000006</v>
      </c>
      <c r="Y125">
        <v>7.9230830000000001</v>
      </c>
      <c r="Z125">
        <v>8.6636819999999997</v>
      </c>
      <c r="AA125">
        <v>8.9482239999999997</v>
      </c>
      <c r="AB125">
        <v>8.369866</v>
      </c>
      <c r="AC125">
        <v>6.6182100000000004</v>
      </c>
      <c r="AD125">
        <v>9.2509390000000007</v>
      </c>
      <c r="AE125">
        <v>10.039593</v>
      </c>
      <c r="AF125">
        <v>8.9286290000000008</v>
      </c>
      <c r="AG125">
        <v>8.6303590000000003</v>
      </c>
    </row>
    <row r="126" spans="1:33" x14ac:dyDescent="0.25">
      <c r="A126" s="1">
        <v>44177</v>
      </c>
      <c r="B126">
        <v>9.7644380000000002</v>
      </c>
      <c r="C126">
        <v>10.217834</v>
      </c>
      <c r="D126">
        <v>9.9381050000000002</v>
      </c>
      <c r="E126">
        <v>10.027552999999999</v>
      </c>
      <c r="F126">
        <v>10.708482</v>
      </c>
      <c r="G126">
        <v>10.706286</v>
      </c>
      <c r="H126">
        <v>12.427714</v>
      </c>
      <c r="I126">
        <v>10.304893</v>
      </c>
      <c r="J126">
        <v>8.6975049999999996</v>
      </c>
      <c r="K126">
        <v>9.5274669999999997</v>
      </c>
      <c r="L126">
        <v>9.3188809999999993</v>
      </c>
      <c r="M126">
        <v>10.510954999999999</v>
      </c>
      <c r="N126">
        <v>9.5522620000000007</v>
      </c>
      <c r="O126">
        <v>9.4409010000000002</v>
      </c>
      <c r="P126">
        <v>9.5532400000000006</v>
      </c>
      <c r="Q126">
        <v>10.289061999999999</v>
      </c>
      <c r="R126">
        <v>9.4728630000000003</v>
      </c>
      <c r="S126">
        <v>6.7920765999999997</v>
      </c>
      <c r="T126">
        <v>9.0908350000000002</v>
      </c>
      <c r="U126">
        <v>8.7263350000000006</v>
      </c>
      <c r="V126">
        <v>9.4641450000000003</v>
      </c>
      <c r="W126">
        <v>9.6200285000000001</v>
      </c>
      <c r="X126">
        <v>9.580508</v>
      </c>
      <c r="Y126">
        <v>8.111008</v>
      </c>
      <c r="Z126">
        <v>8.8108129999999996</v>
      </c>
      <c r="AA126">
        <v>9.0390999999999995</v>
      </c>
      <c r="AB126">
        <v>8.5221009999999993</v>
      </c>
      <c r="AC126">
        <v>6.8960039999999996</v>
      </c>
      <c r="AD126">
        <v>9.2869399999999995</v>
      </c>
      <c r="AE126">
        <v>10.345756</v>
      </c>
      <c r="AF126">
        <v>8.9280369999999998</v>
      </c>
      <c r="AG126">
        <v>8.8941940000000006</v>
      </c>
    </row>
    <row r="127" spans="1:33" x14ac:dyDescent="0.25">
      <c r="A127" s="1">
        <v>44178</v>
      </c>
      <c r="B127">
        <v>9.6981669999999998</v>
      </c>
      <c r="C127">
        <v>10.085129</v>
      </c>
      <c r="D127">
        <v>10.047166000000001</v>
      </c>
      <c r="E127">
        <v>10.167884000000001</v>
      </c>
      <c r="F127">
        <v>10.572913</v>
      </c>
      <c r="G127">
        <v>10.700812000000001</v>
      </c>
      <c r="H127">
        <v>12.345332000000001</v>
      </c>
      <c r="I127">
        <v>10.405339</v>
      </c>
      <c r="J127">
        <v>8.8605820000000008</v>
      </c>
      <c r="K127">
        <v>9.4967299999999994</v>
      </c>
      <c r="L127">
        <v>9.2827559999999991</v>
      </c>
      <c r="M127">
        <v>10.495366000000001</v>
      </c>
      <c r="N127">
        <v>9.5636510000000001</v>
      </c>
      <c r="O127">
        <v>9.4021699999999999</v>
      </c>
      <c r="P127">
        <v>9.5248670000000004</v>
      </c>
      <c r="Q127">
        <v>10.27707</v>
      </c>
      <c r="R127">
        <v>9.4246759999999998</v>
      </c>
      <c r="S127">
        <v>7.2122172999999998</v>
      </c>
      <c r="T127">
        <v>9.1540949999999999</v>
      </c>
      <c r="U127">
        <v>8.6996409999999997</v>
      </c>
      <c r="V127">
        <v>9.4447890000000001</v>
      </c>
      <c r="W127">
        <v>9.6227359999999997</v>
      </c>
      <c r="X127">
        <v>9.5010209999999997</v>
      </c>
      <c r="Y127">
        <v>8.0637500000000006</v>
      </c>
      <c r="Z127">
        <v>8.9245950000000001</v>
      </c>
      <c r="AA127">
        <v>9.0317070000000008</v>
      </c>
      <c r="AB127">
        <v>8.4438619999999993</v>
      </c>
      <c r="AC127">
        <v>7.2715964</v>
      </c>
      <c r="AD127">
        <v>9.2716609999999999</v>
      </c>
      <c r="AE127">
        <v>10.7869215</v>
      </c>
      <c r="AF127">
        <v>8.8040299999999991</v>
      </c>
      <c r="AG127">
        <v>8.8836429999999993</v>
      </c>
    </row>
    <row r="128" spans="1:33" x14ac:dyDescent="0.25">
      <c r="A128" s="1">
        <v>44179</v>
      </c>
      <c r="B128">
        <v>9.480696</v>
      </c>
      <c r="C128">
        <v>9.9831850000000006</v>
      </c>
      <c r="D128">
        <v>10.003470999999999</v>
      </c>
      <c r="E128">
        <v>10.099489999999999</v>
      </c>
      <c r="F128">
        <v>10.421438</v>
      </c>
      <c r="G128">
        <v>10.524376999999999</v>
      </c>
      <c r="H128">
        <v>12.12529</v>
      </c>
      <c r="I128">
        <v>10.131788999999999</v>
      </c>
      <c r="J128">
        <v>8.8154079999999997</v>
      </c>
      <c r="K128">
        <v>9.4000520000000005</v>
      </c>
      <c r="L128">
        <v>9.2105429999999995</v>
      </c>
      <c r="M128">
        <v>10.343833</v>
      </c>
      <c r="N128">
        <v>9.4436309999999999</v>
      </c>
      <c r="O128">
        <v>9.3136949999999992</v>
      </c>
      <c r="P128">
        <v>9.4386679999999998</v>
      </c>
      <c r="Q128">
        <v>10.147352</v>
      </c>
      <c r="R128">
        <v>9.3348250000000004</v>
      </c>
      <c r="S128">
        <v>7.4674095999999999</v>
      </c>
      <c r="T128">
        <v>9.0967590000000005</v>
      </c>
      <c r="U128">
        <v>8.6857050000000005</v>
      </c>
      <c r="V128">
        <v>9.3686959999999999</v>
      </c>
      <c r="W128">
        <v>9.750337</v>
      </c>
      <c r="X128">
        <v>9.4274660000000008</v>
      </c>
      <c r="Y128">
        <v>8.0684159999999991</v>
      </c>
      <c r="Z128">
        <v>8.9452610000000004</v>
      </c>
      <c r="AA128">
        <v>8.9721799999999998</v>
      </c>
      <c r="AB128">
        <v>8.4640769999999996</v>
      </c>
      <c r="AC128">
        <v>7.7563013999999999</v>
      </c>
      <c r="AD128">
        <v>9.2083329999999997</v>
      </c>
      <c r="AE128">
        <v>10.773774</v>
      </c>
      <c r="AF128">
        <v>8.6878139999999995</v>
      </c>
      <c r="AG128">
        <v>8.7846220000000006</v>
      </c>
    </row>
    <row r="129" spans="1:33" x14ac:dyDescent="0.25">
      <c r="A129" s="1">
        <v>44180</v>
      </c>
      <c r="B129">
        <v>9.4184999999999999</v>
      </c>
      <c r="C129">
        <v>9.8553979999999992</v>
      </c>
      <c r="D129">
        <v>9.8847199999999997</v>
      </c>
      <c r="E129">
        <v>9.9448050000000006</v>
      </c>
      <c r="F129">
        <v>10.232964000000001</v>
      </c>
      <c r="G129">
        <v>10.318313</v>
      </c>
      <c r="H129">
        <v>11.835495999999999</v>
      </c>
      <c r="I129">
        <v>9.9809660000000004</v>
      </c>
      <c r="J129">
        <v>8.6391050000000007</v>
      </c>
      <c r="K129">
        <v>9.2950379999999999</v>
      </c>
      <c r="L129">
        <v>9.088317</v>
      </c>
      <c r="M129">
        <v>10.181144</v>
      </c>
      <c r="N129">
        <v>9.3589199999999995</v>
      </c>
      <c r="O129">
        <v>9.1973070000000003</v>
      </c>
      <c r="P129">
        <v>9.3384619999999998</v>
      </c>
      <c r="Q129">
        <v>9.9664959999999994</v>
      </c>
      <c r="R129">
        <v>9.2238439999999997</v>
      </c>
      <c r="S129">
        <v>7.170712</v>
      </c>
      <c r="T129">
        <v>8.9890784999999997</v>
      </c>
      <c r="U129">
        <v>8.5787010000000006</v>
      </c>
      <c r="V129">
        <v>9.3519950000000005</v>
      </c>
      <c r="W129">
        <v>9.8250299999999999</v>
      </c>
      <c r="X129">
        <v>9.4184699999999992</v>
      </c>
      <c r="Y129">
        <v>8.0380749999999992</v>
      </c>
      <c r="Z129">
        <v>8.8855979999999999</v>
      </c>
      <c r="AA129">
        <v>8.8723069999999993</v>
      </c>
      <c r="AB129">
        <v>8.2992939999999997</v>
      </c>
      <c r="AC129">
        <v>11.469158999999999</v>
      </c>
      <c r="AD129">
        <v>9.1031200000000005</v>
      </c>
      <c r="AE129">
        <v>10.659414999999999</v>
      </c>
      <c r="AF129">
        <v>8.4668069999999993</v>
      </c>
      <c r="AG129">
        <v>8.6231139999999993</v>
      </c>
    </row>
    <row r="130" spans="1:33" x14ac:dyDescent="0.25">
      <c r="A130" s="1">
        <v>44181</v>
      </c>
      <c r="B130">
        <v>9.4544499999999996</v>
      </c>
      <c r="C130">
        <v>9.7824840000000002</v>
      </c>
      <c r="D130">
        <v>9.74404</v>
      </c>
      <c r="E130">
        <v>9.8497304999999997</v>
      </c>
      <c r="F130">
        <v>10.137551</v>
      </c>
      <c r="G130">
        <v>10.203514999999999</v>
      </c>
      <c r="H130">
        <v>11.677845</v>
      </c>
      <c r="I130">
        <v>9.9452809999999996</v>
      </c>
      <c r="J130">
        <v>8.6494940000000007</v>
      </c>
      <c r="K130">
        <v>9.2536000000000005</v>
      </c>
      <c r="L130">
        <v>9.066376</v>
      </c>
      <c r="M130">
        <v>10.074196000000001</v>
      </c>
      <c r="N130">
        <v>9.3207529999999998</v>
      </c>
      <c r="O130">
        <v>9.1983230000000002</v>
      </c>
      <c r="P130">
        <v>9.2870699999999999</v>
      </c>
      <c r="Q130">
        <v>9.8638030000000008</v>
      </c>
      <c r="R130">
        <v>9.2030110000000001</v>
      </c>
      <c r="S130">
        <v>7.0753539999999999</v>
      </c>
      <c r="T130">
        <v>9.0281160000000007</v>
      </c>
      <c r="U130">
        <v>8.6060704999999995</v>
      </c>
      <c r="V130">
        <v>9.5536010000000005</v>
      </c>
      <c r="W130">
        <v>9.6525259999999999</v>
      </c>
      <c r="X130">
        <v>9.6572379999999995</v>
      </c>
      <c r="Y130">
        <v>8.1689609999999995</v>
      </c>
      <c r="Z130">
        <v>8.8955020000000005</v>
      </c>
      <c r="AA130">
        <v>8.8319080000000003</v>
      </c>
      <c r="AB130">
        <v>8.3431010000000008</v>
      </c>
      <c r="AC130">
        <v>15.360757</v>
      </c>
      <c r="AD130">
        <v>9.0686049999999998</v>
      </c>
      <c r="AE130">
        <v>10.421298999999999</v>
      </c>
      <c r="AF130">
        <v>8.340541</v>
      </c>
      <c r="AG130">
        <v>8.5954080000000008</v>
      </c>
    </row>
    <row r="131" spans="1:33" x14ac:dyDescent="0.25">
      <c r="A131" s="1">
        <v>44182</v>
      </c>
      <c r="B131">
        <v>9.7212840000000007</v>
      </c>
      <c r="C131">
        <v>9.8539209999999997</v>
      </c>
      <c r="D131">
        <v>9.7587440000000001</v>
      </c>
      <c r="E131">
        <v>9.9348954999999997</v>
      </c>
      <c r="F131">
        <v>10.297245999999999</v>
      </c>
      <c r="G131">
        <v>10.285989000000001</v>
      </c>
      <c r="H131">
        <v>11.947118</v>
      </c>
      <c r="I131">
        <v>10.195724999999999</v>
      </c>
      <c r="J131">
        <v>9.0348620000000004</v>
      </c>
      <c r="K131">
        <v>9.3438219999999994</v>
      </c>
      <c r="L131">
        <v>9.1978500000000007</v>
      </c>
      <c r="M131">
        <v>10.179505000000001</v>
      </c>
      <c r="N131">
        <v>9.4255370000000003</v>
      </c>
      <c r="O131">
        <v>9.3283170000000002</v>
      </c>
      <c r="P131">
        <v>9.3761119999999991</v>
      </c>
      <c r="Q131">
        <v>9.9358170000000001</v>
      </c>
      <c r="R131">
        <v>9.2908550000000005</v>
      </c>
      <c r="S131">
        <v>7.5614952999999998</v>
      </c>
      <c r="T131">
        <v>9.2440680000000004</v>
      </c>
      <c r="U131">
        <v>8.8212399999999995</v>
      </c>
      <c r="V131">
        <v>9.6894189999999991</v>
      </c>
      <c r="W131">
        <v>9.8840909999999997</v>
      </c>
      <c r="X131">
        <v>9.8134029999999992</v>
      </c>
      <c r="Y131">
        <v>9.2422350000000009</v>
      </c>
      <c r="Z131">
        <v>9.0950749999999996</v>
      </c>
      <c r="AA131">
        <v>8.9780339999999992</v>
      </c>
      <c r="AB131">
        <v>8.8377020000000002</v>
      </c>
      <c r="AC131">
        <v>15.162549</v>
      </c>
      <c r="AD131">
        <v>9.1831219999999991</v>
      </c>
      <c r="AE131">
        <v>10.904607</v>
      </c>
      <c r="AF131">
        <v>8.3924640000000004</v>
      </c>
      <c r="AG131">
        <v>8.8285149999999994</v>
      </c>
    </row>
    <row r="132" spans="1:33" x14ac:dyDescent="0.25">
      <c r="A132" s="1">
        <v>44183</v>
      </c>
      <c r="B132">
        <v>9.4244199999999996</v>
      </c>
      <c r="C132">
        <v>9.7620459999999998</v>
      </c>
      <c r="D132">
        <v>9.5935579999999998</v>
      </c>
      <c r="E132">
        <v>9.6685929999999995</v>
      </c>
      <c r="F132">
        <v>10.10378</v>
      </c>
      <c r="G132">
        <v>10.067925000000001</v>
      </c>
      <c r="H132">
        <v>11.521159000000001</v>
      </c>
      <c r="I132">
        <v>9.9829799999999995</v>
      </c>
      <c r="J132">
        <v>8.7328290000000006</v>
      </c>
      <c r="K132">
        <v>9.2723359999999992</v>
      </c>
      <c r="L132">
        <v>9.1281079999999992</v>
      </c>
      <c r="M132">
        <v>9.9711599999999994</v>
      </c>
      <c r="N132">
        <v>9.3451740000000001</v>
      </c>
      <c r="O132">
        <v>9.2617890000000003</v>
      </c>
      <c r="P132">
        <v>9.2997460000000007</v>
      </c>
      <c r="Q132">
        <v>9.7642889999999998</v>
      </c>
      <c r="R132">
        <v>9.2087780000000006</v>
      </c>
      <c r="S132">
        <v>7.2278323000000002</v>
      </c>
      <c r="T132">
        <v>9.2065000000000001</v>
      </c>
      <c r="U132">
        <v>8.6952040000000004</v>
      </c>
      <c r="V132">
        <v>9.5439190000000007</v>
      </c>
      <c r="W132">
        <v>9.884093</v>
      </c>
      <c r="X132">
        <v>9.6136929999999996</v>
      </c>
      <c r="Y132">
        <v>10.754047999999999</v>
      </c>
      <c r="Z132">
        <v>9.0701830000000001</v>
      </c>
      <c r="AA132">
        <v>8.8962420000000009</v>
      </c>
      <c r="AB132">
        <v>9.7905189999999997</v>
      </c>
      <c r="AC132">
        <v>13.154023</v>
      </c>
      <c r="AD132">
        <v>9.1255839999999999</v>
      </c>
      <c r="AE132">
        <v>10.554040000000001</v>
      </c>
      <c r="AF132">
        <v>8.2468310000000002</v>
      </c>
      <c r="AG132">
        <v>8.6855790000000006</v>
      </c>
    </row>
    <row r="133" spans="1:33" x14ac:dyDescent="0.25">
      <c r="A133" s="1">
        <v>44184</v>
      </c>
      <c r="B133">
        <v>9.185314</v>
      </c>
      <c r="C133">
        <v>9.6144689999999997</v>
      </c>
      <c r="D133">
        <v>9.3664629999999995</v>
      </c>
      <c r="E133">
        <v>9.4010060000000006</v>
      </c>
      <c r="F133">
        <v>9.8956009999999992</v>
      </c>
      <c r="G133">
        <v>9.8882329999999996</v>
      </c>
      <c r="H133">
        <v>11.24427</v>
      </c>
      <c r="I133">
        <v>9.7309789999999996</v>
      </c>
      <c r="J133">
        <v>8.3986769999999993</v>
      </c>
      <c r="K133">
        <v>9.1505189999999992</v>
      </c>
      <c r="L133">
        <v>9.0434529999999995</v>
      </c>
      <c r="M133">
        <v>9.7774059999999992</v>
      </c>
      <c r="N133">
        <v>9.2473729999999996</v>
      </c>
      <c r="O133">
        <v>9.2020250000000008</v>
      </c>
      <c r="P133">
        <v>9.1693020000000001</v>
      </c>
      <c r="Q133">
        <v>9.575583</v>
      </c>
      <c r="R133">
        <v>9.1458910000000007</v>
      </c>
      <c r="S133">
        <v>6.7866350000000004</v>
      </c>
      <c r="T133">
        <v>9.1043079999999996</v>
      </c>
      <c r="U133">
        <v>8.7179230000000008</v>
      </c>
      <c r="V133">
        <v>9.6602879999999995</v>
      </c>
      <c r="W133">
        <v>9.7113829999999997</v>
      </c>
      <c r="X133">
        <v>9.7131150000000002</v>
      </c>
      <c r="Y133">
        <v>11.448691999999999</v>
      </c>
      <c r="Z133">
        <v>8.9372330000000009</v>
      </c>
      <c r="AA133">
        <v>8.7641570000000009</v>
      </c>
      <c r="AB133">
        <v>10.474582</v>
      </c>
      <c r="AC133">
        <v>11.043468000000001</v>
      </c>
      <c r="AD133">
        <v>9.0453189999999992</v>
      </c>
      <c r="AE133">
        <v>9.9415440000000004</v>
      </c>
      <c r="AF133">
        <v>8.1722555000000003</v>
      </c>
      <c r="AG133">
        <v>8.4631989999999995</v>
      </c>
    </row>
    <row r="134" spans="1:33" x14ac:dyDescent="0.25">
      <c r="A134" s="1">
        <v>44185</v>
      </c>
      <c r="B134">
        <v>8.9809450000000002</v>
      </c>
      <c r="C134">
        <v>9.4756409999999995</v>
      </c>
      <c r="D134">
        <v>9.1629780000000007</v>
      </c>
      <c r="E134">
        <v>9.1942199999999996</v>
      </c>
      <c r="F134">
        <v>9.775245</v>
      </c>
      <c r="G134">
        <v>9.7433689999999995</v>
      </c>
      <c r="H134">
        <v>11.209503</v>
      </c>
      <c r="I134">
        <v>9.5776869999999992</v>
      </c>
      <c r="J134">
        <v>8.1449099999999994</v>
      </c>
      <c r="K134">
        <v>9.0642394999999993</v>
      </c>
      <c r="L134">
        <v>8.9759180000000001</v>
      </c>
      <c r="M134">
        <v>9.6292150000000003</v>
      </c>
      <c r="N134">
        <v>9.1809030000000007</v>
      </c>
      <c r="O134">
        <v>9.1758190000000006</v>
      </c>
      <c r="P134">
        <v>9.062951</v>
      </c>
      <c r="Q134">
        <v>9.4501740000000005</v>
      </c>
      <c r="R134">
        <v>9.1116510000000002</v>
      </c>
      <c r="S134">
        <v>6.4942589999999996</v>
      </c>
      <c r="T134">
        <v>9.0695560000000004</v>
      </c>
      <c r="U134">
        <v>8.7184550000000005</v>
      </c>
      <c r="V134">
        <v>9.6238360000000007</v>
      </c>
      <c r="W134">
        <v>9.4896150000000006</v>
      </c>
      <c r="X134">
        <v>9.6922270000000008</v>
      </c>
      <c r="Y134">
        <v>11.028492</v>
      </c>
      <c r="Z134">
        <v>8.9071040000000004</v>
      </c>
      <c r="AA134">
        <v>8.6354070000000007</v>
      </c>
      <c r="AB134">
        <v>10.22601</v>
      </c>
      <c r="AC134">
        <v>8.9510880000000004</v>
      </c>
      <c r="AD134">
        <v>8.9840289999999996</v>
      </c>
      <c r="AE134">
        <v>9.5109659999999998</v>
      </c>
      <c r="AF134">
        <v>8.4084149999999998</v>
      </c>
      <c r="AG134">
        <v>8.2782830000000001</v>
      </c>
    </row>
    <row r="135" spans="1:33" x14ac:dyDescent="0.25">
      <c r="A135" s="1">
        <v>44186</v>
      </c>
      <c r="B135">
        <v>8.8059630000000002</v>
      </c>
      <c r="C135">
        <v>9.2462569999999999</v>
      </c>
      <c r="D135">
        <v>8.9650599999999994</v>
      </c>
      <c r="E135">
        <v>9.0322519999999997</v>
      </c>
      <c r="F135">
        <v>9.6036780000000004</v>
      </c>
      <c r="G135">
        <v>9.6430140000000009</v>
      </c>
      <c r="H135">
        <v>11.429349</v>
      </c>
      <c r="I135">
        <v>9.2978819999999995</v>
      </c>
      <c r="J135">
        <v>7.8370004</v>
      </c>
      <c r="K135">
        <v>8.9758099999999992</v>
      </c>
      <c r="L135">
        <v>8.8827599999999993</v>
      </c>
      <c r="M135">
        <v>9.5087539999999997</v>
      </c>
      <c r="N135">
        <v>9.1175719999999991</v>
      </c>
      <c r="O135">
        <v>9.0847730000000002</v>
      </c>
      <c r="P135">
        <v>8.9636239999999994</v>
      </c>
      <c r="Q135">
        <v>9.3499169999999996</v>
      </c>
      <c r="R135">
        <v>9.0426719999999996</v>
      </c>
      <c r="S135">
        <v>6.2779274000000003</v>
      </c>
      <c r="T135">
        <v>9.0236789999999996</v>
      </c>
      <c r="U135">
        <v>8.6022689999999997</v>
      </c>
      <c r="V135">
        <v>9.3596280000000007</v>
      </c>
      <c r="W135">
        <v>9.4177129999999991</v>
      </c>
      <c r="X135">
        <v>9.4084389999999996</v>
      </c>
      <c r="Y135">
        <v>9.7456160000000001</v>
      </c>
      <c r="Z135">
        <v>8.7854740000000007</v>
      </c>
      <c r="AA135">
        <v>8.5032569999999996</v>
      </c>
      <c r="AB135">
        <v>9.3354909999999993</v>
      </c>
      <c r="AC135">
        <v>7.8925986000000004</v>
      </c>
      <c r="AD135">
        <v>8.8920960000000004</v>
      </c>
      <c r="AE135">
        <v>9.2347110000000008</v>
      </c>
      <c r="AF135">
        <v>8.7260729999999995</v>
      </c>
      <c r="AG135">
        <v>8.068543</v>
      </c>
    </row>
    <row r="136" spans="1:33" x14ac:dyDescent="0.25">
      <c r="A136" s="1">
        <v>44187</v>
      </c>
      <c r="B136">
        <v>8.8570539999999998</v>
      </c>
      <c r="C136">
        <v>9.1811520000000009</v>
      </c>
      <c r="D136">
        <v>8.8396100000000004</v>
      </c>
      <c r="E136">
        <v>8.9321730000000006</v>
      </c>
      <c r="F136">
        <v>9.6012699999999995</v>
      </c>
      <c r="G136">
        <v>9.5937070000000002</v>
      </c>
      <c r="H136">
        <v>11.410272000000001</v>
      </c>
      <c r="I136">
        <v>9.2657369999999997</v>
      </c>
      <c r="J136">
        <v>7.5607122999999996</v>
      </c>
      <c r="K136">
        <v>8.8633970000000009</v>
      </c>
      <c r="L136">
        <v>8.7701809999999991</v>
      </c>
      <c r="M136">
        <v>9.4195010000000003</v>
      </c>
      <c r="N136">
        <v>9.0352545000000006</v>
      </c>
      <c r="O136">
        <v>8.9460859999999993</v>
      </c>
      <c r="P136">
        <v>8.8581819999999993</v>
      </c>
      <c r="Q136">
        <v>9.2662859999999991</v>
      </c>
      <c r="R136">
        <v>8.9488640000000004</v>
      </c>
      <c r="S136">
        <v>6.0673655999999996</v>
      </c>
      <c r="T136">
        <v>8.8678609999999995</v>
      </c>
      <c r="U136">
        <v>8.4663889999999995</v>
      </c>
      <c r="V136">
        <v>9.1476144999999995</v>
      </c>
      <c r="W136">
        <v>9.2340339999999994</v>
      </c>
      <c r="X136">
        <v>9.1932700000000001</v>
      </c>
      <c r="Y136">
        <v>8.6462839999999996</v>
      </c>
      <c r="Z136">
        <v>8.6798330000000004</v>
      </c>
      <c r="AA136">
        <v>8.376258</v>
      </c>
      <c r="AB136">
        <v>8.5807905000000009</v>
      </c>
      <c r="AC136">
        <v>7.2311845000000003</v>
      </c>
      <c r="AD136">
        <v>8.7885729999999995</v>
      </c>
      <c r="AE136">
        <v>8.9334345000000006</v>
      </c>
      <c r="AF136">
        <v>9.0142900000000008</v>
      </c>
      <c r="AG136">
        <v>7.9524780000000002</v>
      </c>
    </row>
    <row r="137" spans="1:33" x14ac:dyDescent="0.25">
      <c r="A137" s="1">
        <v>44188</v>
      </c>
      <c r="B137">
        <v>8.3820099999999993</v>
      </c>
      <c r="C137">
        <v>8.9593819999999997</v>
      </c>
      <c r="D137">
        <v>8.6062169999999991</v>
      </c>
      <c r="E137">
        <v>8.6466054999999997</v>
      </c>
      <c r="F137">
        <v>9.2664174999999993</v>
      </c>
      <c r="G137">
        <v>9.4380480000000002</v>
      </c>
      <c r="H137">
        <v>11.075599</v>
      </c>
      <c r="I137">
        <v>8.7014099999999992</v>
      </c>
      <c r="J137">
        <v>7.1389712999999997</v>
      </c>
      <c r="K137">
        <v>8.6776280000000003</v>
      </c>
      <c r="L137">
        <v>8.5273749999999993</v>
      </c>
      <c r="M137">
        <v>9.2096400000000003</v>
      </c>
      <c r="N137">
        <v>8.8502010000000002</v>
      </c>
      <c r="O137">
        <v>8.7122820000000001</v>
      </c>
      <c r="P137">
        <v>8.6967090000000002</v>
      </c>
      <c r="Q137">
        <v>9.0960889999999992</v>
      </c>
      <c r="R137">
        <v>8.7649410000000003</v>
      </c>
      <c r="S137">
        <v>5.5900955000000003</v>
      </c>
      <c r="T137">
        <v>8.6062150000000006</v>
      </c>
      <c r="U137">
        <v>8.2447520000000001</v>
      </c>
      <c r="V137">
        <v>8.9109269999999992</v>
      </c>
      <c r="W137">
        <v>9.1169530000000005</v>
      </c>
      <c r="X137">
        <v>8.9568989999999999</v>
      </c>
      <c r="Y137">
        <v>7.5992199999999999</v>
      </c>
      <c r="Z137">
        <v>8.4452960000000008</v>
      </c>
      <c r="AA137">
        <v>8.102233</v>
      </c>
      <c r="AB137">
        <v>7.7900143000000002</v>
      </c>
      <c r="AC137">
        <v>6.4858627000000002</v>
      </c>
      <c r="AD137">
        <v>8.5999780000000001</v>
      </c>
      <c r="AE137">
        <v>8.9138719999999996</v>
      </c>
      <c r="AF137">
        <v>9.3217560000000006</v>
      </c>
      <c r="AG137">
        <v>7.5618879999999997</v>
      </c>
    </row>
    <row r="138" spans="1:33" x14ac:dyDescent="0.25">
      <c r="A138" s="1">
        <v>44189</v>
      </c>
      <c r="B138">
        <v>8.1193059999999999</v>
      </c>
      <c r="C138">
        <v>8.7711749999999995</v>
      </c>
      <c r="D138">
        <v>8.3799259999999993</v>
      </c>
      <c r="E138">
        <v>8.4076419999999992</v>
      </c>
      <c r="F138">
        <v>9.0596879999999995</v>
      </c>
      <c r="G138">
        <v>9.3219729999999998</v>
      </c>
      <c r="H138">
        <v>11.038437999999999</v>
      </c>
      <c r="I138">
        <v>8.1102530000000002</v>
      </c>
      <c r="J138">
        <v>6.9231509999999998</v>
      </c>
      <c r="K138">
        <v>8.5514150000000004</v>
      </c>
      <c r="L138">
        <v>8.4602330000000006</v>
      </c>
      <c r="M138">
        <v>9.0840160000000001</v>
      </c>
      <c r="N138">
        <v>8.7304410000000008</v>
      </c>
      <c r="O138">
        <v>8.5792520000000003</v>
      </c>
      <c r="P138">
        <v>8.5734969999999997</v>
      </c>
      <c r="Q138">
        <v>8.9672365000000003</v>
      </c>
      <c r="R138">
        <v>8.6516690000000001</v>
      </c>
      <c r="S138">
        <v>5.1837289999999996</v>
      </c>
      <c r="T138">
        <v>8.4285650000000008</v>
      </c>
      <c r="U138">
        <v>8.1583389999999998</v>
      </c>
      <c r="V138">
        <v>8.7615400000000001</v>
      </c>
      <c r="W138">
        <v>8.8980340000000009</v>
      </c>
      <c r="X138">
        <v>8.8186520000000002</v>
      </c>
      <c r="Y138">
        <v>7.0611934999999999</v>
      </c>
      <c r="Z138">
        <v>8.2976465000000008</v>
      </c>
      <c r="AA138">
        <v>7.9708350000000001</v>
      </c>
      <c r="AB138">
        <v>7.3828673</v>
      </c>
      <c r="AC138">
        <v>6.2381672999999997</v>
      </c>
      <c r="AD138">
        <v>8.4808690000000002</v>
      </c>
      <c r="AE138">
        <v>9.0288199999999996</v>
      </c>
      <c r="AF138">
        <v>9.4230509999999992</v>
      </c>
      <c r="AG138">
        <v>7.6587079999999998</v>
      </c>
    </row>
    <row r="139" spans="1:33" x14ac:dyDescent="0.25">
      <c r="A139" s="1">
        <v>44190</v>
      </c>
      <c r="B139">
        <v>8.1142839999999996</v>
      </c>
      <c r="C139">
        <v>8.7086579999999998</v>
      </c>
      <c r="D139">
        <v>8.2774000000000001</v>
      </c>
      <c r="E139">
        <v>8.3720370000000006</v>
      </c>
      <c r="F139">
        <v>9.1863790000000005</v>
      </c>
      <c r="G139">
        <v>9.5113210000000006</v>
      </c>
      <c r="H139">
        <v>12.022845999999999</v>
      </c>
      <c r="I139">
        <v>8.126315</v>
      </c>
      <c r="J139">
        <v>6.9191265</v>
      </c>
      <c r="K139">
        <v>8.4795409999999993</v>
      </c>
      <c r="L139">
        <v>8.4949449999999995</v>
      </c>
      <c r="M139">
        <v>9.2458580000000001</v>
      </c>
      <c r="N139">
        <v>8.6920920000000006</v>
      </c>
      <c r="O139">
        <v>8.5740010000000009</v>
      </c>
      <c r="P139">
        <v>8.4854230000000008</v>
      </c>
      <c r="Q139">
        <v>9.0661745000000007</v>
      </c>
      <c r="R139">
        <v>8.6330960000000001</v>
      </c>
      <c r="S139">
        <v>5.3625182999999996</v>
      </c>
      <c r="T139">
        <v>8.4460719999999991</v>
      </c>
      <c r="U139">
        <v>8.03383</v>
      </c>
      <c r="V139">
        <v>8.7234180000000006</v>
      </c>
      <c r="W139">
        <v>8.8804654999999997</v>
      </c>
      <c r="X139">
        <v>8.7576879999999999</v>
      </c>
      <c r="Y139">
        <v>6.9827820000000003</v>
      </c>
      <c r="Z139">
        <v>8.2306889999999999</v>
      </c>
      <c r="AA139">
        <v>7.909141</v>
      </c>
      <c r="AB139">
        <v>7.4210950000000002</v>
      </c>
      <c r="AC139">
        <v>6.1528815999999997</v>
      </c>
      <c r="AD139">
        <v>8.4799109999999995</v>
      </c>
      <c r="AE139">
        <v>8.8977769999999996</v>
      </c>
      <c r="AF139">
        <v>9.1465309999999995</v>
      </c>
      <c r="AG139">
        <v>7.7567057999999998</v>
      </c>
    </row>
    <row r="140" spans="1:33" x14ac:dyDescent="0.25">
      <c r="A140" s="1">
        <v>44191</v>
      </c>
      <c r="B140">
        <v>8.4392080000000007</v>
      </c>
      <c r="C140">
        <v>9.0399229999999999</v>
      </c>
      <c r="D140">
        <v>8.4459060000000008</v>
      </c>
      <c r="E140">
        <v>8.5639900000000004</v>
      </c>
      <c r="F140">
        <v>9.6223650000000003</v>
      </c>
      <c r="G140">
        <v>9.7729025000000007</v>
      </c>
      <c r="H140">
        <v>12.409518</v>
      </c>
      <c r="I140">
        <v>8.7044379999999997</v>
      </c>
      <c r="J140">
        <v>7.3082557000000001</v>
      </c>
      <c r="K140">
        <v>8.5514890000000001</v>
      </c>
      <c r="L140">
        <v>8.6174440000000008</v>
      </c>
      <c r="M140">
        <v>9.4998919999999991</v>
      </c>
      <c r="N140">
        <v>8.784198</v>
      </c>
      <c r="O140">
        <v>8.7231170000000002</v>
      </c>
      <c r="P140">
        <v>8.5501120000000004</v>
      </c>
      <c r="Q140">
        <v>9.2763299999999997</v>
      </c>
      <c r="R140">
        <v>8.7121040000000001</v>
      </c>
      <c r="S140">
        <v>6.2224183000000002</v>
      </c>
      <c r="T140">
        <v>8.5768059999999995</v>
      </c>
      <c r="U140">
        <v>8.1485640000000004</v>
      </c>
      <c r="V140">
        <v>8.8301529999999993</v>
      </c>
      <c r="W140">
        <v>8.8669814999999996</v>
      </c>
      <c r="X140">
        <v>8.8739939999999997</v>
      </c>
      <c r="Y140">
        <v>7.2628250000000003</v>
      </c>
      <c r="Z140">
        <v>8.3970769999999995</v>
      </c>
      <c r="AA140">
        <v>8.0435599999999994</v>
      </c>
      <c r="AB140">
        <v>7.6592269999999996</v>
      </c>
      <c r="AC140">
        <v>6.4068356</v>
      </c>
      <c r="AD140">
        <v>8.5963189999999994</v>
      </c>
      <c r="AE140">
        <v>9.7467389999999998</v>
      </c>
      <c r="AF140">
        <v>9.0759109999999996</v>
      </c>
      <c r="AG140">
        <v>7.9956069999999997</v>
      </c>
    </row>
    <row r="141" spans="1:33" x14ac:dyDescent="0.25">
      <c r="A141" s="1">
        <v>44192</v>
      </c>
      <c r="B141">
        <v>8.4754450000000006</v>
      </c>
      <c r="C141">
        <v>9.1714300000000009</v>
      </c>
      <c r="D141">
        <v>8.6181680000000007</v>
      </c>
      <c r="E141">
        <v>8.7030770000000004</v>
      </c>
      <c r="F141">
        <v>9.7184369999999998</v>
      </c>
      <c r="G141">
        <v>9.8219860000000008</v>
      </c>
      <c r="H141">
        <v>12.034767</v>
      </c>
      <c r="I141">
        <v>9.0830909999999996</v>
      </c>
      <c r="J141">
        <v>7.4977393000000001</v>
      </c>
      <c r="K141">
        <v>8.5993650000000006</v>
      </c>
      <c r="L141">
        <v>8.5834989999999998</v>
      </c>
      <c r="M141">
        <v>9.5911939999999998</v>
      </c>
      <c r="N141">
        <v>8.8101149999999997</v>
      </c>
      <c r="O141">
        <v>8.6946300000000001</v>
      </c>
      <c r="P141">
        <v>8.6038960000000007</v>
      </c>
      <c r="Q141">
        <v>9.359572</v>
      </c>
      <c r="R141">
        <v>8.6996169999999999</v>
      </c>
      <c r="S141">
        <v>6.3938259999999998</v>
      </c>
      <c r="T141">
        <v>8.6172740000000001</v>
      </c>
      <c r="U141">
        <v>8.1853285000000007</v>
      </c>
      <c r="V141">
        <v>8.8401350000000001</v>
      </c>
      <c r="W141">
        <v>8.9726759999999999</v>
      </c>
      <c r="X141">
        <v>8.8707285000000002</v>
      </c>
      <c r="Y141">
        <v>7.2020526</v>
      </c>
      <c r="Z141">
        <v>8.4725990000000007</v>
      </c>
      <c r="AA141">
        <v>8.1018080000000001</v>
      </c>
      <c r="AB141">
        <v>7.7391800000000002</v>
      </c>
      <c r="AC141">
        <v>6.4841823999999999</v>
      </c>
      <c r="AD141">
        <v>8.6008569999999995</v>
      </c>
      <c r="AE141">
        <v>10.417411</v>
      </c>
      <c r="AF141">
        <v>9.0963980000000006</v>
      </c>
      <c r="AG141">
        <v>8.0054540000000003</v>
      </c>
    </row>
    <row r="142" spans="1:33" x14ac:dyDescent="0.25">
      <c r="A142" s="1">
        <v>44193</v>
      </c>
      <c r="B142">
        <v>8.5104959999999998</v>
      </c>
      <c r="C142">
        <v>9.2170950000000005</v>
      </c>
      <c r="D142">
        <v>8.7158709999999999</v>
      </c>
      <c r="E142">
        <v>8.7958649999999992</v>
      </c>
      <c r="F142">
        <v>9.7956505000000007</v>
      </c>
      <c r="G142">
        <v>9.9636549999999993</v>
      </c>
      <c r="H142">
        <v>11.923980999999999</v>
      </c>
      <c r="I142">
        <v>9.1393229999999992</v>
      </c>
      <c r="J142">
        <v>7.6476044999999999</v>
      </c>
      <c r="K142">
        <v>8.6046840000000007</v>
      </c>
      <c r="L142">
        <v>8.5809669999999993</v>
      </c>
      <c r="M142">
        <v>9.7126359999999998</v>
      </c>
      <c r="N142">
        <v>8.8475900000000003</v>
      </c>
      <c r="O142">
        <v>8.6720159999999993</v>
      </c>
      <c r="P142">
        <v>8.6234859999999998</v>
      </c>
      <c r="Q142">
        <v>9.4937009999999997</v>
      </c>
      <c r="R142">
        <v>8.6697729999999993</v>
      </c>
      <c r="S142">
        <v>6.5917276999999999</v>
      </c>
      <c r="T142">
        <v>8.6213979999999992</v>
      </c>
      <c r="U142">
        <v>8.2664209999999994</v>
      </c>
      <c r="V142">
        <v>8.7709139999999994</v>
      </c>
      <c r="W142">
        <v>9.0060029999999998</v>
      </c>
      <c r="X142">
        <v>8.8335120000000007</v>
      </c>
      <c r="Y142">
        <v>7.3699649999999997</v>
      </c>
      <c r="Z142">
        <v>8.5281339999999997</v>
      </c>
      <c r="AA142">
        <v>8.1455450000000003</v>
      </c>
      <c r="AB142">
        <v>7.7715670000000001</v>
      </c>
      <c r="AC142">
        <v>6.8386516999999998</v>
      </c>
      <c r="AD142">
        <v>8.6007219999999993</v>
      </c>
      <c r="AE142">
        <v>10.769743999999999</v>
      </c>
      <c r="AF142">
        <v>9.0215259999999997</v>
      </c>
      <c r="AG142">
        <v>8.0370899999999992</v>
      </c>
    </row>
    <row r="143" spans="1:33" x14ac:dyDescent="0.25">
      <c r="A143" s="1">
        <v>44194</v>
      </c>
      <c r="B143">
        <v>8.3588319999999996</v>
      </c>
      <c r="C143">
        <v>9.2716250000000002</v>
      </c>
      <c r="D143">
        <v>8.7561099999999996</v>
      </c>
      <c r="E143">
        <v>8.7137574999999998</v>
      </c>
      <c r="F143">
        <v>9.7026070000000004</v>
      </c>
      <c r="G143">
        <v>9.8067829999999994</v>
      </c>
      <c r="H143">
        <v>11.591526</v>
      </c>
      <c r="I143">
        <v>9.0892499999999998</v>
      </c>
      <c r="J143">
        <v>7.5505347</v>
      </c>
      <c r="K143">
        <v>8.5290359999999996</v>
      </c>
      <c r="L143">
        <v>8.4864730000000002</v>
      </c>
      <c r="M143">
        <v>9.5947680000000002</v>
      </c>
      <c r="N143">
        <v>8.755433</v>
      </c>
      <c r="O143">
        <v>8.5656060000000007</v>
      </c>
      <c r="P143">
        <v>8.5644299999999998</v>
      </c>
      <c r="Q143">
        <v>9.3860860000000006</v>
      </c>
      <c r="R143">
        <v>8.5722159999999992</v>
      </c>
      <c r="S143">
        <v>6.5686684</v>
      </c>
      <c r="T143">
        <v>8.5339950000000009</v>
      </c>
      <c r="U143">
        <v>8.1731649999999991</v>
      </c>
      <c r="V143">
        <v>8.757873</v>
      </c>
      <c r="W143">
        <v>9.0071060000000003</v>
      </c>
      <c r="X143">
        <v>8.8340929999999993</v>
      </c>
      <c r="Y143">
        <v>7.4369560000000003</v>
      </c>
      <c r="Z143">
        <v>8.4667200000000005</v>
      </c>
      <c r="AA143">
        <v>8.0884289999999996</v>
      </c>
      <c r="AB143">
        <v>7.6864650000000001</v>
      </c>
      <c r="AC143">
        <v>7.3081455000000002</v>
      </c>
      <c r="AD143">
        <v>8.5161999999999995</v>
      </c>
      <c r="AE143">
        <v>10.258257</v>
      </c>
      <c r="AF143">
        <v>8.9322815000000002</v>
      </c>
      <c r="AG143">
        <v>7.8933679999999997</v>
      </c>
    </row>
    <row r="144" spans="1:33" x14ac:dyDescent="0.25">
      <c r="A144" s="1">
        <v>44195</v>
      </c>
      <c r="B144">
        <v>8.4257519999999992</v>
      </c>
      <c r="C144">
        <v>9.1354799999999994</v>
      </c>
      <c r="D144">
        <v>8.7594879999999993</v>
      </c>
      <c r="E144">
        <v>8.7080660000000005</v>
      </c>
      <c r="F144">
        <v>9.5497460000000007</v>
      </c>
      <c r="G144">
        <v>9.6154700000000002</v>
      </c>
      <c r="H144">
        <v>11.378899000000001</v>
      </c>
      <c r="I144">
        <v>9.1170030000000004</v>
      </c>
      <c r="J144">
        <v>7.3334985000000001</v>
      </c>
      <c r="K144">
        <v>8.4348550000000007</v>
      </c>
      <c r="L144">
        <v>8.3503050000000005</v>
      </c>
      <c r="M144">
        <v>9.4521990000000002</v>
      </c>
      <c r="N144">
        <v>8.6889409999999998</v>
      </c>
      <c r="O144">
        <v>8.4471710000000009</v>
      </c>
      <c r="P144">
        <v>8.4703320000000009</v>
      </c>
      <c r="Q144">
        <v>9.2485485000000001</v>
      </c>
      <c r="R144">
        <v>8.473471</v>
      </c>
      <c r="S144">
        <v>6.0159992999999998</v>
      </c>
      <c r="T144">
        <v>8.4119519999999994</v>
      </c>
      <c r="U144">
        <v>8.0741370000000003</v>
      </c>
      <c r="V144">
        <v>8.6798839999999995</v>
      </c>
      <c r="W144">
        <v>8.9548850000000009</v>
      </c>
      <c r="X144">
        <v>8.7403639999999996</v>
      </c>
      <c r="Y144">
        <v>7.4482160000000004</v>
      </c>
      <c r="Z144">
        <v>8.3196790000000007</v>
      </c>
      <c r="AA144">
        <v>7.9313390000000004</v>
      </c>
      <c r="AB144">
        <v>7.5014377000000003</v>
      </c>
      <c r="AC144">
        <v>7.4573817</v>
      </c>
      <c r="AD144">
        <v>8.3892349999999993</v>
      </c>
      <c r="AE144">
        <v>9.5749650000000006</v>
      </c>
      <c r="AF144">
        <v>8.7384900000000005</v>
      </c>
      <c r="AG144">
        <v>7.6373870000000004</v>
      </c>
    </row>
    <row r="145" spans="1:33" x14ac:dyDescent="0.25">
      <c r="A145" s="1">
        <v>44196</v>
      </c>
      <c r="B145">
        <v>8.6460129999999999</v>
      </c>
      <c r="C145">
        <v>9.2053360000000009</v>
      </c>
      <c r="D145">
        <v>8.8742075000000007</v>
      </c>
      <c r="E145">
        <v>8.847391</v>
      </c>
      <c r="F145">
        <v>9.6127920000000007</v>
      </c>
      <c r="G145">
        <v>9.6362939999999995</v>
      </c>
      <c r="H145">
        <v>11.282572999999999</v>
      </c>
      <c r="I145">
        <v>9.3825444999999998</v>
      </c>
      <c r="J145">
        <v>7.6961969999999997</v>
      </c>
      <c r="K145">
        <v>8.5092839999999992</v>
      </c>
      <c r="L145">
        <v>8.4515259999999994</v>
      </c>
      <c r="M145">
        <v>9.4774560000000001</v>
      </c>
      <c r="N145">
        <v>8.7384310000000003</v>
      </c>
      <c r="O145">
        <v>8.5508500000000005</v>
      </c>
      <c r="P145">
        <v>8.5410229999999991</v>
      </c>
      <c r="Q145">
        <v>9.2705929999999999</v>
      </c>
      <c r="R145">
        <v>8.5278240000000007</v>
      </c>
      <c r="S145">
        <v>6.4115409999999997</v>
      </c>
      <c r="T145">
        <v>8.4784159999999993</v>
      </c>
      <c r="U145">
        <v>8.2160519999999995</v>
      </c>
      <c r="V145">
        <v>8.852347</v>
      </c>
      <c r="W145">
        <v>8.9745690000000007</v>
      </c>
      <c r="X145">
        <v>8.9605230000000002</v>
      </c>
      <c r="Y145">
        <v>7.6647259999999999</v>
      </c>
      <c r="Z145">
        <v>8.4002909999999993</v>
      </c>
      <c r="AA145">
        <v>8.0497464999999995</v>
      </c>
      <c r="AB145">
        <v>7.6749763</v>
      </c>
      <c r="AC145">
        <v>7.7464959999999996</v>
      </c>
      <c r="AD145">
        <v>8.4545089999999998</v>
      </c>
      <c r="AE145">
        <v>9.7435550000000006</v>
      </c>
      <c r="AF145">
        <v>8.7080889999999993</v>
      </c>
      <c r="AG145">
        <v>7.8677830000000002</v>
      </c>
    </row>
    <row r="146" spans="1:33" x14ac:dyDescent="0.25">
      <c r="A146" s="1">
        <v>44197</v>
      </c>
      <c r="B146">
        <v>8.5563439999999993</v>
      </c>
      <c r="C146">
        <v>9.1304864999999999</v>
      </c>
      <c r="D146">
        <v>8.8643929999999997</v>
      </c>
      <c r="E146">
        <v>8.8206430000000005</v>
      </c>
      <c r="F146">
        <v>9.5055700000000005</v>
      </c>
      <c r="G146">
        <v>9.5589040000000001</v>
      </c>
      <c r="H146">
        <v>11.124155999999999</v>
      </c>
      <c r="I146">
        <v>9.3074045000000005</v>
      </c>
      <c r="J146">
        <v>7.7036777000000001</v>
      </c>
      <c r="K146">
        <v>8.5042530000000003</v>
      </c>
      <c r="L146">
        <v>8.4066930000000006</v>
      </c>
      <c r="M146">
        <v>9.4224250000000005</v>
      </c>
      <c r="N146">
        <v>8.7142049999999998</v>
      </c>
      <c r="O146">
        <v>8.506964</v>
      </c>
      <c r="P146">
        <v>8.5367169999999994</v>
      </c>
      <c r="Q146">
        <v>9.2105720000000009</v>
      </c>
      <c r="R146">
        <v>8.4841175</v>
      </c>
      <c r="S146">
        <v>6.2979044999999996</v>
      </c>
      <c r="T146">
        <v>8.4625369999999993</v>
      </c>
      <c r="U146">
        <v>8.1633750000000003</v>
      </c>
      <c r="V146">
        <v>8.7697310000000002</v>
      </c>
      <c r="W146">
        <v>8.9620090000000001</v>
      </c>
      <c r="X146">
        <v>8.8389600000000002</v>
      </c>
      <c r="Y146">
        <v>7.743595</v>
      </c>
      <c r="Z146">
        <v>8.3684659999999997</v>
      </c>
      <c r="AA146">
        <v>8.035755</v>
      </c>
      <c r="AB146">
        <v>7.7134438000000003</v>
      </c>
      <c r="AC146">
        <v>7.5445886</v>
      </c>
      <c r="AD146">
        <v>8.4239189999999997</v>
      </c>
      <c r="AE146">
        <v>9.5655169999999998</v>
      </c>
      <c r="AF146">
        <v>8.5362179999999999</v>
      </c>
      <c r="AG146">
        <v>7.8041359999999997</v>
      </c>
    </row>
    <row r="147" spans="1:33" x14ac:dyDescent="0.25">
      <c r="A147" s="1">
        <v>44198</v>
      </c>
      <c r="B147">
        <v>8.5985399999999998</v>
      </c>
      <c r="C147">
        <v>9.0999309999999998</v>
      </c>
      <c r="D147">
        <v>8.8474450000000004</v>
      </c>
      <c r="E147">
        <v>8.7966379999999997</v>
      </c>
      <c r="F147">
        <v>9.5149355</v>
      </c>
      <c r="G147">
        <v>9.5013909999999999</v>
      </c>
      <c r="H147">
        <v>11.004916</v>
      </c>
      <c r="I147">
        <v>9.3632030000000004</v>
      </c>
      <c r="J147">
        <v>7.6833552999999997</v>
      </c>
      <c r="K147">
        <v>8.4698305000000005</v>
      </c>
      <c r="L147">
        <v>8.3654620000000008</v>
      </c>
      <c r="M147">
        <v>9.3551819999999992</v>
      </c>
      <c r="N147">
        <v>8.6630140000000004</v>
      </c>
      <c r="O147">
        <v>8.4885040000000007</v>
      </c>
      <c r="P147">
        <v>8.4945020000000007</v>
      </c>
      <c r="Q147">
        <v>9.1489770000000004</v>
      </c>
      <c r="R147">
        <v>8.4599139999999995</v>
      </c>
      <c r="S147">
        <v>6.3599379999999996</v>
      </c>
      <c r="T147">
        <v>8.4075260000000007</v>
      </c>
      <c r="U147">
        <v>8.1836610000000007</v>
      </c>
      <c r="V147">
        <v>8.7093190000000007</v>
      </c>
      <c r="W147">
        <v>9.0186720000000005</v>
      </c>
      <c r="X147">
        <v>8.7782754999999995</v>
      </c>
      <c r="Y147">
        <v>7.7161926999999997</v>
      </c>
      <c r="Z147">
        <v>8.3004180000000005</v>
      </c>
      <c r="AA147">
        <v>8.0101010000000006</v>
      </c>
      <c r="AB147">
        <v>7.7172045999999996</v>
      </c>
      <c r="AC147">
        <v>7.4575825</v>
      </c>
      <c r="AD147">
        <v>8.3781440000000007</v>
      </c>
      <c r="AE147">
        <v>9.9639220000000002</v>
      </c>
      <c r="AF147">
        <v>8.3708200000000001</v>
      </c>
      <c r="AG147">
        <v>7.7719607000000002</v>
      </c>
    </row>
    <row r="148" spans="1:33" x14ac:dyDescent="0.25">
      <c r="A148" s="1">
        <v>44199</v>
      </c>
      <c r="B148">
        <v>8.8592019999999998</v>
      </c>
      <c r="C148">
        <v>9.1822820000000007</v>
      </c>
      <c r="D148">
        <v>8.9320839999999997</v>
      </c>
      <c r="E148">
        <v>8.9404880000000002</v>
      </c>
      <c r="F148">
        <v>9.6646730000000005</v>
      </c>
      <c r="G148">
        <v>9.5301279999999995</v>
      </c>
      <c r="H148">
        <v>11.0785</v>
      </c>
      <c r="I148">
        <v>9.6845029999999994</v>
      </c>
      <c r="J148">
        <v>8.0102519999999995</v>
      </c>
      <c r="K148">
        <v>8.5483054999999997</v>
      </c>
      <c r="L148">
        <v>8.4595020000000005</v>
      </c>
      <c r="M148">
        <v>9.4049460000000007</v>
      </c>
      <c r="N148">
        <v>8.7271660000000004</v>
      </c>
      <c r="O148">
        <v>8.596959</v>
      </c>
      <c r="P148">
        <v>8.5667089999999995</v>
      </c>
      <c r="Q148">
        <v>9.1722940000000008</v>
      </c>
      <c r="R148">
        <v>8.5376580000000004</v>
      </c>
      <c r="S148">
        <v>6.6116469999999996</v>
      </c>
      <c r="T148">
        <v>8.5058299999999996</v>
      </c>
      <c r="U148">
        <v>8.2772400000000008</v>
      </c>
      <c r="V148">
        <v>8.8570794999999993</v>
      </c>
      <c r="W148">
        <v>8.9526029999999999</v>
      </c>
      <c r="X148">
        <v>8.9633859999999999</v>
      </c>
      <c r="Y148">
        <v>7.8168563999999998</v>
      </c>
      <c r="Z148">
        <v>8.4163370000000004</v>
      </c>
      <c r="AA148">
        <v>8.1020810000000001</v>
      </c>
      <c r="AB148">
        <v>7.8569319999999996</v>
      </c>
      <c r="AC148">
        <v>7.5499897000000002</v>
      </c>
      <c r="AD148">
        <v>8.4475879999999997</v>
      </c>
      <c r="AE148">
        <v>10.426553</v>
      </c>
      <c r="AF148">
        <v>8.3126510000000007</v>
      </c>
      <c r="AG148">
        <v>8.0061929999999997</v>
      </c>
    </row>
    <row r="149" spans="1:33" x14ac:dyDescent="0.25">
      <c r="A149" s="1">
        <v>44200</v>
      </c>
      <c r="B149">
        <v>9.1349119999999999</v>
      </c>
      <c r="C149">
        <v>9.2919020000000003</v>
      </c>
      <c r="D149">
        <v>9.0427680000000006</v>
      </c>
      <c r="E149">
        <v>9.1503519999999998</v>
      </c>
      <c r="F149">
        <v>9.8052100000000006</v>
      </c>
      <c r="G149">
        <v>9.7096739999999997</v>
      </c>
      <c r="H149">
        <v>11.414206500000001</v>
      </c>
      <c r="I149">
        <v>9.8756380000000004</v>
      </c>
      <c r="J149">
        <v>8.3376429999999999</v>
      </c>
      <c r="K149">
        <v>8.6740770000000005</v>
      </c>
      <c r="L149">
        <v>8.5679770000000008</v>
      </c>
      <c r="M149">
        <v>9.5811550000000008</v>
      </c>
      <c r="N149">
        <v>8.8796549999999996</v>
      </c>
      <c r="O149">
        <v>8.6835719999999998</v>
      </c>
      <c r="P149">
        <v>8.6980260000000005</v>
      </c>
      <c r="Q149">
        <v>9.3288469999999997</v>
      </c>
      <c r="R149">
        <v>8.6126699999999996</v>
      </c>
      <c r="S149">
        <v>7.1255800000000002</v>
      </c>
      <c r="T149">
        <v>8.6832379999999993</v>
      </c>
      <c r="U149">
        <v>8.4337970000000002</v>
      </c>
      <c r="V149">
        <v>9.0317950000000007</v>
      </c>
      <c r="W149">
        <v>9.0889450000000007</v>
      </c>
      <c r="X149">
        <v>9.0895010000000003</v>
      </c>
      <c r="Y149">
        <v>7.9940343</v>
      </c>
      <c r="Z149">
        <v>8.5755090000000003</v>
      </c>
      <c r="AA149">
        <v>8.269482</v>
      </c>
      <c r="AB149">
        <v>8.0268409999999992</v>
      </c>
      <c r="AC149">
        <v>7.7635702999999996</v>
      </c>
      <c r="AD149">
        <v>8.5522159999999996</v>
      </c>
      <c r="AE149">
        <v>10.621131</v>
      </c>
      <c r="AF149">
        <v>8.3346239999999998</v>
      </c>
      <c r="AG149">
        <v>8.2394169999999995</v>
      </c>
    </row>
    <row r="150" spans="1:33" x14ac:dyDescent="0.25">
      <c r="A150" s="1">
        <v>44201</v>
      </c>
      <c r="B150">
        <v>9.0406080000000006</v>
      </c>
      <c r="C150">
        <v>9.1992940000000001</v>
      </c>
      <c r="D150">
        <v>9.0811989999999998</v>
      </c>
      <c r="E150">
        <v>9.0262159999999998</v>
      </c>
      <c r="F150">
        <v>9.7532540000000001</v>
      </c>
      <c r="G150">
        <v>9.5767889999999998</v>
      </c>
      <c r="H150">
        <v>10.988186000000001</v>
      </c>
      <c r="I150">
        <v>9.7543745000000008</v>
      </c>
      <c r="J150">
        <v>8.181317</v>
      </c>
      <c r="K150">
        <v>8.6461819999999996</v>
      </c>
      <c r="L150">
        <v>8.5486900000000006</v>
      </c>
      <c r="M150">
        <v>9.4291739999999997</v>
      </c>
      <c r="N150">
        <v>8.8228539999999995</v>
      </c>
      <c r="O150">
        <v>8.6726340000000004</v>
      </c>
      <c r="P150">
        <v>8.6516179999999991</v>
      </c>
      <c r="Q150">
        <v>9.2350899999999996</v>
      </c>
      <c r="R150">
        <v>8.6075269999999993</v>
      </c>
      <c r="S150">
        <v>7.1154264999999999</v>
      </c>
      <c r="T150">
        <v>8.6998049999999996</v>
      </c>
      <c r="U150">
        <v>8.4185269999999992</v>
      </c>
      <c r="V150">
        <v>8.8812110000000004</v>
      </c>
      <c r="W150">
        <v>9.3611229999999992</v>
      </c>
      <c r="X150">
        <v>8.9258050000000004</v>
      </c>
      <c r="Y150">
        <v>7.9159129999999998</v>
      </c>
      <c r="Z150">
        <v>8.5879449999999995</v>
      </c>
      <c r="AA150">
        <v>8.2693700000000003</v>
      </c>
      <c r="AB150">
        <v>8.0026949999999992</v>
      </c>
      <c r="AC150">
        <v>8.0146429999999995</v>
      </c>
      <c r="AD150">
        <v>8.5272919999999992</v>
      </c>
      <c r="AE150">
        <v>10.169471</v>
      </c>
      <c r="AF150">
        <v>8.2335960000000004</v>
      </c>
      <c r="AG150">
        <v>8.2272940000000006</v>
      </c>
    </row>
    <row r="151" spans="1:33" x14ac:dyDescent="0.25">
      <c r="A151" s="1">
        <v>44202</v>
      </c>
      <c r="B151">
        <v>8.8272200000000005</v>
      </c>
      <c r="C151">
        <v>9.1570850000000004</v>
      </c>
      <c r="D151">
        <v>8.9908300000000008</v>
      </c>
      <c r="E151">
        <v>8.9331800000000001</v>
      </c>
      <c r="F151">
        <v>9.6445989999999995</v>
      </c>
      <c r="G151">
        <v>9.5090170000000001</v>
      </c>
      <c r="H151">
        <v>10.956341</v>
      </c>
      <c r="I151">
        <v>9.7146100000000004</v>
      </c>
      <c r="J151">
        <v>8.0310109999999995</v>
      </c>
      <c r="K151">
        <v>8.6169019999999996</v>
      </c>
      <c r="L151">
        <v>8.4888849999999998</v>
      </c>
      <c r="M151">
        <v>9.338578</v>
      </c>
      <c r="N151">
        <v>8.7720330000000004</v>
      </c>
      <c r="O151">
        <v>8.6511230000000001</v>
      </c>
      <c r="P151">
        <v>8.6149389999999997</v>
      </c>
      <c r="Q151">
        <v>9.1583605000000006</v>
      </c>
      <c r="R151">
        <v>8.6023244999999999</v>
      </c>
      <c r="S151">
        <v>6.8448786999999998</v>
      </c>
      <c r="T151">
        <v>8.6631689999999999</v>
      </c>
      <c r="U151">
        <v>8.3628079999999994</v>
      </c>
      <c r="V151">
        <v>8.9740094999999993</v>
      </c>
      <c r="W151">
        <v>9.4863389999999992</v>
      </c>
      <c r="X151">
        <v>9.0551220000000008</v>
      </c>
      <c r="Y151">
        <v>7.8882750000000001</v>
      </c>
      <c r="Z151">
        <v>8.5429560000000002</v>
      </c>
      <c r="AA151">
        <v>8.2315889999999996</v>
      </c>
      <c r="AB151">
        <v>7.9847200000000003</v>
      </c>
      <c r="AC151">
        <v>8.2124869999999994</v>
      </c>
      <c r="AD151">
        <v>8.4924540000000004</v>
      </c>
      <c r="AE151">
        <v>9.7996300000000005</v>
      </c>
      <c r="AF151">
        <v>8.1478610000000007</v>
      </c>
      <c r="AG151">
        <v>8.1413510000000002</v>
      </c>
    </row>
    <row r="152" spans="1:33" x14ac:dyDescent="0.25">
      <c r="A152" s="1">
        <v>44203</v>
      </c>
      <c r="B152">
        <v>8.8051829999999995</v>
      </c>
      <c r="C152">
        <v>9.1223500000000008</v>
      </c>
      <c r="D152">
        <v>8.9370720000000006</v>
      </c>
      <c r="E152">
        <v>8.9284470000000002</v>
      </c>
      <c r="F152">
        <v>9.6198870000000003</v>
      </c>
      <c r="G152">
        <v>9.5210980000000003</v>
      </c>
      <c r="H152">
        <v>11.064456</v>
      </c>
      <c r="I152">
        <v>9.6247425</v>
      </c>
      <c r="J152">
        <v>8.0948069999999994</v>
      </c>
      <c r="K152">
        <v>8.6973559999999992</v>
      </c>
      <c r="L152">
        <v>8.5407630000000001</v>
      </c>
      <c r="M152">
        <v>9.3455999999999992</v>
      </c>
      <c r="N152">
        <v>8.8188320000000004</v>
      </c>
      <c r="O152">
        <v>8.6875269999999993</v>
      </c>
      <c r="P152">
        <v>8.6817080000000004</v>
      </c>
      <c r="Q152">
        <v>9.1770479999999992</v>
      </c>
      <c r="R152">
        <v>8.6692750000000007</v>
      </c>
      <c r="S152">
        <v>6.6600976000000003</v>
      </c>
      <c r="T152">
        <v>8.7738829999999997</v>
      </c>
      <c r="U152">
        <v>8.3802299999999992</v>
      </c>
      <c r="V152">
        <v>9.1978880000000007</v>
      </c>
      <c r="W152">
        <v>9.585013</v>
      </c>
      <c r="X152">
        <v>9.2722219999999993</v>
      </c>
      <c r="Y152">
        <v>8.1158699999999993</v>
      </c>
      <c r="Z152">
        <v>8.5757279999999998</v>
      </c>
      <c r="AA152">
        <v>8.2832889999999999</v>
      </c>
      <c r="AB152">
        <v>8.1203760000000003</v>
      </c>
      <c r="AC152">
        <v>8.2333429999999996</v>
      </c>
      <c r="AD152">
        <v>8.537585</v>
      </c>
      <c r="AE152">
        <v>10.042081</v>
      </c>
      <c r="AF152">
        <v>8.1803600000000003</v>
      </c>
      <c r="AG152">
        <v>8.2225789999999996</v>
      </c>
    </row>
    <row r="153" spans="1:33" x14ac:dyDescent="0.25">
      <c r="A153" s="1">
        <v>44204</v>
      </c>
      <c r="B153">
        <v>9.0005129999999998</v>
      </c>
      <c r="C153">
        <v>9.1683299999999992</v>
      </c>
      <c r="D153">
        <v>9.0289660000000005</v>
      </c>
      <c r="E153">
        <v>9.1012909999999998</v>
      </c>
      <c r="F153">
        <v>9.665597</v>
      </c>
      <c r="G153">
        <v>9.6331299999999995</v>
      </c>
      <c r="H153">
        <v>11.366486999999999</v>
      </c>
      <c r="I153">
        <v>9.6858109999999993</v>
      </c>
      <c r="J153">
        <v>8.0977840000000008</v>
      </c>
      <c r="K153">
        <v>8.7592999999999996</v>
      </c>
      <c r="L153">
        <v>8.5984680000000004</v>
      </c>
      <c r="M153">
        <v>9.4438829999999996</v>
      </c>
      <c r="N153">
        <v>8.9149729999999998</v>
      </c>
      <c r="O153">
        <v>8.7429284999999997</v>
      </c>
      <c r="P153">
        <v>8.7554669999999994</v>
      </c>
      <c r="Q153">
        <v>9.2911415000000002</v>
      </c>
      <c r="R153">
        <v>8.7186959999999996</v>
      </c>
      <c r="S153">
        <v>6.7205377000000004</v>
      </c>
      <c r="T153">
        <v>8.9390409999999996</v>
      </c>
      <c r="U153">
        <v>8.4849820000000005</v>
      </c>
      <c r="V153">
        <v>9.3271080000000008</v>
      </c>
      <c r="W153">
        <v>9.7422249999999995</v>
      </c>
      <c r="X153">
        <v>9.3979610000000005</v>
      </c>
      <c r="Y153">
        <v>8.2508630000000007</v>
      </c>
      <c r="Z153">
        <v>8.6091180000000005</v>
      </c>
      <c r="AA153">
        <v>8.3331130000000009</v>
      </c>
      <c r="AB153">
        <v>8.2572130000000001</v>
      </c>
      <c r="AC153">
        <v>8.1632210000000001</v>
      </c>
      <c r="AD153">
        <v>8.5964770000000001</v>
      </c>
      <c r="AE153">
        <v>10.234724</v>
      </c>
      <c r="AF153">
        <v>8.2466059999999999</v>
      </c>
      <c r="AG153">
        <v>8.3249239999999993</v>
      </c>
    </row>
    <row r="154" spans="1:33" x14ac:dyDescent="0.25">
      <c r="A154" s="1">
        <v>44205</v>
      </c>
      <c r="B154">
        <v>8.8771579999999997</v>
      </c>
      <c r="C154">
        <v>9.2207989999999995</v>
      </c>
      <c r="D154">
        <v>9.1008259999999996</v>
      </c>
      <c r="E154">
        <v>9.1847130000000003</v>
      </c>
      <c r="F154">
        <v>9.6958110000000008</v>
      </c>
      <c r="G154">
        <v>9.7219990000000003</v>
      </c>
      <c r="H154">
        <v>11.557582999999999</v>
      </c>
      <c r="I154">
        <v>9.6114300000000004</v>
      </c>
      <c r="J154">
        <v>8.0630159999999993</v>
      </c>
      <c r="K154">
        <v>8.7774859999999997</v>
      </c>
      <c r="L154">
        <v>8.6106449999999999</v>
      </c>
      <c r="M154">
        <v>9.5213149999999995</v>
      </c>
      <c r="N154">
        <v>8.9736100000000008</v>
      </c>
      <c r="O154">
        <v>8.7506799999999991</v>
      </c>
      <c r="P154">
        <v>8.7861809999999991</v>
      </c>
      <c r="Q154">
        <v>9.3730860000000007</v>
      </c>
      <c r="R154">
        <v>8.7252919999999996</v>
      </c>
      <c r="S154">
        <v>6.7515179999999999</v>
      </c>
      <c r="T154">
        <v>9.0248849999999994</v>
      </c>
      <c r="U154">
        <v>8.3861249999999998</v>
      </c>
      <c r="V154">
        <v>9.3618070000000007</v>
      </c>
      <c r="W154">
        <v>9.7523985</v>
      </c>
      <c r="X154">
        <v>9.4215520000000001</v>
      </c>
      <c r="Y154">
        <v>8.2330884999999991</v>
      </c>
      <c r="Z154">
        <v>8.5822319999999994</v>
      </c>
      <c r="AA154">
        <v>8.3570239999999991</v>
      </c>
      <c r="AB154">
        <v>8.2458259999999992</v>
      </c>
      <c r="AC154">
        <v>7.9506990000000002</v>
      </c>
      <c r="AD154">
        <v>8.6210319999999996</v>
      </c>
      <c r="AE154">
        <v>9.9828189999999992</v>
      </c>
      <c r="AF154">
        <v>8.2686410000000006</v>
      </c>
      <c r="AG154">
        <v>8.2613339999999997</v>
      </c>
    </row>
    <row r="155" spans="1:33" x14ac:dyDescent="0.25">
      <c r="A155" s="1">
        <v>44206</v>
      </c>
      <c r="B155">
        <v>8.9227270000000001</v>
      </c>
      <c r="C155">
        <v>9.2004769999999994</v>
      </c>
      <c r="D155">
        <v>9.0991789999999995</v>
      </c>
      <c r="E155">
        <v>9.2469970000000004</v>
      </c>
      <c r="F155">
        <v>9.7082680000000003</v>
      </c>
      <c r="G155">
        <v>9.8177979999999998</v>
      </c>
      <c r="H155">
        <v>11.686016</v>
      </c>
      <c r="I155">
        <v>9.5274140000000003</v>
      </c>
      <c r="J155">
        <v>7.8926179999999997</v>
      </c>
      <c r="K155">
        <v>8.7579340000000006</v>
      </c>
      <c r="L155">
        <v>8.5944579999999995</v>
      </c>
      <c r="M155">
        <v>9.6189470000000004</v>
      </c>
      <c r="N155">
        <v>9.0314300000000003</v>
      </c>
      <c r="O155">
        <v>8.6980295000000005</v>
      </c>
      <c r="P155">
        <v>8.7829979999999992</v>
      </c>
      <c r="Q155">
        <v>9.4611059999999991</v>
      </c>
      <c r="R155">
        <v>8.6772320000000001</v>
      </c>
      <c r="S155">
        <v>6.5542490000000004</v>
      </c>
      <c r="T155">
        <v>9.015091</v>
      </c>
      <c r="U155">
        <v>8.3653250000000003</v>
      </c>
      <c r="V155">
        <v>9.3405559999999994</v>
      </c>
      <c r="W155">
        <v>9.4992769999999993</v>
      </c>
      <c r="X155">
        <v>9.4027619999999992</v>
      </c>
      <c r="Y155">
        <v>8.0437550000000009</v>
      </c>
      <c r="Z155">
        <v>8.5252140000000001</v>
      </c>
      <c r="AA155">
        <v>8.3112399999999997</v>
      </c>
      <c r="AB155">
        <v>8.1273199999999992</v>
      </c>
      <c r="AC155">
        <v>7.8294753999999998</v>
      </c>
      <c r="AD155">
        <v>8.6107630000000004</v>
      </c>
      <c r="AE155">
        <v>9.7390039999999996</v>
      </c>
      <c r="AF155">
        <v>8.2767839999999993</v>
      </c>
      <c r="AG155">
        <v>8.1804509999999997</v>
      </c>
    </row>
    <row r="156" spans="1:33" x14ac:dyDescent="0.25">
      <c r="A156" s="1">
        <v>44207</v>
      </c>
      <c r="B156">
        <v>9.0318269999999998</v>
      </c>
      <c r="C156">
        <v>9.3248870000000004</v>
      </c>
      <c r="D156">
        <v>9.1569529999999997</v>
      </c>
      <c r="E156">
        <v>9.3198220000000003</v>
      </c>
      <c r="F156">
        <v>9.8015740000000005</v>
      </c>
      <c r="G156">
        <v>9.8739000000000008</v>
      </c>
      <c r="H156">
        <v>11.673607000000001</v>
      </c>
      <c r="I156">
        <v>9.6065234999999998</v>
      </c>
      <c r="J156">
        <v>7.940258</v>
      </c>
      <c r="K156">
        <v>8.7699379999999998</v>
      </c>
      <c r="L156">
        <v>8.5988035000000007</v>
      </c>
      <c r="M156">
        <v>9.6798819999999992</v>
      </c>
      <c r="N156">
        <v>9.0805609999999994</v>
      </c>
      <c r="O156">
        <v>8.7180420000000005</v>
      </c>
      <c r="P156">
        <v>8.789873</v>
      </c>
      <c r="Q156">
        <v>9.5144070000000003</v>
      </c>
      <c r="R156">
        <v>8.6944020000000002</v>
      </c>
      <c r="S156">
        <v>6.6773667000000003</v>
      </c>
      <c r="T156">
        <v>8.9892040000000009</v>
      </c>
      <c r="U156">
        <v>8.2973649999999992</v>
      </c>
      <c r="V156">
        <v>9.3104829999999996</v>
      </c>
      <c r="W156">
        <v>9.0795700000000004</v>
      </c>
      <c r="X156">
        <v>9.3646809999999991</v>
      </c>
      <c r="Y156">
        <v>8.0019410000000004</v>
      </c>
      <c r="Z156">
        <v>8.5216989999999999</v>
      </c>
      <c r="AA156">
        <v>8.2839379999999991</v>
      </c>
      <c r="AB156">
        <v>8.1046669999999992</v>
      </c>
      <c r="AC156">
        <v>7.7919219999999996</v>
      </c>
      <c r="AD156">
        <v>8.610474</v>
      </c>
      <c r="AE156">
        <v>9.8092179999999995</v>
      </c>
      <c r="AF156">
        <v>8.2834380000000003</v>
      </c>
      <c r="AG156">
        <v>8.1549160000000001</v>
      </c>
    </row>
    <row r="157" spans="1:33" x14ac:dyDescent="0.25">
      <c r="A157" s="1">
        <v>44208</v>
      </c>
      <c r="B157">
        <v>9.2015720000000005</v>
      </c>
      <c r="C157">
        <v>9.3888639999999999</v>
      </c>
      <c r="D157">
        <v>9.2335969999999996</v>
      </c>
      <c r="E157">
        <v>9.4186859999999992</v>
      </c>
      <c r="F157">
        <v>9.8730589999999996</v>
      </c>
      <c r="G157">
        <v>9.9576119999999992</v>
      </c>
      <c r="H157">
        <v>11.769475</v>
      </c>
      <c r="I157">
        <v>9.7187804999999994</v>
      </c>
      <c r="J157">
        <v>8.0766799999999996</v>
      </c>
      <c r="K157">
        <v>8.8052360000000007</v>
      </c>
      <c r="L157">
        <v>8.6330220000000004</v>
      </c>
      <c r="M157">
        <v>9.7716464999999992</v>
      </c>
      <c r="N157">
        <v>9.1517710000000001</v>
      </c>
      <c r="O157">
        <v>8.7620839999999998</v>
      </c>
      <c r="P157">
        <v>8.8336369999999995</v>
      </c>
      <c r="Q157">
        <v>9.5909910000000007</v>
      </c>
      <c r="R157">
        <v>8.7305309999999992</v>
      </c>
      <c r="S157">
        <v>6.8891735000000001</v>
      </c>
      <c r="T157">
        <v>9.0108999999999995</v>
      </c>
      <c r="U157">
        <v>8.3621309999999998</v>
      </c>
      <c r="V157">
        <v>9.2260050000000007</v>
      </c>
      <c r="W157">
        <v>8.8166980000000006</v>
      </c>
      <c r="X157">
        <v>9.2571530000000006</v>
      </c>
      <c r="Y157">
        <v>8.0282490000000006</v>
      </c>
      <c r="Z157">
        <v>8.5769415000000002</v>
      </c>
      <c r="AA157">
        <v>8.2979020000000006</v>
      </c>
      <c r="AB157">
        <v>8.0993809999999993</v>
      </c>
      <c r="AC157">
        <v>7.6906566999999999</v>
      </c>
      <c r="AD157">
        <v>8.6390130000000003</v>
      </c>
      <c r="AE157">
        <v>10.019575</v>
      </c>
      <c r="AF157">
        <v>8.298273</v>
      </c>
      <c r="AG157">
        <v>8.1640689999999996</v>
      </c>
    </row>
    <row r="158" spans="1:33" x14ac:dyDescent="0.25">
      <c r="A158" s="1">
        <v>44209</v>
      </c>
      <c r="B158">
        <v>9.4854629999999993</v>
      </c>
      <c r="C158">
        <v>9.5655789999999996</v>
      </c>
      <c r="D158">
        <v>9.3940230000000007</v>
      </c>
      <c r="E158">
        <v>9.5969149999999992</v>
      </c>
      <c r="F158">
        <v>10.071709999999999</v>
      </c>
      <c r="G158">
        <v>9.9992129999999992</v>
      </c>
      <c r="H158">
        <v>11.805602</v>
      </c>
      <c r="I158">
        <v>9.9892210000000006</v>
      </c>
      <c r="J158">
        <v>8.4106240000000003</v>
      </c>
      <c r="K158">
        <v>8.9121939999999995</v>
      </c>
      <c r="L158">
        <v>8.7485130000000009</v>
      </c>
      <c r="M158">
        <v>9.8533819999999999</v>
      </c>
      <c r="N158">
        <v>9.2451819999999998</v>
      </c>
      <c r="O158">
        <v>8.8870149999999999</v>
      </c>
      <c r="P158">
        <v>8.9459389999999992</v>
      </c>
      <c r="Q158">
        <v>9.6535250000000001</v>
      </c>
      <c r="R158">
        <v>8.8404609999999995</v>
      </c>
      <c r="S158">
        <v>7.2540129999999996</v>
      </c>
      <c r="T158">
        <v>9.0661950000000004</v>
      </c>
      <c r="U158">
        <v>8.5122319999999991</v>
      </c>
      <c r="V158">
        <v>9.1170829999999992</v>
      </c>
      <c r="W158">
        <v>9.0318574999999992</v>
      </c>
      <c r="X158">
        <v>9.0698880000000006</v>
      </c>
      <c r="Y158">
        <v>8.1141210000000008</v>
      </c>
      <c r="Z158">
        <v>8.7449390000000005</v>
      </c>
      <c r="AA158">
        <v>8.4200979999999994</v>
      </c>
      <c r="AB158">
        <v>8.2311040000000002</v>
      </c>
      <c r="AC158">
        <v>7.7384734000000002</v>
      </c>
      <c r="AD158">
        <v>8.7300090000000008</v>
      </c>
      <c r="AE158">
        <v>10.694824000000001</v>
      </c>
      <c r="AF158">
        <v>8.3733459999999997</v>
      </c>
      <c r="AG158">
        <v>8.3412140000000008</v>
      </c>
    </row>
    <row r="159" spans="1:33" x14ac:dyDescent="0.25">
      <c r="A159" s="1">
        <v>44210</v>
      </c>
      <c r="B159">
        <v>9.7420740000000006</v>
      </c>
      <c r="C159">
        <v>9.7215570000000007</v>
      </c>
      <c r="D159">
        <v>9.6504879999999993</v>
      </c>
      <c r="E159">
        <v>9.8034800000000004</v>
      </c>
      <c r="F159">
        <v>10.215266</v>
      </c>
      <c r="G159">
        <v>10.109323</v>
      </c>
      <c r="H159">
        <v>11.864856</v>
      </c>
      <c r="I159">
        <v>10.273087</v>
      </c>
      <c r="J159">
        <v>8.8703140000000005</v>
      </c>
      <c r="K159">
        <v>9.1115499999999994</v>
      </c>
      <c r="L159">
        <v>8.9396719999999998</v>
      </c>
      <c r="M159">
        <v>9.9763990000000007</v>
      </c>
      <c r="N159">
        <v>9.3919840000000008</v>
      </c>
      <c r="O159">
        <v>9.0749890000000004</v>
      </c>
      <c r="P159">
        <v>9.1461229999999993</v>
      </c>
      <c r="Q159">
        <v>9.778295</v>
      </c>
      <c r="R159">
        <v>9.0030110000000008</v>
      </c>
      <c r="S159">
        <v>7.7364519999999999</v>
      </c>
      <c r="T159">
        <v>9.2093115000000001</v>
      </c>
      <c r="U159">
        <v>8.7431370000000008</v>
      </c>
      <c r="V159">
        <v>9.1511659999999999</v>
      </c>
      <c r="W159">
        <v>9.466431</v>
      </c>
      <c r="X159">
        <v>9.0952059999999992</v>
      </c>
      <c r="Y159">
        <v>8.3465369999999997</v>
      </c>
      <c r="Z159">
        <v>9.0605019999999996</v>
      </c>
      <c r="AA159">
        <v>8.6624809999999997</v>
      </c>
      <c r="AB159">
        <v>8.4928589999999993</v>
      </c>
      <c r="AC159">
        <v>8.0152520000000003</v>
      </c>
      <c r="AD159">
        <v>8.9063424999999992</v>
      </c>
      <c r="AE159">
        <v>11.657171999999999</v>
      </c>
      <c r="AF159">
        <v>8.5172849999999993</v>
      </c>
      <c r="AG159">
        <v>8.6743380000000005</v>
      </c>
    </row>
    <row r="160" spans="1:33" x14ac:dyDescent="0.25">
      <c r="A160" s="1">
        <v>44211</v>
      </c>
      <c r="B160">
        <v>9.8266690000000008</v>
      </c>
      <c r="C160">
        <v>9.7561780000000002</v>
      </c>
      <c r="D160">
        <v>9.7742050000000003</v>
      </c>
      <c r="E160">
        <v>9.884328</v>
      </c>
      <c r="F160">
        <v>10.262525</v>
      </c>
      <c r="G160">
        <v>10.180403999999999</v>
      </c>
      <c r="H160">
        <v>11.908871</v>
      </c>
      <c r="I160">
        <v>10.36992</v>
      </c>
      <c r="J160">
        <v>9.0892490000000006</v>
      </c>
      <c r="K160">
        <v>9.2455610000000004</v>
      </c>
      <c r="L160">
        <v>9.0672899999999998</v>
      </c>
      <c r="M160">
        <v>10.054536000000001</v>
      </c>
      <c r="N160">
        <v>9.4680739999999997</v>
      </c>
      <c r="O160">
        <v>9.1628980000000002</v>
      </c>
      <c r="P160">
        <v>9.277863</v>
      </c>
      <c r="Q160">
        <v>9.8508519999999997</v>
      </c>
      <c r="R160">
        <v>9.1060499999999998</v>
      </c>
      <c r="S160">
        <v>8.0563330000000004</v>
      </c>
      <c r="T160">
        <v>9.3289089999999995</v>
      </c>
      <c r="U160">
        <v>8.9765440000000005</v>
      </c>
      <c r="V160">
        <v>9.4083804999999998</v>
      </c>
      <c r="W160">
        <v>9.9187550000000009</v>
      </c>
      <c r="X160">
        <v>9.4410220000000002</v>
      </c>
      <c r="Y160">
        <v>8.4624400000000009</v>
      </c>
      <c r="Z160">
        <v>9.3088440000000006</v>
      </c>
      <c r="AA160">
        <v>8.8072160000000004</v>
      </c>
      <c r="AB160">
        <v>8.6315089999999994</v>
      </c>
      <c r="AC160">
        <v>8.2428830000000008</v>
      </c>
      <c r="AD160">
        <v>9.0286399999999993</v>
      </c>
      <c r="AE160">
        <v>11.509105</v>
      </c>
      <c r="AF160">
        <v>8.5917650000000005</v>
      </c>
      <c r="AG160">
        <v>8.789669</v>
      </c>
    </row>
    <row r="161" spans="1:33" x14ac:dyDescent="0.25">
      <c r="A161" s="1">
        <v>44212</v>
      </c>
      <c r="B161">
        <v>10.036014</v>
      </c>
      <c r="C161">
        <v>9.9092245000000005</v>
      </c>
      <c r="D161">
        <v>9.8704990000000006</v>
      </c>
      <c r="E161">
        <v>9.9988510000000002</v>
      </c>
      <c r="F161">
        <v>10.467338</v>
      </c>
      <c r="G161">
        <v>10.322575000000001</v>
      </c>
      <c r="H161">
        <v>12.114383999999999</v>
      </c>
      <c r="I161">
        <v>10.582845000000001</v>
      </c>
      <c r="J161">
        <v>9.3559140000000003</v>
      </c>
      <c r="K161">
        <v>9.395861</v>
      </c>
      <c r="L161">
        <v>9.2113519999999998</v>
      </c>
      <c r="M161">
        <v>10.203500999999999</v>
      </c>
      <c r="N161">
        <v>9.5980740000000004</v>
      </c>
      <c r="O161">
        <v>9.2776429999999994</v>
      </c>
      <c r="P161">
        <v>9.4225399999999997</v>
      </c>
      <c r="Q161">
        <v>9.9805609999999998</v>
      </c>
      <c r="R161">
        <v>9.2199670000000005</v>
      </c>
      <c r="S161">
        <v>8.3291850000000007</v>
      </c>
      <c r="T161">
        <v>9.5014120000000002</v>
      </c>
      <c r="U161">
        <v>9.1260390000000005</v>
      </c>
      <c r="V161">
        <v>9.6913560000000007</v>
      </c>
      <c r="W161">
        <v>10.28764</v>
      </c>
      <c r="X161">
        <v>9.7725899999999992</v>
      </c>
      <c r="Y161">
        <v>8.7015940000000001</v>
      </c>
      <c r="Z161">
        <v>9.516883</v>
      </c>
      <c r="AA161">
        <v>8.9737209999999994</v>
      </c>
      <c r="AB161">
        <v>8.8258620000000008</v>
      </c>
      <c r="AC161">
        <v>8.5912284999999997</v>
      </c>
      <c r="AD161">
        <v>9.1637090000000008</v>
      </c>
      <c r="AE161">
        <v>12.013714</v>
      </c>
      <c r="AF161">
        <v>8.7026614999999996</v>
      </c>
      <c r="AG161">
        <v>8.9522189999999995</v>
      </c>
    </row>
    <row r="162" spans="1:33" x14ac:dyDescent="0.25">
      <c r="A162" s="1">
        <v>44213</v>
      </c>
      <c r="B162">
        <v>10.263293000000001</v>
      </c>
      <c r="C162">
        <v>10.120571999999999</v>
      </c>
      <c r="D162">
        <v>9.9907830000000004</v>
      </c>
      <c r="E162">
        <v>10.155060000000001</v>
      </c>
      <c r="F162">
        <v>10.675163</v>
      </c>
      <c r="G162">
        <v>10.484707999999999</v>
      </c>
      <c r="H162">
        <v>12.290435</v>
      </c>
      <c r="I162">
        <v>10.8977</v>
      </c>
      <c r="J162">
        <v>9.6770490000000002</v>
      </c>
      <c r="K162">
        <v>9.5809390000000008</v>
      </c>
      <c r="L162">
        <v>9.3917680000000008</v>
      </c>
      <c r="M162">
        <v>10.35905</v>
      </c>
      <c r="N162">
        <v>9.7681889999999996</v>
      </c>
      <c r="O162">
        <v>9.4523109999999999</v>
      </c>
      <c r="P162">
        <v>9.5990760000000002</v>
      </c>
      <c r="Q162">
        <v>10.128088999999999</v>
      </c>
      <c r="R162">
        <v>9.3757210000000004</v>
      </c>
      <c r="S162">
        <v>8.6071170000000006</v>
      </c>
      <c r="T162">
        <v>9.7683780000000002</v>
      </c>
      <c r="U162">
        <v>9.3857440000000008</v>
      </c>
      <c r="V162">
        <v>10.100236000000001</v>
      </c>
      <c r="W162">
        <v>10.431469999999999</v>
      </c>
      <c r="X162">
        <v>10.218684</v>
      </c>
      <c r="Y162">
        <v>9.0577900000000007</v>
      </c>
      <c r="Z162">
        <v>9.7114969999999996</v>
      </c>
      <c r="AA162">
        <v>9.1776859999999996</v>
      </c>
      <c r="AB162">
        <v>9.1214630000000003</v>
      </c>
      <c r="AC162">
        <v>8.9864169999999994</v>
      </c>
      <c r="AD162">
        <v>9.3316750000000006</v>
      </c>
      <c r="AE162">
        <v>12.413905</v>
      </c>
      <c r="AF162">
        <v>8.8427629999999997</v>
      </c>
      <c r="AG162">
        <v>9.1917120000000008</v>
      </c>
    </row>
    <row r="163" spans="1:33" x14ac:dyDescent="0.25">
      <c r="A163" s="1">
        <v>44214</v>
      </c>
      <c r="B163">
        <v>10.371623</v>
      </c>
      <c r="C163">
        <v>10.2426605</v>
      </c>
      <c r="D163">
        <v>10.037896</v>
      </c>
      <c r="E163">
        <v>10.218944</v>
      </c>
      <c r="F163">
        <v>10.7804365</v>
      </c>
      <c r="G163">
        <v>10.61844</v>
      </c>
      <c r="H163">
        <v>12.342969</v>
      </c>
      <c r="I163">
        <v>11.030053000000001</v>
      </c>
      <c r="J163">
        <v>9.8878909999999998</v>
      </c>
      <c r="K163">
        <v>9.7399719999999999</v>
      </c>
      <c r="L163">
        <v>9.5591760000000008</v>
      </c>
      <c r="M163">
        <v>10.420895</v>
      </c>
      <c r="N163">
        <v>9.8875659999999996</v>
      </c>
      <c r="O163">
        <v>9.5638199999999998</v>
      </c>
      <c r="P163">
        <v>9.7401450000000001</v>
      </c>
      <c r="Q163">
        <v>10.214264999999999</v>
      </c>
      <c r="R163">
        <v>9.4967799999999993</v>
      </c>
      <c r="S163">
        <v>8.9485499999999991</v>
      </c>
      <c r="T163">
        <v>10.022888999999999</v>
      </c>
      <c r="U163">
        <v>9.5249699999999997</v>
      </c>
      <c r="V163">
        <v>10.383217999999999</v>
      </c>
      <c r="W163">
        <v>10.834146</v>
      </c>
      <c r="X163">
        <v>10.462147</v>
      </c>
      <c r="Y163">
        <v>9.3564919999999994</v>
      </c>
      <c r="Z163">
        <v>9.8618000000000006</v>
      </c>
      <c r="AA163">
        <v>9.3738290000000006</v>
      </c>
      <c r="AB163">
        <v>9.3759300000000003</v>
      </c>
      <c r="AC163">
        <v>9.2438629999999993</v>
      </c>
      <c r="AD163">
        <v>9.4933329999999998</v>
      </c>
      <c r="AE163">
        <v>12.406753999999999</v>
      </c>
      <c r="AF163">
        <v>9.0031250000000007</v>
      </c>
      <c r="AG163">
        <v>9.4024970000000003</v>
      </c>
    </row>
    <row r="164" spans="1:33" x14ac:dyDescent="0.25">
      <c r="A164" s="1">
        <v>44215</v>
      </c>
      <c r="B164">
        <v>9.6276519999999994</v>
      </c>
      <c r="C164">
        <v>9.9036039999999996</v>
      </c>
      <c r="D164">
        <v>9.7362719999999996</v>
      </c>
      <c r="E164">
        <v>9.7966029999999993</v>
      </c>
      <c r="F164">
        <v>10.198739</v>
      </c>
      <c r="G164">
        <v>10.242000000000001</v>
      </c>
      <c r="H164">
        <v>11.567088</v>
      </c>
      <c r="I164">
        <v>9.9824590000000004</v>
      </c>
      <c r="J164">
        <v>9.1842570000000006</v>
      </c>
      <c r="K164">
        <v>9.5149974999999998</v>
      </c>
      <c r="L164">
        <v>9.3823729999999994</v>
      </c>
      <c r="M164">
        <v>10.003417000000001</v>
      </c>
      <c r="N164">
        <v>9.6961040000000001</v>
      </c>
      <c r="O164">
        <v>9.4869280000000007</v>
      </c>
      <c r="P164">
        <v>9.5187080000000002</v>
      </c>
      <c r="Q164">
        <v>9.9311980000000002</v>
      </c>
      <c r="R164">
        <v>9.3762865000000009</v>
      </c>
      <c r="S164">
        <v>8.3959530000000004</v>
      </c>
      <c r="T164">
        <v>9.7728830000000002</v>
      </c>
      <c r="U164">
        <v>9.3183179999999997</v>
      </c>
      <c r="V164">
        <v>10.160043</v>
      </c>
      <c r="W164">
        <v>10.762829999999999</v>
      </c>
      <c r="X164">
        <v>10.244322</v>
      </c>
      <c r="Y164">
        <v>9.1468039999999995</v>
      </c>
      <c r="Z164">
        <v>9.5455059999999996</v>
      </c>
      <c r="AA164">
        <v>9.2190860000000008</v>
      </c>
      <c r="AB164">
        <v>9.1791909999999994</v>
      </c>
      <c r="AC164">
        <v>8.8279340000000008</v>
      </c>
      <c r="AD164">
        <v>9.3575700000000008</v>
      </c>
      <c r="AE164">
        <v>11.121999000000001</v>
      </c>
      <c r="AF164">
        <v>8.9639179999999996</v>
      </c>
      <c r="AG164">
        <v>8.967352</v>
      </c>
    </row>
    <row r="165" spans="1:33" x14ac:dyDescent="0.25">
      <c r="A165" s="1">
        <v>44216</v>
      </c>
      <c r="B165">
        <v>9.533474</v>
      </c>
      <c r="C165">
        <v>9.7097470000000001</v>
      </c>
      <c r="D165">
        <v>9.5264290000000003</v>
      </c>
      <c r="E165">
        <v>9.6900030000000008</v>
      </c>
      <c r="F165">
        <v>10.2338705</v>
      </c>
      <c r="G165">
        <v>10.309181000000001</v>
      </c>
      <c r="H165">
        <v>12.740449</v>
      </c>
      <c r="I165">
        <v>9.8503640000000008</v>
      </c>
      <c r="J165">
        <v>8.7737599999999993</v>
      </c>
      <c r="K165">
        <v>9.4299330000000001</v>
      </c>
      <c r="L165">
        <v>9.3385990000000003</v>
      </c>
      <c r="M165">
        <v>10.11759</v>
      </c>
      <c r="N165">
        <v>9.6536139999999993</v>
      </c>
      <c r="O165">
        <v>9.3443299999999994</v>
      </c>
      <c r="P165">
        <v>9.4358280000000008</v>
      </c>
      <c r="Q165">
        <v>9.9809710000000003</v>
      </c>
      <c r="R165">
        <v>9.3632690000000007</v>
      </c>
      <c r="S165">
        <v>7.3832230000000001</v>
      </c>
      <c r="T165">
        <v>9.7058859999999996</v>
      </c>
      <c r="U165">
        <v>9.1091300000000004</v>
      </c>
      <c r="V165">
        <v>10.124701999999999</v>
      </c>
      <c r="W165">
        <v>10.498341</v>
      </c>
      <c r="X165">
        <v>10.231767</v>
      </c>
      <c r="Y165">
        <v>8.7967329999999997</v>
      </c>
      <c r="Z165">
        <v>9.317952</v>
      </c>
      <c r="AA165">
        <v>9.0622249999999998</v>
      </c>
      <c r="AB165">
        <v>8.9313754999999997</v>
      </c>
      <c r="AC165">
        <v>8.4730159999999994</v>
      </c>
      <c r="AD165">
        <v>9.3179449999999999</v>
      </c>
      <c r="AE165">
        <v>10.390442</v>
      </c>
      <c r="AF165">
        <v>8.8921559999999999</v>
      </c>
      <c r="AG165">
        <v>8.8470870000000001</v>
      </c>
    </row>
    <row r="166" spans="1:33" x14ac:dyDescent="0.25">
      <c r="A166" s="1">
        <v>44217</v>
      </c>
      <c r="B166">
        <v>9.6328479999999992</v>
      </c>
      <c r="C166">
        <v>9.8943779999999997</v>
      </c>
      <c r="D166">
        <v>9.3859680000000001</v>
      </c>
      <c r="E166">
        <v>9.675611</v>
      </c>
      <c r="F166">
        <v>10.406787</v>
      </c>
      <c r="G166">
        <v>10.473234</v>
      </c>
      <c r="H166">
        <v>12.963063</v>
      </c>
      <c r="I166">
        <v>9.9475169999999995</v>
      </c>
      <c r="J166">
        <v>8.6701499999999996</v>
      </c>
      <c r="K166">
        <v>9.4747000000000003</v>
      </c>
      <c r="L166">
        <v>9.3133140000000001</v>
      </c>
      <c r="M166">
        <v>10.213075</v>
      </c>
      <c r="N166">
        <v>9.712942</v>
      </c>
      <c r="O166">
        <v>9.3524689999999993</v>
      </c>
      <c r="P166">
        <v>9.4683270000000004</v>
      </c>
      <c r="Q166">
        <v>10.094597</v>
      </c>
      <c r="R166">
        <v>9.3984100000000002</v>
      </c>
      <c r="S166">
        <v>6.9873159999999999</v>
      </c>
      <c r="T166">
        <v>9.7508970000000001</v>
      </c>
      <c r="U166">
        <v>9.0374020000000002</v>
      </c>
      <c r="V166">
        <v>10.204188</v>
      </c>
      <c r="W166">
        <v>10.261661</v>
      </c>
      <c r="X166">
        <v>10.313357</v>
      </c>
      <c r="Y166">
        <v>8.6772375000000004</v>
      </c>
      <c r="Z166">
        <v>9.1909074999999998</v>
      </c>
      <c r="AA166">
        <v>9.0114400000000003</v>
      </c>
      <c r="AB166">
        <v>8.8510290000000005</v>
      </c>
      <c r="AC166">
        <v>8.3658029999999997</v>
      </c>
      <c r="AD166">
        <v>9.3146749999999994</v>
      </c>
      <c r="AE166">
        <v>10.218705</v>
      </c>
      <c r="AF166">
        <v>8.8965859999999992</v>
      </c>
      <c r="AG166">
        <v>8.9000330000000005</v>
      </c>
    </row>
    <row r="167" spans="1:33" x14ac:dyDescent="0.25">
      <c r="A167" s="1">
        <v>44218</v>
      </c>
      <c r="B167">
        <v>9.6608560000000008</v>
      </c>
      <c r="C167">
        <v>10.080468</v>
      </c>
      <c r="D167">
        <v>9.4545370000000002</v>
      </c>
      <c r="E167">
        <v>9.7419790000000006</v>
      </c>
      <c r="F167">
        <v>10.548513</v>
      </c>
      <c r="G167">
        <v>10.644196000000001</v>
      </c>
      <c r="H167">
        <v>13.20018</v>
      </c>
      <c r="I167">
        <v>9.9703739999999996</v>
      </c>
      <c r="J167">
        <v>8.7292795000000005</v>
      </c>
      <c r="K167">
        <v>9.5036229999999993</v>
      </c>
      <c r="L167">
        <v>9.3104040000000001</v>
      </c>
      <c r="M167">
        <v>10.39147</v>
      </c>
      <c r="N167">
        <v>9.7967390000000005</v>
      </c>
      <c r="O167">
        <v>9.3860010000000003</v>
      </c>
      <c r="P167">
        <v>9.5151470000000007</v>
      </c>
      <c r="Q167">
        <v>10.232582000000001</v>
      </c>
      <c r="R167">
        <v>9.3833819999999992</v>
      </c>
      <c r="S167">
        <v>7.1386437000000003</v>
      </c>
      <c r="T167">
        <v>9.8060030000000005</v>
      </c>
      <c r="U167">
        <v>9.0729930000000003</v>
      </c>
      <c r="V167">
        <v>10.129414000000001</v>
      </c>
      <c r="W167">
        <v>10.048683</v>
      </c>
      <c r="X167">
        <v>10.238652</v>
      </c>
      <c r="Y167">
        <v>8.6856410000000004</v>
      </c>
      <c r="Z167">
        <v>9.1585629999999991</v>
      </c>
      <c r="AA167">
        <v>8.9932575000000003</v>
      </c>
      <c r="AB167">
        <v>8.8375540000000008</v>
      </c>
      <c r="AC167">
        <v>8.313561</v>
      </c>
      <c r="AD167">
        <v>9.314959</v>
      </c>
      <c r="AE167">
        <v>10.348337000000001</v>
      </c>
      <c r="AF167">
        <v>8.9191640000000003</v>
      </c>
      <c r="AG167">
        <v>8.9161520000000003</v>
      </c>
    </row>
    <row r="168" spans="1:33" x14ac:dyDescent="0.25">
      <c r="A168" s="1">
        <v>44219</v>
      </c>
      <c r="B168">
        <v>9.651605</v>
      </c>
      <c r="C168">
        <v>10.150073000000001</v>
      </c>
      <c r="D168">
        <v>9.5689189999999993</v>
      </c>
      <c r="E168">
        <v>9.761158</v>
      </c>
      <c r="F168">
        <v>10.613652999999999</v>
      </c>
      <c r="G168">
        <v>10.604428</v>
      </c>
      <c r="H168">
        <v>12.649029000000001</v>
      </c>
      <c r="I168">
        <v>10.036538</v>
      </c>
      <c r="J168">
        <v>8.7511030000000005</v>
      </c>
      <c r="K168">
        <v>9.5378179999999997</v>
      </c>
      <c r="L168">
        <v>9.2939319999999999</v>
      </c>
      <c r="M168">
        <v>10.354106</v>
      </c>
      <c r="N168">
        <v>9.799118</v>
      </c>
      <c r="O168">
        <v>9.4377180000000003</v>
      </c>
      <c r="P168">
        <v>9.5389060000000008</v>
      </c>
      <c r="Q168">
        <v>10.211619000000001</v>
      </c>
      <c r="R168">
        <v>9.4198649999999997</v>
      </c>
      <c r="S168">
        <v>7.3341985000000003</v>
      </c>
      <c r="T168">
        <v>9.7561309999999999</v>
      </c>
      <c r="U168">
        <v>9.0676919999999992</v>
      </c>
      <c r="V168">
        <v>9.9728750000000002</v>
      </c>
      <c r="W168">
        <v>9.9284110000000005</v>
      </c>
      <c r="X168">
        <v>10.024725999999999</v>
      </c>
      <c r="Y168">
        <v>8.5652460000000001</v>
      </c>
      <c r="Z168">
        <v>9.1205470000000002</v>
      </c>
      <c r="AA168">
        <v>8.9685550000000003</v>
      </c>
      <c r="AB168">
        <v>8.8251519999999992</v>
      </c>
      <c r="AC168">
        <v>8.0026410000000006</v>
      </c>
      <c r="AD168">
        <v>9.3001140000000007</v>
      </c>
      <c r="AE168">
        <v>10.630061</v>
      </c>
      <c r="AF168">
        <v>8.9249740000000006</v>
      </c>
      <c r="AG168">
        <v>8.9342679999999994</v>
      </c>
    </row>
    <row r="169" spans="1:33" x14ac:dyDescent="0.25">
      <c r="A169" s="1">
        <v>44220</v>
      </c>
      <c r="B169">
        <v>9.3094420000000007</v>
      </c>
      <c r="C169">
        <v>9.9814290000000003</v>
      </c>
      <c r="D169">
        <v>9.5552469999999996</v>
      </c>
      <c r="E169">
        <v>9.6440935000000003</v>
      </c>
      <c r="F169">
        <v>10.347428000000001</v>
      </c>
      <c r="G169">
        <v>10.579923000000001</v>
      </c>
      <c r="H169">
        <v>12.619846000000001</v>
      </c>
      <c r="I169">
        <v>9.7122720000000005</v>
      </c>
      <c r="J169">
        <v>8.6318970000000004</v>
      </c>
      <c r="K169">
        <v>9.4787569999999999</v>
      </c>
      <c r="L169">
        <v>9.2504310000000007</v>
      </c>
      <c r="M169">
        <v>10.356444</v>
      </c>
      <c r="N169">
        <v>9.7759909999999994</v>
      </c>
      <c r="O169">
        <v>9.3829790000000006</v>
      </c>
      <c r="P169">
        <v>9.4958019999999994</v>
      </c>
      <c r="Q169">
        <v>10.233942000000001</v>
      </c>
      <c r="R169">
        <v>9.3633249999999997</v>
      </c>
      <c r="S169">
        <v>7.2743834999999999</v>
      </c>
      <c r="T169">
        <v>9.6587110000000003</v>
      </c>
      <c r="U169">
        <v>8.9395710000000008</v>
      </c>
      <c r="V169">
        <v>9.7230519999999991</v>
      </c>
      <c r="W169">
        <v>9.6741390000000003</v>
      </c>
      <c r="X169">
        <v>9.7597400000000007</v>
      </c>
      <c r="Y169">
        <v>8.3981639999999995</v>
      </c>
      <c r="Z169">
        <v>9.0754920000000006</v>
      </c>
      <c r="AA169">
        <v>8.8956769999999992</v>
      </c>
      <c r="AB169">
        <v>8.6922960000000007</v>
      </c>
      <c r="AC169">
        <v>7.6366825</v>
      </c>
      <c r="AD169">
        <v>9.2812490000000007</v>
      </c>
      <c r="AE169">
        <v>10.300867999999999</v>
      </c>
      <c r="AF169">
        <v>8.8824620000000003</v>
      </c>
      <c r="AG169">
        <v>8.7905350000000002</v>
      </c>
    </row>
    <row r="170" spans="1:33" x14ac:dyDescent="0.25">
      <c r="A170" s="1">
        <v>44221</v>
      </c>
      <c r="B170">
        <v>8.5949639999999992</v>
      </c>
      <c r="C170">
        <v>9.8491549999999997</v>
      </c>
      <c r="D170">
        <v>9.3709939999999996</v>
      </c>
      <c r="E170">
        <v>9.2710349999999995</v>
      </c>
      <c r="F170">
        <v>9.8177559999999993</v>
      </c>
      <c r="G170">
        <v>10.223464</v>
      </c>
      <c r="H170">
        <v>12.003825000000001</v>
      </c>
      <c r="I170">
        <v>8.8103440000000006</v>
      </c>
      <c r="J170">
        <v>8.250076</v>
      </c>
      <c r="K170">
        <v>9.2464840000000006</v>
      </c>
      <c r="L170">
        <v>9.0556269999999994</v>
      </c>
      <c r="M170">
        <v>9.9926060000000003</v>
      </c>
      <c r="N170">
        <v>9.5124429999999993</v>
      </c>
      <c r="O170">
        <v>9.2344010000000001</v>
      </c>
      <c r="P170">
        <v>9.2673729999999992</v>
      </c>
      <c r="Q170">
        <v>9.9675650000000005</v>
      </c>
      <c r="R170">
        <v>9.233212</v>
      </c>
      <c r="S170">
        <v>7.2263770000000003</v>
      </c>
      <c r="T170">
        <v>9.3600855000000003</v>
      </c>
      <c r="U170">
        <v>8.8152550000000005</v>
      </c>
      <c r="V170">
        <v>9.4380729999999993</v>
      </c>
      <c r="W170">
        <v>9.5583519999999993</v>
      </c>
      <c r="X170">
        <v>9.4862350000000006</v>
      </c>
      <c r="Y170">
        <v>8.0279089999999993</v>
      </c>
      <c r="Z170">
        <v>8.9588979999999996</v>
      </c>
      <c r="AA170">
        <v>8.7271529999999995</v>
      </c>
      <c r="AB170">
        <v>8.3403480000000005</v>
      </c>
      <c r="AC170">
        <v>7.4072623000000002</v>
      </c>
      <c r="AD170">
        <v>9.1384129999999999</v>
      </c>
      <c r="AE170">
        <v>9.7583529999999996</v>
      </c>
      <c r="AF170">
        <v>8.8301569999999998</v>
      </c>
      <c r="AG170">
        <v>8.5067550000000001</v>
      </c>
    </row>
    <row r="171" spans="1:33" x14ac:dyDescent="0.25">
      <c r="A171" s="1">
        <v>44222</v>
      </c>
      <c r="B171">
        <v>8.1139500000000009</v>
      </c>
      <c r="C171">
        <v>9.5108630000000005</v>
      </c>
      <c r="D171">
        <v>9.0589630000000003</v>
      </c>
      <c r="E171">
        <v>8.9621700000000004</v>
      </c>
      <c r="F171">
        <v>9.4232639999999996</v>
      </c>
      <c r="G171">
        <v>9.7717320000000001</v>
      </c>
      <c r="H171">
        <v>11.145813</v>
      </c>
      <c r="I171">
        <v>8.2283109999999997</v>
      </c>
      <c r="J171">
        <v>7.4411339999999999</v>
      </c>
      <c r="K171">
        <v>8.9615799999999997</v>
      </c>
      <c r="L171">
        <v>8.7536839999999998</v>
      </c>
      <c r="M171">
        <v>9.6586669999999994</v>
      </c>
      <c r="N171">
        <v>9.2494219999999991</v>
      </c>
      <c r="O171">
        <v>8.9352029999999996</v>
      </c>
      <c r="P171">
        <v>8.9971075000000003</v>
      </c>
      <c r="Q171">
        <v>9.5980500000000006</v>
      </c>
      <c r="R171">
        <v>8.9948779999999999</v>
      </c>
      <c r="S171">
        <v>6.2237790000000004</v>
      </c>
      <c r="T171">
        <v>8.9796300000000002</v>
      </c>
      <c r="U171">
        <v>8.4569100000000006</v>
      </c>
      <c r="V171">
        <v>9.0735539999999997</v>
      </c>
      <c r="W171">
        <v>9.2656790000000004</v>
      </c>
      <c r="X171">
        <v>9.1259010000000007</v>
      </c>
      <c r="Y171">
        <v>7.4130362999999999</v>
      </c>
      <c r="Z171">
        <v>8.6742950000000008</v>
      </c>
      <c r="AA171">
        <v>8.4214319999999994</v>
      </c>
      <c r="AB171">
        <v>7.7663779999999996</v>
      </c>
      <c r="AC171">
        <v>6.7910075000000001</v>
      </c>
      <c r="AD171">
        <v>8.8761600000000005</v>
      </c>
      <c r="AE171">
        <v>9.1530249999999995</v>
      </c>
      <c r="AF171">
        <v>8.6881850000000007</v>
      </c>
      <c r="AG171">
        <v>7.9485039999999998</v>
      </c>
    </row>
    <row r="172" spans="1:33" x14ac:dyDescent="0.25">
      <c r="A172" s="1">
        <v>44223</v>
      </c>
      <c r="B172">
        <v>8.3990179999999999</v>
      </c>
      <c r="C172">
        <v>9.3984299999999994</v>
      </c>
      <c r="D172">
        <v>9.0405359999999995</v>
      </c>
      <c r="E172">
        <v>9.0921830000000003</v>
      </c>
      <c r="F172">
        <v>9.5409360000000003</v>
      </c>
      <c r="G172">
        <v>9.8334019999999995</v>
      </c>
      <c r="H172">
        <v>11.041821000000001</v>
      </c>
      <c r="I172">
        <v>8.7890669999999993</v>
      </c>
      <c r="J172">
        <v>7.6909632999999999</v>
      </c>
      <c r="K172">
        <v>8.8053229999999996</v>
      </c>
      <c r="L172">
        <v>8.7193989999999992</v>
      </c>
      <c r="M172">
        <v>9.729908</v>
      </c>
      <c r="N172">
        <v>9.1920789999999997</v>
      </c>
      <c r="O172">
        <v>8.8130369999999996</v>
      </c>
      <c r="P172">
        <v>8.8740869999999994</v>
      </c>
      <c r="Q172">
        <v>9.5581879999999995</v>
      </c>
      <c r="R172">
        <v>8.8256399999999999</v>
      </c>
      <c r="S172">
        <v>6.850492</v>
      </c>
      <c r="T172">
        <v>8.8113399999999995</v>
      </c>
      <c r="U172">
        <v>8.1307700000000001</v>
      </c>
      <c r="V172">
        <v>8.8463630000000002</v>
      </c>
      <c r="W172">
        <v>8.7783280000000001</v>
      </c>
      <c r="X172">
        <v>8.8402814999999997</v>
      </c>
      <c r="Y172">
        <v>7.4762230000000001</v>
      </c>
      <c r="Z172">
        <v>8.4238289999999996</v>
      </c>
      <c r="AA172">
        <v>8.2804690000000001</v>
      </c>
      <c r="AB172">
        <v>7.6512609999999999</v>
      </c>
      <c r="AC172">
        <v>6.7400947000000002</v>
      </c>
      <c r="AD172">
        <v>8.7810310000000005</v>
      </c>
      <c r="AE172">
        <v>8.4346619999999994</v>
      </c>
      <c r="AF172">
        <v>8.4809450000000002</v>
      </c>
      <c r="AG172">
        <v>7.7845800000000001</v>
      </c>
    </row>
    <row r="173" spans="1:33" x14ac:dyDescent="0.25">
      <c r="A173" s="1">
        <v>44224</v>
      </c>
      <c r="B173">
        <v>8.5709099999999996</v>
      </c>
      <c r="C173">
        <v>9.4280539999999995</v>
      </c>
      <c r="D173">
        <v>9.1762495000000008</v>
      </c>
      <c r="E173">
        <v>9.2793810000000008</v>
      </c>
      <c r="F173">
        <v>9.7200640000000007</v>
      </c>
      <c r="G173">
        <v>9.8034499999999998</v>
      </c>
      <c r="H173">
        <v>10.838381999999999</v>
      </c>
      <c r="I173">
        <v>9.1534820000000003</v>
      </c>
      <c r="J173">
        <v>8.0088760000000008</v>
      </c>
      <c r="K173">
        <v>8.8414429999999999</v>
      </c>
      <c r="L173">
        <v>8.8019459999999992</v>
      </c>
      <c r="M173">
        <v>9.6847910000000006</v>
      </c>
      <c r="N173">
        <v>9.1400950000000005</v>
      </c>
      <c r="O173">
        <v>8.8819684999999993</v>
      </c>
      <c r="P173">
        <v>8.8943340000000006</v>
      </c>
      <c r="Q173">
        <v>9.5363550000000004</v>
      </c>
      <c r="R173">
        <v>8.8904580000000006</v>
      </c>
      <c r="S173">
        <v>7.6666102</v>
      </c>
      <c r="T173">
        <v>8.8495889999999999</v>
      </c>
      <c r="U173">
        <v>8.2558720000000001</v>
      </c>
      <c r="V173">
        <v>9.0245219999999993</v>
      </c>
      <c r="W173">
        <v>8.5930839999999993</v>
      </c>
      <c r="X173">
        <v>9.0622015000000005</v>
      </c>
      <c r="Y173">
        <v>7.5764839999999998</v>
      </c>
      <c r="Z173">
        <v>8.5031479999999995</v>
      </c>
      <c r="AA173">
        <v>8.4084424999999996</v>
      </c>
      <c r="AB173">
        <v>7.8408923000000001</v>
      </c>
      <c r="AC173">
        <v>7.0445045999999998</v>
      </c>
      <c r="AD173">
        <v>8.8036110000000001</v>
      </c>
      <c r="AE173">
        <v>8.572953</v>
      </c>
      <c r="AF173">
        <v>8.5394670000000001</v>
      </c>
      <c r="AG173">
        <v>8.1412840000000006</v>
      </c>
    </row>
    <row r="174" spans="1:33" x14ac:dyDescent="0.25">
      <c r="A174" s="1">
        <v>44225</v>
      </c>
      <c r="B174">
        <v>8.6168200000000006</v>
      </c>
      <c r="C174">
        <v>9.4761220000000002</v>
      </c>
      <c r="D174">
        <v>9.3125924999999992</v>
      </c>
      <c r="E174">
        <v>9.2679340000000003</v>
      </c>
      <c r="F174">
        <v>9.7520070000000008</v>
      </c>
      <c r="G174">
        <v>9.6717879999999994</v>
      </c>
      <c r="H174">
        <v>10.615788</v>
      </c>
      <c r="I174">
        <v>9.4060369999999995</v>
      </c>
      <c r="J174">
        <v>8.3684030000000007</v>
      </c>
      <c r="K174">
        <v>8.9263220000000008</v>
      </c>
      <c r="L174">
        <v>8.8588740000000001</v>
      </c>
      <c r="M174">
        <v>9.5800049999999999</v>
      </c>
      <c r="N174">
        <v>9.1324299999999994</v>
      </c>
      <c r="O174">
        <v>8.9764219999999995</v>
      </c>
      <c r="P174">
        <v>8.9714310000000008</v>
      </c>
      <c r="Q174">
        <v>9.4528820000000007</v>
      </c>
      <c r="R174">
        <v>8.9429449999999999</v>
      </c>
      <c r="S174">
        <v>8.1603019999999997</v>
      </c>
      <c r="T174">
        <v>8.8442769999999999</v>
      </c>
      <c r="U174">
        <v>8.3795940000000009</v>
      </c>
      <c r="V174">
        <v>8.8143550000000008</v>
      </c>
      <c r="W174">
        <v>8.4128539999999994</v>
      </c>
      <c r="X174">
        <v>8.7555569999999996</v>
      </c>
      <c r="Y174">
        <v>7.4529623999999997</v>
      </c>
      <c r="Z174">
        <v>8.6522159999999992</v>
      </c>
      <c r="AA174">
        <v>8.5327809999999999</v>
      </c>
      <c r="AB174">
        <v>7.7784656999999999</v>
      </c>
      <c r="AC174">
        <v>7.4827750000000002</v>
      </c>
      <c r="AD174">
        <v>8.8486030000000007</v>
      </c>
      <c r="AE174">
        <v>9.1248360000000002</v>
      </c>
      <c r="AF174">
        <v>8.6178220000000003</v>
      </c>
      <c r="AG174">
        <v>8.4535509999999991</v>
      </c>
    </row>
    <row r="175" spans="1:33" x14ac:dyDescent="0.25">
      <c r="A175" s="1">
        <v>44226</v>
      </c>
      <c r="B175">
        <v>8.6086790000000004</v>
      </c>
      <c r="C175">
        <v>9.3763710000000007</v>
      </c>
      <c r="D175">
        <v>9.3567809999999998</v>
      </c>
      <c r="E175">
        <v>9.2368144999999995</v>
      </c>
      <c r="F175">
        <v>9.6413180000000001</v>
      </c>
      <c r="G175">
        <v>9.5596859999999992</v>
      </c>
      <c r="H175">
        <v>10.462483000000001</v>
      </c>
      <c r="I175">
        <v>9.4307409999999994</v>
      </c>
      <c r="J175">
        <v>8.4697399999999998</v>
      </c>
      <c r="K175">
        <v>8.9872440000000005</v>
      </c>
      <c r="L175">
        <v>8.9154330000000002</v>
      </c>
      <c r="M175">
        <v>9.4965279999999996</v>
      </c>
      <c r="N175">
        <v>9.0625239999999998</v>
      </c>
      <c r="O175">
        <v>9.0219660000000008</v>
      </c>
      <c r="P175">
        <v>9.0148419999999998</v>
      </c>
      <c r="Q175">
        <v>9.3695470000000007</v>
      </c>
      <c r="R175">
        <v>9.0036745000000007</v>
      </c>
      <c r="S175">
        <v>8.2709779999999995</v>
      </c>
      <c r="T175">
        <v>8.7801639999999992</v>
      </c>
      <c r="U175">
        <v>8.5263139999999993</v>
      </c>
      <c r="V175">
        <v>8.5646304999999998</v>
      </c>
      <c r="W175">
        <v>8.326041</v>
      </c>
      <c r="X175">
        <v>8.5436460000000007</v>
      </c>
      <c r="Y175">
        <v>7.8597359999999998</v>
      </c>
      <c r="Z175">
        <v>8.7792425000000005</v>
      </c>
      <c r="AA175">
        <v>8.7113999999999994</v>
      </c>
      <c r="AB175">
        <v>7.8492959999999998</v>
      </c>
      <c r="AC175">
        <v>11.683726999999999</v>
      </c>
      <c r="AD175">
        <v>8.8986669999999997</v>
      </c>
      <c r="AE175">
        <v>9.8452649999999995</v>
      </c>
      <c r="AF175">
        <v>8.6297049999999995</v>
      </c>
      <c r="AG175">
        <v>8.7358674999999995</v>
      </c>
    </row>
    <row r="176" spans="1:33" x14ac:dyDescent="0.25">
      <c r="A176" s="1">
        <v>44227</v>
      </c>
      <c r="B176">
        <v>9.0681480000000008</v>
      </c>
      <c r="C176">
        <v>9.4846869999999992</v>
      </c>
      <c r="D176">
        <v>9.4642289999999996</v>
      </c>
      <c r="E176">
        <v>9.3995250000000006</v>
      </c>
      <c r="F176">
        <v>9.7872094999999995</v>
      </c>
      <c r="G176">
        <v>9.6033069999999991</v>
      </c>
      <c r="H176">
        <v>10.534675999999999</v>
      </c>
      <c r="I176">
        <v>9.7592949999999998</v>
      </c>
      <c r="J176">
        <v>8.8120890000000003</v>
      </c>
      <c r="K176">
        <v>9.1385240000000003</v>
      </c>
      <c r="L176">
        <v>9.0671610000000005</v>
      </c>
      <c r="M176">
        <v>9.5556549999999998</v>
      </c>
      <c r="N176">
        <v>9.110125</v>
      </c>
      <c r="O176">
        <v>9.090166</v>
      </c>
      <c r="P176">
        <v>9.1519239999999993</v>
      </c>
      <c r="Q176">
        <v>9.3919730000000001</v>
      </c>
      <c r="R176">
        <v>9.1042199999999998</v>
      </c>
      <c r="S176">
        <v>8.5047619999999995</v>
      </c>
      <c r="T176">
        <v>8.8033970000000004</v>
      </c>
      <c r="U176">
        <v>9.0313459999999992</v>
      </c>
      <c r="V176">
        <v>8.5627600000000008</v>
      </c>
      <c r="W176">
        <v>8.9162459999999992</v>
      </c>
      <c r="X176">
        <v>8.5536980000000007</v>
      </c>
      <c r="Y176">
        <v>11.405715000000001</v>
      </c>
      <c r="Z176">
        <v>9.1720705000000002</v>
      </c>
      <c r="AA176">
        <v>8.944922</v>
      </c>
      <c r="AB176">
        <v>10.399692</v>
      </c>
      <c r="AC176">
        <v>9.9884369999999993</v>
      </c>
      <c r="AD176">
        <v>9.0356489999999994</v>
      </c>
      <c r="AE176">
        <v>10.560105999999999</v>
      </c>
      <c r="AF176">
        <v>8.5632889999999993</v>
      </c>
      <c r="AG176">
        <v>9.0360669999999992</v>
      </c>
    </row>
    <row r="177" spans="1:33" x14ac:dyDescent="0.25">
      <c r="A177" s="1">
        <v>44228</v>
      </c>
      <c r="B177">
        <v>9.5398519999999998</v>
      </c>
      <c r="C177">
        <v>9.5944280000000006</v>
      </c>
      <c r="D177">
        <v>9.6259490000000003</v>
      </c>
      <c r="E177">
        <v>9.6161530000000006</v>
      </c>
      <c r="F177">
        <v>9.9318770000000001</v>
      </c>
      <c r="G177">
        <v>9.7331230000000009</v>
      </c>
      <c r="H177">
        <v>10.724208000000001</v>
      </c>
      <c r="I177">
        <v>10.155881000000001</v>
      </c>
      <c r="J177">
        <v>9.2231850000000009</v>
      </c>
      <c r="K177">
        <v>9.3456770000000002</v>
      </c>
      <c r="L177">
        <v>9.2671980000000005</v>
      </c>
      <c r="M177">
        <v>9.6841310000000007</v>
      </c>
      <c r="N177">
        <v>9.1996140000000004</v>
      </c>
      <c r="O177">
        <v>9.2305229999999998</v>
      </c>
      <c r="P177">
        <v>9.3421470000000006</v>
      </c>
      <c r="Q177">
        <v>9.5151950000000003</v>
      </c>
      <c r="R177">
        <v>9.263026</v>
      </c>
      <c r="S177">
        <v>8.9089749999999999</v>
      </c>
      <c r="T177">
        <v>9.0645570000000006</v>
      </c>
      <c r="U177">
        <v>9.2291310000000006</v>
      </c>
      <c r="V177">
        <v>9.2542690000000007</v>
      </c>
      <c r="W177">
        <v>9.7862189999999991</v>
      </c>
      <c r="X177">
        <v>9.2973379999999999</v>
      </c>
      <c r="Y177">
        <v>10.802395000000001</v>
      </c>
      <c r="Z177">
        <v>9.5459809999999994</v>
      </c>
      <c r="AA177">
        <v>9.2287700000000008</v>
      </c>
      <c r="AB177">
        <v>10.690291</v>
      </c>
      <c r="AC177">
        <v>9.4186230000000002</v>
      </c>
      <c r="AD177">
        <v>9.2188049999999997</v>
      </c>
      <c r="AE177">
        <v>11.339632999999999</v>
      </c>
      <c r="AF177">
        <v>8.8110920000000004</v>
      </c>
      <c r="AG177">
        <v>9.3235349999999997</v>
      </c>
    </row>
    <row r="178" spans="1:33" x14ac:dyDescent="0.25">
      <c r="A178" s="1">
        <v>44229</v>
      </c>
      <c r="B178">
        <v>10.163754000000001</v>
      </c>
      <c r="C178">
        <v>9.7931849999999994</v>
      </c>
      <c r="D178">
        <v>9.8873700000000007</v>
      </c>
      <c r="E178">
        <v>9.8812909999999992</v>
      </c>
      <c r="F178">
        <v>10.1760845</v>
      </c>
      <c r="G178">
        <v>9.8661619999999992</v>
      </c>
      <c r="H178">
        <v>10.828935</v>
      </c>
      <c r="I178">
        <v>10.698752000000001</v>
      </c>
      <c r="J178">
        <v>9.6492640000000005</v>
      </c>
      <c r="K178">
        <v>9.5613620000000008</v>
      </c>
      <c r="L178">
        <v>9.499098</v>
      </c>
      <c r="M178">
        <v>9.8150759999999995</v>
      </c>
      <c r="N178">
        <v>9.3389469999999992</v>
      </c>
      <c r="O178">
        <v>9.4508700000000001</v>
      </c>
      <c r="P178">
        <v>9.5257339999999999</v>
      </c>
      <c r="Q178">
        <v>9.6175759999999997</v>
      </c>
      <c r="R178">
        <v>9.4516840000000002</v>
      </c>
      <c r="S178">
        <v>9.5382259999999999</v>
      </c>
      <c r="T178">
        <v>9.5838750000000008</v>
      </c>
      <c r="U178">
        <v>9.5402009999999997</v>
      </c>
      <c r="V178">
        <v>10.022295</v>
      </c>
      <c r="W178">
        <v>9.9922620000000002</v>
      </c>
      <c r="X178">
        <v>10.015393</v>
      </c>
      <c r="Y178">
        <v>9.8353260000000002</v>
      </c>
      <c r="Z178">
        <v>9.7772799999999993</v>
      </c>
      <c r="AA178">
        <v>9.5398329999999998</v>
      </c>
      <c r="AB178">
        <v>9.7943979999999993</v>
      </c>
      <c r="AC178">
        <v>10.112246499999999</v>
      </c>
      <c r="AD178">
        <v>9.4338029999999993</v>
      </c>
      <c r="AE178">
        <v>11.7035</v>
      </c>
      <c r="AF178">
        <v>10.120366000000001</v>
      </c>
      <c r="AG178">
        <v>9.6065470000000008</v>
      </c>
    </row>
    <row r="179" spans="1:33" x14ac:dyDescent="0.25">
      <c r="A179" s="1">
        <v>44230</v>
      </c>
      <c r="B179">
        <v>9.9352044999999993</v>
      </c>
      <c r="C179">
        <v>9.6038789999999992</v>
      </c>
      <c r="D179">
        <v>9.8562764999999999</v>
      </c>
      <c r="E179">
        <v>9.8004370000000005</v>
      </c>
      <c r="F179">
        <v>9.9824649999999995</v>
      </c>
      <c r="G179">
        <v>9.8028964999999992</v>
      </c>
      <c r="H179">
        <v>10.756874</v>
      </c>
      <c r="I179">
        <v>10.521812000000001</v>
      </c>
      <c r="J179">
        <v>9.4658949999999997</v>
      </c>
      <c r="K179">
        <v>9.5780949999999994</v>
      </c>
      <c r="L179">
        <v>9.5020589999999991</v>
      </c>
      <c r="M179">
        <v>9.7335460000000005</v>
      </c>
      <c r="N179">
        <v>9.5034550000000007</v>
      </c>
      <c r="O179">
        <v>9.5212649999999996</v>
      </c>
      <c r="P179">
        <v>9.5395299999999992</v>
      </c>
      <c r="Q179">
        <v>9.5859450000000006</v>
      </c>
      <c r="R179">
        <v>9.475346</v>
      </c>
      <c r="S179">
        <v>9.2572200000000002</v>
      </c>
      <c r="T179">
        <v>9.7302630000000008</v>
      </c>
      <c r="U179">
        <v>9.5341850000000008</v>
      </c>
      <c r="V179">
        <v>9.8806419999999999</v>
      </c>
      <c r="W179">
        <v>9.8270710000000001</v>
      </c>
      <c r="X179">
        <v>9.9042844999999993</v>
      </c>
      <c r="Y179">
        <v>9.8340879999999995</v>
      </c>
      <c r="Z179">
        <v>9.654636</v>
      </c>
      <c r="AA179">
        <v>9.5278019999999994</v>
      </c>
      <c r="AB179">
        <v>9.6941950000000006</v>
      </c>
      <c r="AC179">
        <v>10.010806000000001</v>
      </c>
      <c r="AD179">
        <v>9.4578085000000005</v>
      </c>
      <c r="AE179">
        <v>11.643883000000001</v>
      </c>
      <c r="AF179">
        <v>10.721722</v>
      </c>
      <c r="AG179">
        <v>9.4614659999999997</v>
      </c>
    </row>
    <row r="180" spans="1:33" x14ac:dyDescent="0.25">
      <c r="A180" s="1">
        <v>44231</v>
      </c>
      <c r="B180">
        <v>9.8395679999999999</v>
      </c>
      <c r="C180">
        <v>9.5914059999999992</v>
      </c>
      <c r="D180">
        <v>9.7310700000000008</v>
      </c>
      <c r="E180">
        <v>9.7670899999999996</v>
      </c>
      <c r="F180">
        <v>9.9497</v>
      </c>
      <c r="G180">
        <v>9.7586779999999997</v>
      </c>
      <c r="H180">
        <v>10.726036000000001</v>
      </c>
      <c r="I180">
        <v>10.4017315</v>
      </c>
      <c r="J180">
        <v>9.3783030000000007</v>
      </c>
      <c r="K180">
        <v>9.6253309999999992</v>
      </c>
      <c r="L180">
        <v>9.5050089999999994</v>
      </c>
      <c r="M180">
        <v>9.6944569999999999</v>
      </c>
      <c r="N180">
        <v>9.6629839999999998</v>
      </c>
      <c r="O180">
        <v>9.5804480000000005</v>
      </c>
      <c r="P180">
        <v>9.57803</v>
      </c>
      <c r="Q180">
        <v>9.6456750000000007</v>
      </c>
      <c r="R180">
        <v>9.5434079999999994</v>
      </c>
      <c r="S180">
        <v>8.8138039999999993</v>
      </c>
      <c r="T180">
        <v>9.7329530000000002</v>
      </c>
      <c r="U180">
        <v>9.4644370000000002</v>
      </c>
      <c r="V180">
        <v>9.7608879999999996</v>
      </c>
      <c r="W180">
        <v>9.6728159999999992</v>
      </c>
      <c r="X180">
        <v>9.7400269999999995</v>
      </c>
      <c r="Y180">
        <v>9.7945759999999993</v>
      </c>
      <c r="Z180">
        <v>9.4894020000000001</v>
      </c>
      <c r="AA180">
        <v>9.4909210000000002</v>
      </c>
      <c r="AB180">
        <v>9.6658139999999992</v>
      </c>
      <c r="AC180">
        <v>9.6419759999999997</v>
      </c>
      <c r="AD180">
        <v>9.4621619999999993</v>
      </c>
      <c r="AE180">
        <v>11.572528</v>
      </c>
      <c r="AF180">
        <v>10.337949999999999</v>
      </c>
      <c r="AG180">
        <v>9.316236</v>
      </c>
    </row>
    <row r="181" spans="1:33" x14ac:dyDescent="0.25">
      <c r="A181" s="1">
        <v>44232</v>
      </c>
      <c r="B181">
        <v>9.8445250000000009</v>
      </c>
      <c r="C181">
        <v>9.7057009999999995</v>
      </c>
      <c r="D181">
        <v>9.6968519999999998</v>
      </c>
      <c r="E181">
        <v>9.8507149999999992</v>
      </c>
      <c r="F181">
        <v>10.002912500000001</v>
      </c>
      <c r="G181">
        <v>9.8667630000000006</v>
      </c>
      <c r="H181">
        <v>10.914866999999999</v>
      </c>
      <c r="I181">
        <v>10.486371</v>
      </c>
      <c r="J181">
        <v>9.2595530000000004</v>
      </c>
      <c r="K181">
        <v>9.6668199999999995</v>
      </c>
      <c r="L181">
        <v>9.543749</v>
      </c>
      <c r="M181">
        <v>9.7852160000000001</v>
      </c>
      <c r="N181">
        <v>9.7710439999999998</v>
      </c>
      <c r="O181">
        <v>9.6173120000000001</v>
      </c>
      <c r="P181">
        <v>9.62852</v>
      </c>
      <c r="Q181">
        <v>9.7773400000000006</v>
      </c>
      <c r="R181">
        <v>9.6119439999999994</v>
      </c>
      <c r="S181">
        <v>8.5597104999999996</v>
      </c>
      <c r="T181">
        <v>9.7471730000000001</v>
      </c>
      <c r="U181">
        <v>9.5062320000000007</v>
      </c>
      <c r="V181">
        <v>9.6688829999999992</v>
      </c>
      <c r="W181">
        <v>10.091424</v>
      </c>
      <c r="X181">
        <v>9.6560839999999999</v>
      </c>
      <c r="Y181">
        <v>9.5840409999999991</v>
      </c>
      <c r="Z181">
        <v>9.5128730000000008</v>
      </c>
      <c r="AA181">
        <v>9.5057100000000005</v>
      </c>
      <c r="AB181">
        <v>9.4991099999999999</v>
      </c>
      <c r="AC181">
        <v>9.5194100000000006</v>
      </c>
      <c r="AD181">
        <v>9.5165659999999992</v>
      </c>
      <c r="AE181">
        <v>11.449493</v>
      </c>
      <c r="AF181">
        <v>10.161652999999999</v>
      </c>
      <c r="AG181">
        <v>9.3402530000000006</v>
      </c>
    </row>
    <row r="182" spans="1:33" x14ac:dyDescent="0.25">
      <c r="A182" s="1">
        <v>44233</v>
      </c>
      <c r="B182">
        <v>10.016569</v>
      </c>
      <c r="C182">
        <v>9.8945460000000001</v>
      </c>
      <c r="D182">
        <v>9.8093249999999994</v>
      </c>
      <c r="E182">
        <v>10.061014999999999</v>
      </c>
      <c r="F182">
        <v>10.166046</v>
      </c>
      <c r="G182">
        <v>10.024447</v>
      </c>
      <c r="H182">
        <v>11.215457000000001</v>
      </c>
      <c r="I182">
        <v>10.629076</v>
      </c>
      <c r="J182">
        <v>9.3516650000000006</v>
      </c>
      <c r="K182">
        <v>9.8111069999999998</v>
      </c>
      <c r="L182">
        <v>9.6693689999999997</v>
      </c>
      <c r="M182">
        <v>9.9462539999999997</v>
      </c>
      <c r="N182">
        <v>9.9178339999999992</v>
      </c>
      <c r="O182">
        <v>9.7367950000000008</v>
      </c>
      <c r="P182">
        <v>9.7762530000000005</v>
      </c>
      <c r="Q182">
        <v>9.9379819999999999</v>
      </c>
      <c r="R182">
        <v>9.7428810000000006</v>
      </c>
      <c r="S182">
        <v>8.6309900000000006</v>
      </c>
      <c r="T182">
        <v>9.9174100000000003</v>
      </c>
      <c r="U182">
        <v>9.5771800000000002</v>
      </c>
      <c r="V182">
        <v>10.074773</v>
      </c>
      <c r="W182">
        <v>10.437806999999999</v>
      </c>
      <c r="X182">
        <v>10.092985000000001</v>
      </c>
      <c r="Y182">
        <v>9.6209150000000001</v>
      </c>
      <c r="Z182">
        <v>9.6491019999999992</v>
      </c>
      <c r="AA182">
        <v>9.5881329999999991</v>
      </c>
      <c r="AB182">
        <v>9.5322689999999994</v>
      </c>
      <c r="AC182">
        <v>9.5928400000000007</v>
      </c>
      <c r="AD182">
        <v>9.6365160000000003</v>
      </c>
      <c r="AE182">
        <v>11.632458</v>
      </c>
      <c r="AF182">
        <v>10.174239</v>
      </c>
      <c r="AG182">
        <v>9.5500380000000007</v>
      </c>
    </row>
    <row r="183" spans="1:33" x14ac:dyDescent="0.25">
      <c r="A183" s="1">
        <v>44234</v>
      </c>
      <c r="B183">
        <v>10.135961</v>
      </c>
      <c r="C183">
        <v>10.042280999999999</v>
      </c>
      <c r="D183">
        <v>9.9892570000000003</v>
      </c>
      <c r="E183">
        <v>10.253494</v>
      </c>
      <c r="F183">
        <v>10.299163</v>
      </c>
      <c r="G183">
        <v>10.185763</v>
      </c>
      <c r="H183">
        <v>11.488013</v>
      </c>
      <c r="I183">
        <v>10.692233</v>
      </c>
      <c r="J183">
        <v>9.475892</v>
      </c>
      <c r="K183">
        <v>9.9488389999999995</v>
      </c>
      <c r="L183">
        <v>9.8027200000000008</v>
      </c>
      <c r="M183">
        <v>10.114189</v>
      </c>
      <c r="N183">
        <v>10.056691000000001</v>
      </c>
      <c r="O183">
        <v>9.8960869999999996</v>
      </c>
      <c r="P183">
        <v>9.9218899999999994</v>
      </c>
      <c r="Q183">
        <v>10.103106</v>
      </c>
      <c r="R183">
        <v>9.8776080000000004</v>
      </c>
      <c r="S183">
        <v>8.9677140000000009</v>
      </c>
      <c r="T183">
        <v>10.196721</v>
      </c>
      <c r="U183">
        <v>9.757816</v>
      </c>
      <c r="V183">
        <v>10.430795</v>
      </c>
      <c r="W183">
        <v>10.358724</v>
      </c>
      <c r="X183">
        <v>10.454005</v>
      </c>
      <c r="Y183">
        <v>9.7840860000000003</v>
      </c>
      <c r="Z183">
        <v>9.8230319999999995</v>
      </c>
      <c r="AA183">
        <v>9.6974879999999999</v>
      </c>
      <c r="AB183">
        <v>9.6970159999999996</v>
      </c>
      <c r="AC183">
        <v>9.7659160000000007</v>
      </c>
      <c r="AD183">
        <v>9.7799969999999998</v>
      </c>
      <c r="AE183">
        <v>11.799362</v>
      </c>
      <c r="AF183">
        <v>10.249752000000001</v>
      </c>
      <c r="AG183">
        <v>9.7562460000000009</v>
      </c>
    </row>
    <row r="184" spans="1:33" x14ac:dyDescent="0.25">
      <c r="A184" s="1">
        <v>44235</v>
      </c>
      <c r="B184">
        <v>10.284998999999999</v>
      </c>
      <c r="C184">
        <v>10.181609</v>
      </c>
      <c r="D184">
        <v>10.177417</v>
      </c>
      <c r="E184">
        <v>10.374183</v>
      </c>
      <c r="F184">
        <v>10.413516</v>
      </c>
      <c r="G184">
        <v>10.349498000000001</v>
      </c>
      <c r="H184">
        <v>11.775447</v>
      </c>
      <c r="I184">
        <v>10.660161</v>
      </c>
      <c r="J184">
        <v>9.6028780000000005</v>
      </c>
      <c r="K184">
        <v>10.068289999999999</v>
      </c>
      <c r="L184">
        <v>9.9227729999999994</v>
      </c>
      <c r="M184">
        <v>10.281694999999999</v>
      </c>
      <c r="N184">
        <v>10.231272000000001</v>
      </c>
      <c r="O184">
        <v>10.031333</v>
      </c>
      <c r="P184">
        <v>10.057744</v>
      </c>
      <c r="Q184">
        <v>10.260546</v>
      </c>
      <c r="R184">
        <v>9.9902110000000004</v>
      </c>
      <c r="S184">
        <v>9.1653249999999993</v>
      </c>
      <c r="T184">
        <v>10.413940999999999</v>
      </c>
      <c r="U184">
        <v>9.9046520000000005</v>
      </c>
      <c r="V184">
        <v>10.447029000000001</v>
      </c>
      <c r="W184">
        <v>10.061833</v>
      </c>
      <c r="X184">
        <v>10.398785999999999</v>
      </c>
      <c r="Y184">
        <v>9.919689</v>
      </c>
      <c r="Z184">
        <v>9.9711789999999993</v>
      </c>
      <c r="AA184">
        <v>9.7794329999999992</v>
      </c>
      <c r="AB184">
        <v>9.8491300000000006</v>
      </c>
      <c r="AC184">
        <v>9.8081999999999994</v>
      </c>
      <c r="AD184">
        <v>9.9099219999999999</v>
      </c>
      <c r="AE184">
        <v>11.933517999999999</v>
      </c>
      <c r="AF184">
        <v>10.321965000000001</v>
      </c>
      <c r="AG184">
        <v>9.8534769999999998</v>
      </c>
    </row>
    <row r="185" spans="1:33" x14ac:dyDescent="0.25">
      <c r="A185" s="1">
        <v>44236</v>
      </c>
      <c r="B185">
        <v>10.566948999999999</v>
      </c>
      <c r="C185">
        <v>10.376053000000001</v>
      </c>
      <c r="D185">
        <v>10.432074999999999</v>
      </c>
      <c r="E185">
        <v>10.562683</v>
      </c>
      <c r="F185">
        <v>10.601918</v>
      </c>
      <c r="G185">
        <v>10.523932</v>
      </c>
      <c r="H185">
        <v>11.906915</v>
      </c>
      <c r="I185">
        <v>10.745139999999999</v>
      </c>
      <c r="J185">
        <v>9.869745</v>
      </c>
      <c r="K185">
        <v>10.214658</v>
      </c>
      <c r="L185">
        <v>10.090985</v>
      </c>
      <c r="M185">
        <v>10.470622000000001</v>
      </c>
      <c r="N185">
        <v>10.402673</v>
      </c>
      <c r="O185">
        <v>10.178674000000001</v>
      </c>
      <c r="P185">
        <v>10.210507</v>
      </c>
      <c r="Q185">
        <v>10.417372</v>
      </c>
      <c r="R185">
        <v>10.108458499999999</v>
      </c>
      <c r="S185">
        <v>9.5222460000000009</v>
      </c>
      <c r="T185">
        <v>10.515273000000001</v>
      </c>
      <c r="U185">
        <v>10.079349499999999</v>
      </c>
      <c r="V185">
        <v>10.380342000000001</v>
      </c>
      <c r="W185">
        <v>10.143136</v>
      </c>
      <c r="X185">
        <v>10.312849999999999</v>
      </c>
      <c r="Y185">
        <v>10.124283</v>
      </c>
      <c r="Z185">
        <v>10.201745000000001</v>
      </c>
      <c r="AA185">
        <v>9.9482839999999992</v>
      </c>
      <c r="AB185">
        <v>10.066991</v>
      </c>
      <c r="AC185">
        <v>9.9656839999999995</v>
      </c>
      <c r="AD185">
        <v>10.072773</v>
      </c>
      <c r="AE185">
        <v>12.451351000000001</v>
      </c>
      <c r="AF185">
        <v>10.449859</v>
      </c>
      <c r="AG185">
        <v>10.066337000000001</v>
      </c>
    </row>
    <row r="186" spans="1:33" x14ac:dyDescent="0.25">
      <c r="A186" s="1">
        <v>44237</v>
      </c>
      <c r="B186">
        <v>10.670669</v>
      </c>
      <c r="C186">
        <v>10.513456</v>
      </c>
      <c r="D186">
        <v>10.652825999999999</v>
      </c>
      <c r="E186">
        <v>10.718730000000001</v>
      </c>
      <c r="F186">
        <v>10.697837</v>
      </c>
      <c r="G186">
        <v>10.64166</v>
      </c>
      <c r="H186">
        <v>11.896272</v>
      </c>
      <c r="I186">
        <v>10.750099000000001</v>
      </c>
      <c r="J186">
        <v>10.085659</v>
      </c>
      <c r="K186">
        <v>10.341448</v>
      </c>
      <c r="L186">
        <v>10.23648</v>
      </c>
      <c r="M186">
        <v>10.610091000000001</v>
      </c>
      <c r="N186">
        <v>10.521547999999999</v>
      </c>
      <c r="O186">
        <v>10.295299</v>
      </c>
      <c r="P186">
        <v>10.345788000000001</v>
      </c>
      <c r="Q186">
        <v>10.542941000000001</v>
      </c>
      <c r="R186">
        <v>10.2431135</v>
      </c>
      <c r="S186">
        <v>9.7432269999999992</v>
      </c>
      <c r="T186">
        <v>10.518143</v>
      </c>
      <c r="U186">
        <v>10.244653</v>
      </c>
      <c r="V186">
        <v>10.342038000000001</v>
      </c>
      <c r="W186">
        <v>10.487399999999999</v>
      </c>
      <c r="X186">
        <v>10.326711</v>
      </c>
      <c r="Y186">
        <v>10.292096000000001</v>
      </c>
      <c r="Z186">
        <v>10.440809</v>
      </c>
      <c r="AA186">
        <v>10.120609999999999</v>
      </c>
      <c r="AB186">
        <v>10.262793</v>
      </c>
      <c r="AC186">
        <v>10.191409</v>
      </c>
      <c r="AD186">
        <v>10.213488999999999</v>
      </c>
      <c r="AE186">
        <v>13.081528</v>
      </c>
      <c r="AF186">
        <v>10.571439</v>
      </c>
      <c r="AG186">
        <v>10.23372</v>
      </c>
    </row>
    <row r="187" spans="1:33" x14ac:dyDescent="0.25">
      <c r="A187" s="1">
        <v>44238</v>
      </c>
      <c r="B187">
        <v>10.855938</v>
      </c>
      <c r="C187">
        <v>10.641384</v>
      </c>
      <c r="D187">
        <v>10.829495</v>
      </c>
      <c r="E187">
        <v>10.881714000000001</v>
      </c>
      <c r="F187">
        <v>10.7824545</v>
      </c>
      <c r="G187">
        <v>10.76498</v>
      </c>
      <c r="H187">
        <v>11.910743999999999</v>
      </c>
      <c r="I187">
        <v>10.786028999999999</v>
      </c>
      <c r="J187">
        <v>10.335951</v>
      </c>
      <c r="K187">
        <v>10.492413000000001</v>
      </c>
      <c r="L187">
        <v>10.377361000000001</v>
      </c>
      <c r="M187">
        <v>10.741413</v>
      </c>
      <c r="N187">
        <v>10.659929999999999</v>
      </c>
      <c r="O187">
        <v>10.4286175</v>
      </c>
      <c r="P187">
        <v>10.499739999999999</v>
      </c>
      <c r="Q187">
        <v>10.679100999999999</v>
      </c>
      <c r="R187">
        <v>10.381171</v>
      </c>
      <c r="S187">
        <v>9.9970459999999992</v>
      </c>
      <c r="T187">
        <v>10.636365</v>
      </c>
      <c r="U187">
        <v>10.427530000000001</v>
      </c>
      <c r="V187">
        <v>10.575773999999999</v>
      </c>
      <c r="W187">
        <v>10.865083</v>
      </c>
      <c r="X187">
        <v>10.586099000000001</v>
      </c>
      <c r="Y187">
        <v>10.570016000000001</v>
      </c>
      <c r="Z187">
        <v>10.690265999999999</v>
      </c>
      <c r="AA187">
        <v>10.318706499999999</v>
      </c>
      <c r="AB187">
        <v>10.5094385</v>
      </c>
      <c r="AC187">
        <v>10.589437999999999</v>
      </c>
      <c r="AD187">
        <v>10.351077</v>
      </c>
      <c r="AE187">
        <v>13.283200000000001</v>
      </c>
      <c r="AF187">
        <v>10.673988</v>
      </c>
      <c r="AG187">
        <v>10.401082000000001</v>
      </c>
    </row>
    <row r="188" spans="1:33" x14ac:dyDescent="0.25">
      <c r="A188" s="1">
        <v>44239</v>
      </c>
      <c r="B188">
        <v>10.941181</v>
      </c>
      <c r="C188">
        <v>10.79771</v>
      </c>
      <c r="D188">
        <v>10.906834999999999</v>
      </c>
      <c r="E188">
        <v>10.975287</v>
      </c>
      <c r="F188">
        <v>10.926769</v>
      </c>
      <c r="G188">
        <v>10.860263</v>
      </c>
      <c r="H188">
        <v>11.941356000000001</v>
      </c>
      <c r="I188">
        <v>10.905856</v>
      </c>
      <c r="J188">
        <v>10.562972</v>
      </c>
      <c r="K188">
        <v>10.604698000000001</v>
      </c>
      <c r="L188">
        <v>10.526861</v>
      </c>
      <c r="M188">
        <v>10.844844999999999</v>
      </c>
      <c r="N188">
        <v>10.74385</v>
      </c>
      <c r="O188">
        <v>10.5578375</v>
      </c>
      <c r="P188">
        <v>10.618838</v>
      </c>
      <c r="Q188">
        <v>10.777710000000001</v>
      </c>
      <c r="R188">
        <v>10.504916</v>
      </c>
      <c r="S188">
        <v>10.246505000000001</v>
      </c>
      <c r="T188">
        <v>10.782261</v>
      </c>
      <c r="U188">
        <v>10.648887999999999</v>
      </c>
      <c r="V188">
        <v>10.911732000000001</v>
      </c>
      <c r="W188">
        <v>11.280514999999999</v>
      </c>
      <c r="X188">
        <v>10.953343</v>
      </c>
      <c r="Y188">
        <v>10.812248</v>
      </c>
      <c r="Z188">
        <v>10.899167</v>
      </c>
      <c r="AA188">
        <v>10.508141</v>
      </c>
      <c r="AB188">
        <v>10.694903</v>
      </c>
      <c r="AC188">
        <v>10.9856415</v>
      </c>
      <c r="AD188">
        <v>10.49798</v>
      </c>
      <c r="AE188">
        <v>13.192954</v>
      </c>
      <c r="AF188">
        <v>10.802049</v>
      </c>
      <c r="AG188">
        <v>10.564101000000001</v>
      </c>
    </row>
    <row r="189" spans="1:33" x14ac:dyDescent="0.25">
      <c r="A189" s="1">
        <v>44240</v>
      </c>
      <c r="B189">
        <v>11.17736</v>
      </c>
      <c r="C189">
        <v>10.988682000000001</v>
      </c>
      <c r="D189">
        <v>11.041228</v>
      </c>
      <c r="E189">
        <v>11.139373000000001</v>
      </c>
      <c r="F189">
        <v>11.106681999999999</v>
      </c>
      <c r="G189">
        <v>10.996491000000001</v>
      </c>
      <c r="H189">
        <v>12.001053000000001</v>
      </c>
      <c r="I189">
        <v>11.213918</v>
      </c>
      <c r="J189">
        <v>10.911467999999999</v>
      </c>
      <c r="K189">
        <v>10.825480000000001</v>
      </c>
      <c r="L189">
        <v>10.758327</v>
      </c>
      <c r="M189">
        <v>11.00657</v>
      </c>
      <c r="N189">
        <v>10.955014</v>
      </c>
      <c r="O189">
        <v>10.75797</v>
      </c>
      <c r="P189">
        <v>10.835378</v>
      </c>
      <c r="Q189">
        <v>10.921939</v>
      </c>
      <c r="R189">
        <v>10.677830999999999</v>
      </c>
      <c r="S189">
        <v>10.637515</v>
      </c>
      <c r="T189">
        <v>11.075298999999999</v>
      </c>
      <c r="U189">
        <v>10.957559</v>
      </c>
      <c r="V189">
        <v>11.392754999999999</v>
      </c>
      <c r="W189">
        <v>11.677517999999999</v>
      </c>
      <c r="X189">
        <v>11.445048999999999</v>
      </c>
      <c r="Y189">
        <v>11.171234999999999</v>
      </c>
      <c r="Z189">
        <v>11.132701000000001</v>
      </c>
      <c r="AA189">
        <v>10.796901</v>
      </c>
      <c r="AB189">
        <v>10.978548999999999</v>
      </c>
      <c r="AC189">
        <v>11.403767999999999</v>
      </c>
      <c r="AD189">
        <v>10.728732000000001</v>
      </c>
      <c r="AE189">
        <v>13.689564000000001</v>
      </c>
      <c r="AF189">
        <v>10.989262999999999</v>
      </c>
      <c r="AG189">
        <v>10.823536000000001</v>
      </c>
    </row>
    <row r="190" spans="1:33" x14ac:dyDescent="0.25">
      <c r="A190" s="1">
        <v>44241</v>
      </c>
      <c r="B190">
        <v>10.95651</v>
      </c>
      <c r="C190">
        <v>10.941399000000001</v>
      </c>
      <c r="D190">
        <v>11.008782</v>
      </c>
      <c r="E190">
        <v>11.038024999999999</v>
      </c>
      <c r="F190">
        <v>11.000581</v>
      </c>
      <c r="G190">
        <v>10.999155999999999</v>
      </c>
      <c r="H190">
        <v>11.824870000000001</v>
      </c>
      <c r="I190">
        <v>11.085974999999999</v>
      </c>
      <c r="J190">
        <v>10.684022000000001</v>
      </c>
      <c r="K190">
        <v>10.834669999999999</v>
      </c>
      <c r="L190">
        <v>10.843470999999999</v>
      </c>
      <c r="M190">
        <v>10.99025</v>
      </c>
      <c r="N190">
        <v>11.013109999999999</v>
      </c>
      <c r="O190">
        <v>10.870990000000001</v>
      </c>
      <c r="P190">
        <v>10.844167000000001</v>
      </c>
      <c r="Q190">
        <v>10.943467</v>
      </c>
      <c r="R190">
        <v>10.767194</v>
      </c>
      <c r="S190">
        <v>10.575138000000001</v>
      </c>
      <c r="T190">
        <v>11.230212</v>
      </c>
      <c r="U190">
        <v>11.114276</v>
      </c>
      <c r="V190">
        <v>11.641400000000001</v>
      </c>
      <c r="W190">
        <v>11.828179</v>
      </c>
      <c r="X190">
        <v>11.667024</v>
      </c>
      <c r="Y190">
        <v>11.199434999999999</v>
      </c>
      <c r="Z190">
        <v>11.142486999999999</v>
      </c>
      <c r="AA190">
        <v>10.865900999999999</v>
      </c>
      <c r="AB190">
        <v>11.057948</v>
      </c>
      <c r="AC190">
        <v>11.313805</v>
      </c>
      <c r="AD190">
        <v>10.823442999999999</v>
      </c>
      <c r="AE190">
        <v>13.170781</v>
      </c>
      <c r="AF190">
        <v>11.010586999999999</v>
      </c>
      <c r="AG190">
        <v>10.788311</v>
      </c>
    </row>
    <row r="191" spans="1:33" x14ac:dyDescent="0.25">
      <c r="A191" s="1">
        <v>44242</v>
      </c>
      <c r="B191">
        <v>11.202054</v>
      </c>
      <c r="C191">
        <v>11.132949</v>
      </c>
      <c r="D191">
        <v>11.076267</v>
      </c>
      <c r="E191">
        <v>11.138821</v>
      </c>
      <c r="F191">
        <v>11.210507</v>
      </c>
      <c r="G191">
        <v>11.113538</v>
      </c>
      <c r="H191">
        <v>11.899127</v>
      </c>
      <c r="I191">
        <v>11.309403</v>
      </c>
      <c r="J191">
        <v>10.968680000000001</v>
      </c>
      <c r="K191">
        <v>10.959371000000001</v>
      </c>
      <c r="L191">
        <v>10.983895</v>
      </c>
      <c r="M191">
        <v>11.105866000000001</v>
      </c>
      <c r="N191">
        <v>11.190049</v>
      </c>
      <c r="O191">
        <v>11.084439</v>
      </c>
      <c r="P191">
        <v>10.960846999999999</v>
      </c>
      <c r="Q191">
        <v>11.061138</v>
      </c>
      <c r="R191">
        <v>10.934886000000001</v>
      </c>
      <c r="S191">
        <v>11.039930999999999</v>
      </c>
      <c r="T191">
        <v>11.470338</v>
      </c>
      <c r="U191">
        <v>11.331725</v>
      </c>
      <c r="V191">
        <v>11.876082</v>
      </c>
      <c r="W191">
        <v>11.934589000000001</v>
      </c>
      <c r="X191">
        <v>11.900414</v>
      </c>
      <c r="Y191">
        <v>11.313477499999999</v>
      </c>
      <c r="Z191">
        <v>11.275532</v>
      </c>
      <c r="AA191">
        <v>11.02609</v>
      </c>
      <c r="AB191">
        <v>11.141251</v>
      </c>
      <c r="AC191">
        <v>11.432439</v>
      </c>
      <c r="AD191">
        <v>10.962028999999999</v>
      </c>
      <c r="AE191">
        <v>13.060936999999999</v>
      </c>
      <c r="AF191">
        <v>11.08928</v>
      </c>
      <c r="AG191">
        <v>10.957238</v>
      </c>
    </row>
    <row r="192" spans="1:33" x14ac:dyDescent="0.25">
      <c r="A192" s="1">
        <v>44243</v>
      </c>
      <c r="B192">
        <v>10.796265</v>
      </c>
      <c r="C192">
        <v>10.969768999999999</v>
      </c>
      <c r="D192">
        <v>10.939385</v>
      </c>
      <c r="E192">
        <v>10.935676000000001</v>
      </c>
      <c r="F192">
        <v>11.023266</v>
      </c>
      <c r="G192">
        <v>11.053402999999999</v>
      </c>
      <c r="H192">
        <v>11.719979</v>
      </c>
      <c r="I192">
        <v>10.95504</v>
      </c>
      <c r="J192">
        <v>10.586601999999999</v>
      </c>
      <c r="K192">
        <v>10.881292999999999</v>
      </c>
      <c r="L192">
        <v>10.919618</v>
      </c>
      <c r="M192">
        <v>11.013083999999999</v>
      </c>
      <c r="N192">
        <v>11.226872</v>
      </c>
      <c r="O192">
        <v>11.057824</v>
      </c>
      <c r="P192">
        <v>10.894015</v>
      </c>
      <c r="Q192">
        <v>11.041428</v>
      </c>
      <c r="R192">
        <v>10.919181999999999</v>
      </c>
      <c r="S192">
        <v>10.602994000000001</v>
      </c>
      <c r="T192">
        <v>11.460837</v>
      </c>
      <c r="U192">
        <v>11.249542999999999</v>
      </c>
      <c r="V192">
        <v>11.81433</v>
      </c>
      <c r="W192">
        <v>11.836689</v>
      </c>
      <c r="X192">
        <v>11.821561000000001</v>
      </c>
      <c r="Y192">
        <v>11.075794</v>
      </c>
      <c r="Z192">
        <v>11.182588000000001</v>
      </c>
      <c r="AA192">
        <v>10.880908</v>
      </c>
      <c r="AB192">
        <v>10.977067</v>
      </c>
      <c r="AC192">
        <v>10.948570999999999</v>
      </c>
      <c r="AD192">
        <v>10.918718999999999</v>
      </c>
      <c r="AE192">
        <v>12.858444</v>
      </c>
      <c r="AF192">
        <v>11.027153</v>
      </c>
      <c r="AG192">
        <v>10.773987</v>
      </c>
    </row>
    <row r="193" spans="1:33" x14ac:dyDescent="0.25">
      <c r="A193" s="1">
        <v>44244</v>
      </c>
      <c r="B193">
        <v>10.712899</v>
      </c>
      <c r="C193">
        <v>10.971143</v>
      </c>
      <c r="D193">
        <v>10.731145</v>
      </c>
      <c r="E193">
        <v>10.810036999999999</v>
      </c>
      <c r="F193">
        <v>11.01558</v>
      </c>
      <c r="G193">
        <v>11.033671</v>
      </c>
      <c r="H193">
        <v>11.694013</v>
      </c>
      <c r="I193">
        <v>10.95232</v>
      </c>
      <c r="J193">
        <v>10.302301</v>
      </c>
      <c r="K193">
        <v>10.837066</v>
      </c>
      <c r="L193">
        <v>10.910256</v>
      </c>
      <c r="M193">
        <v>10.981647499999999</v>
      </c>
      <c r="N193">
        <v>11.292071999999999</v>
      </c>
      <c r="O193">
        <v>11.061069</v>
      </c>
      <c r="P193">
        <v>10.84596</v>
      </c>
      <c r="Q193">
        <v>11.070828000000001</v>
      </c>
      <c r="R193">
        <v>10.912898999999999</v>
      </c>
      <c r="S193">
        <v>9.9754170000000002</v>
      </c>
      <c r="T193">
        <v>11.358295999999999</v>
      </c>
      <c r="U193">
        <v>11.031947000000001</v>
      </c>
      <c r="V193">
        <v>11.619346</v>
      </c>
      <c r="W193">
        <v>11.378818000000001</v>
      </c>
      <c r="X193">
        <v>11.618027</v>
      </c>
      <c r="Y193">
        <v>10.713737999999999</v>
      </c>
      <c r="Z193">
        <v>11.051097</v>
      </c>
      <c r="AA193">
        <v>10.780055000000001</v>
      </c>
      <c r="AB193">
        <v>10.745756999999999</v>
      </c>
      <c r="AC193">
        <v>10.493425999999999</v>
      </c>
      <c r="AD193">
        <v>10.913745</v>
      </c>
      <c r="AE193">
        <v>12.255459</v>
      </c>
      <c r="AF193">
        <v>10.991235</v>
      </c>
      <c r="AG193">
        <v>10.6476755</v>
      </c>
    </row>
    <row r="194" spans="1:33" x14ac:dyDescent="0.25">
      <c r="A194" s="1">
        <v>44245</v>
      </c>
      <c r="B194">
        <v>10.716934</v>
      </c>
      <c r="C194">
        <v>11.016382999999999</v>
      </c>
      <c r="D194">
        <v>10.584410999999999</v>
      </c>
      <c r="E194">
        <v>10.745839</v>
      </c>
      <c r="F194">
        <v>11.019971</v>
      </c>
      <c r="G194">
        <v>11.058491</v>
      </c>
      <c r="H194">
        <v>11.946865000000001</v>
      </c>
      <c r="I194">
        <v>11.065257000000001</v>
      </c>
      <c r="J194">
        <v>9.9977839999999993</v>
      </c>
      <c r="K194">
        <v>10.808948000000001</v>
      </c>
      <c r="L194">
        <v>10.88433</v>
      </c>
      <c r="M194">
        <v>10.984631</v>
      </c>
      <c r="N194">
        <v>11.275069999999999</v>
      </c>
      <c r="O194">
        <v>10.958850999999999</v>
      </c>
      <c r="P194">
        <v>10.813628</v>
      </c>
      <c r="Q194">
        <v>11.117222</v>
      </c>
      <c r="R194">
        <v>10.895848000000001</v>
      </c>
      <c r="S194">
        <v>9.0677079999999997</v>
      </c>
      <c r="T194">
        <v>11.199401</v>
      </c>
      <c r="U194">
        <v>10.876141000000001</v>
      </c>
      <c r="V194">
        <v>11.211546999999999</v>
      </c>
      <c r="W194">
        <v>11.090911999999999</v>
      </c>
      <c r="X194">
        <v>11.206191</v>
      </c>
      <c r="Y194">
        <v>10.306506000000001</v>
      </c>
      <c r="Z194">
        <v>10.938136999999999</v>
      </c>
      <c r="AA194">
        <v>10.689788999999999</v>
      </c>
      <c r="AB194">
        <v>10.521122</v>
      </c>
      <c r="AC194">
        <v>9.7787799999999994</v>
      </c>
      <c r="AD194">
        <v>10.876778</v>
      </c>
      <c r="AE194">
        <v>11.830009</v>
      </c>
      <c r="AF194">
        <v>10.981401999999999</v>
      </c>
      <c r="AG194">
        <v>10.557838</v>
      </c>
    </row>
    <row r="195" spans="1:33" x14ac:dyDescent="0.25">
      <c r="A195" s="1">
        <v>44246</v>
      </c>
      <c r="B195">
        <v>10.987463999999999</v>
      </c>
      <c r="C195">
        <v>11.163373</v>
      </c>
      <c r="D195">
        <v>10.616398999999999</v>
      </c>
      <c r="E195">
        <v>10.852672</v>
      </c>
      <c r="F195">
        <v>11.153942000000001</v>
      </c>
      <c r="G195">
        <v>11.167399</v>
      </c>
      <c r="H195">
        <v>12.343954999999999</v>
      </c>
      <c r="I195">
        <v>11.375330999999999</v>
      </c>
      <c r="J195">
        <v>10.090234000000001</v>
      </c>
      <c r="K195">
        <v>10.896706</v>
      </c>
      <c r="L195">
        <v>10.9536295</v>
      </c>
      <c r="M195">
        <v>11.086330999999999</v>
      </c>
      <c r="N195">
        <v>11.352126999999999</v>
      </c>
      <c r="O195">
        <v>11.034542</v>
      </c>
      <c r="P195">
        <v>10.892685</v>
      </c>
      <c r="Q195">
        <v>11.207101</v>
      </c>
      <c r="R195">
        <v>10.955596</v>
      </c>
      <c r="S195">
        <v>8.987247</v>
      </c>
      <c r="T195">
        <v>11.1744995</v>
      </c>
      <c r="U195">
        <v>10.907590000000001</v>
      </c>
      <c r="V195">
        <v>11.078576</v>
      </c>
      <c r="W195">
        <v>10.948081999999999</v>
      </c>
      <c r="X195">
        <v>11.064259</v>
      </c>
      <c r="Y195">
        <v>10.098196</v>
      </c>
      <c r="Z195">
        <v>10.997571000000001</v>
      </c>
      <c r="AA195">
        <v>10.709562999999999</v>
      </c>
      <c r="AB195">
        <v>10.584531</v>
      </c>
      <c r="AC195">
        <v>9.1810600000000004</v>
      </c>
      <c r="AD195">
        <v>10.9524765</v>
      </c>
      <c r="AE195">
        <v>12.319716</v>
      </c>
      <c r="AF195">
        <v>11.017086000000001</v>
      </c>
      <c r="AG195">
        <v>10.694850000000001</v>
      </c>
    </row>
    <row r="196" spans="1:33" x14ac:dyDescent="0.25">
      <c r="A196" s="1">
        <v>44247</v>
      </c>
      <c r="B196">
        <v>10.804544999999999</v>
      </c>
      <c r="C196">
        <v>11.158852</v>
      </c>
      <c r="D196">
        <v>10.686693999999999</v>
      </c>
      <c r="E196">
        <v>10.844386</v>
      </c>
      <c r="F196">
        <v>11.107308</v>
      </c>
      <c r="G196">
        <v>11.235317999999999</v>
      </c>
      <c r="H196">
        <v>12.535311999999999</v>
      </c>
      <c r="I196">
        <v>11.247571000000001</v>
      </c>
      <c r="J196">
        <v>10.054259</v>
      </c>
      <c r="K196">
        <v>10.946702</v>
      </c>
      <c r="L196">
        <v>10.882308999999999</v>
      </c>
      <c r="M196">
        <v>11.118651</v>
      </c>
      <c r="N196">
        <v>11.297238</v>
      </c>
      <c r="O196">
        <v>10.981612</v>
      </c>
      <c r="P196">
        <v>10.927208</v>
      </c>
      <c r="Q196">
        <v>11.221558999999999</v>
      </c>
      <c r="R196">
        <v>10.967715999999999</v>
      </c>
      <c r="S196">
        <v>8.9731649999999998</v>
      </c>
      <c r="T196">
        <v>11.133939</v>
      </c>
      <c r="U196">
        <v>10.847576999999999</v>
      </c>
      <c r="V196">
        <v>10.918687</v>
      </c>
      <c r="W196">
        <v>10.883343999999999</v>
      </c>
      <c r="X196">
        <v>10.902817000000001</v>
      </c>
      <c r="Y196">
        <v>10.018888</v>
      </c>
      <c r="Z196">
        <v>10.990513999999999</v>
      </c>
      <c r="AA196">
        <v>10.670114</v>
      </c>
      <c r="AB196">
        <v>10.367953</v>
      </c>
      <c r="AC196">
        <v>8.787293</v>
      </c>
      <c r="AD196">
        <v>10.97282</v>
      </c>
      <c r="AE196">
        <v>12.430002999999999</v>
      </c>
      <c r="AF196">
        <v>11.018552</v>
      </c>
      <c r="AG196">
        <v>10.594103</v>
      </c>
    </row>
    <row r="197" spans="1:33" x14ac:dyDescent="0.25">
      <c r="A197" s="1">
        <v>44248</v>
      </c>
      <c r="B197">
        <v>10.743781</v>
      </c>
      <c r="C197">
        <v>11.210209000000001</v>
      </c>
      <c r="D197">
        <v>10.810328500000001</v>
      </c>
      <c r="E197">
        <v>10.906304</v>
      </c>
      <c r="F197">
        <v>11.263646</v>
      </c>
      <c r="G197">
        <v>11.253133</v>
      </c>
      <c r="H197">
        <v>12.434616</v>
      </c>
      <c r="I197">
        <v>11.24273</v>
      </c>
      <c r="J197">
        <v>9.9077420000000007</v>
      </c>
      <c r="K197">
        <v>11.023351</v>
      </c>
      <c r="L197">
        <v>10.940511000000001</v>
      </c>
      <c r="M197">
        <v>11.182017</v>
      </c>
      <c r="N197">
        <v>11.235353999999999</v>
      </c>
      <c r="O197">
        <v>11.035114</v>
      </c>
      <c r="P197">
        <v>10.972388</v>
      </c>
      <c r="Q197">
        <v>11.255065</v>
      </c>
      <c r="R197">
        <v>11.040520000000001</v>
      </c>
      <c r="S197">
        <v>9.1818000000000008</v>
      </c>
      <c r="T197">
        <v>11.053101</v>
      </c>
      <c r="U197">
        <v>10.759017999999999</v>
      </c>
      <c r="V197">
        <v>10.858421</v>
      </c>
      <c r="W197">
        <v>10.803750000000001</v>
      </c>
      <c r="X197">
        <v>10.832157</v>
      </c>
      <c r="Y197">
        <v>9.7335670000000007</v>
      </c>
      <c r="Z197">
        <v>10.923748</v>
      </c>
      <c r="AA197">
        <v>10.695643</v>
      </c>
      <c r="AB197">
        <v>10.274578999999999</v>
      </c>
      <c r="AC197">
        <v>8.5985630000000004</v>
      </c>
      <c r="AD197">
        <v>10.992715</v>
      </c>
      <c r="AE197">
        <v>12.364571</v>
      </c>
      <c r="AF197">
        <v>11.060994000000001</v>
      </c>
      <c r="AG197">
        <v>10.655503</v>
      </c>
    </row>
    <row r="198" spans="1:33" x14ac:dyDescent="0.25">
      <c r="A198" s="1">
        <v>44249</v>
      </c>
      <c r="B198">
        <v>11.095694999999999</v>
      </c>
      <c r="C198">
        <v>11.454896</v>
      </c>
      <c r="D198">
        <v>11.069648000000001</v>
      </c>
      <c r="E198">
        <v>11.162049</v>
      </c>
      <c r="F198">
        <v>11.522728000000001</v>
      </c>
      <c r="G198">
        <v>11.437191</v>
      </c>
      <c r="H198">
        <v>12.842734</v>
      </c>
      <c r="I198">
        <v>11.574947</v>
      </c>
      <c r="J198">
        <v>10.189629</v>
      </c>
      <c r="K198">
        <v>11.194546000000001</v>
      </c>
      <c r="L198">
        <v>11.135066</v>
      </c>
      <c r="M198">
        <v>11.381219</v>
      </c>
      <c r="N198">
        <v>11.336285999999999</v>
      </c>
      <c r="O198">
        <v>11.177951</v>
      </c>
      <c r="P198">
        <v>11.140853</v>
      </c>
      <c r="Q198">
        <v>11.399191999999999</v>
      </c>
      <c r="R198">
        <v>11.194474</v>
      </c>
      <c r="S198">
        <v>9.3189299999999999</v>
      </c>
      <c r="T198">
        <v>11.173416</v>
      </c>
      <c r="U198">
        <v>10.858018</v>
      </c>
      <c r="V198">
        <v>10.988941000000001</v>
      </c>
      <c r="W198">
        <v>10.834132</v>
      </c>
      <c r="X198">
        <v>10.95993</v>
      </c>
      <c r="Y198">
        <v>10.096845</v>
      </c>
      <c r="Z198">
        <v>11.011889999999999</v>
      </c>
      <c r="AA198">
        <v>10.860690999999999</v>
      </c>
      <c r="AB198">
        <v>10.516825000000001</v>
      </c>
      <c r="AC198">
        <v>8.9557599999999997</v>
      </c>
      <c r="AD198">
        <v>11.139764</v>
      </c>
      <c r="AE198">
        <v>12.668881000000001</v>
      </c>
      <c r="AF198">
        <v>11.179705999999999</v>
      </c>
      <c r="AG198">
        <v>10.942456</v>
      </c>
    </row>
    <row r="199" spans="1:33" x14ac:dyDescent="0.25">
      <c r="A199" s="1">
        <v>44250</v>
      </c>
      <c r="B199">
        <v>11.437602</v>
      </c>
      <c r="C199">
        <v>11.564615999999999</v>
      </c>
      <c r="D199">
        <v>11.371822</v>
      </c>
      <c r="E199">
        <v>11.457191999999999</v>
      </c>
      <c r="F199">
        <v>11.778661</v>
      </c>
      <c r="G199">
        <v>11.698161000000001</v>
      </c>
      <c r="H199">
        <v>13.34979</v>
      </c>
      <c r="I199">
        <v>11.842722999999999</v>
      </c>
      <c r="J199">
        <v>10.645825</v>
      </c>
      <c r="K199">
        <v>11.403573</v>
      </c>
      <c r="L199">
        <v>11.330098</v>
      </c>
      <c r="M199">
        <v>11.645115000000001</v>
      </c>
      <c r="N199">
        <v>11.504664999999999</v>
      </c>
      <c r="O199">
        <v>11.321327</v>
      </c>
      <c r="P199">
        <v>11.384922</v>
      </c>
      <c r="Q199">
        <v>11.602978</v>
      </c>
      <c r="R199">
        <v>11.333526000000001</v>
      </c>
      <c r="S199">
        <v>9.8071520000000003</v>
      </c>
      <c r="T199">
        <v>11.360961</v>
      </c>
      <c r="U199">
        <v>11.118012</v>
      </c>
      <c r="V199">
        <v>11.164052</v>
      </c>
      <c r="W199">
        <v>11.012179</v>
      </c>
      <c r="X199">
        <v>11.167422</v>
      </c>
      <c r="Y199">
        <v>10.495675</v>
      </c>
      <c r="Z199">
        <v>11.208823000000001</v>
      </c>
      <c r="AA199">
        <v>11.109315</v>
      </c>
      <c r="AB199">
        <v>10.815975999999999</v>
      </c>
      <c r="AC199">
        <v>9.2282270000000004</v>
      </c>
      <c r="AD199">
        <v>11.315974000000001</v>
      </c>
      <c r="AE199">
        <v>13.307435</v>
      </c>
      <c r="AF199">
        <v>11.342705</v>
      </c>
      <c r="AG199">
        <v>11.180866</v>
      </c>
    </row>
    <row r="200" spans="1:33" x14ac:dyDescent="0.25">
      <c r="A200" s="1">
        <v>44251</v>
      </c>
      <c r="B200">
        <v>11.308256999999999</v>
      </c>
      <c r="C200">
        <v>11.494865000000001</v>
      </c>
      <c r="D200">
        <v>11.491339999999999</v>
      </c>
      <c r="E200">
        <v>11.542024</v>
      </c>
      <c r="F200">
        <v>11.721126999999999</v>
      </c>
      <c r="G200">
        <v>11.828866</v>
      </c>
      <c r="H200">
        <v>13.449776999999999</v>
      </c>
      <c r="I200">
        <v>11.648733999999999</v>
      </c>
      <c r="J200">
        <v>10.618384000000001</v>
      </c>
      <c r="K200">
        <v>11.3865</v>
      </c>
      <c r="L200">
        <v>11.25413</v>
      </c>
      <c r="M200">
        <v>11.746741</v>
      </c>
      <c r="N200">
        <v>11.41217</v>
      </c>
      <c r="O200">
        <v>11.242767000000001</v>
      </c>
      <c r="P200">
        <v>11.411490000000001</v>
      </c>
      <c r="Q200">
        <v>11.678001999999999</v>
      </c>
      <c r="R200">
        <v>11.249321</v>
      </c>
      <c r="S200">
        <v>10.018618999999999</v>
      </c>
      <c r="T200">
        <v>11.153777</v>
      </c>
      <c r="U200">
        <v>10.950374</v>
      </c>
      <c r="V200">
        <v>10.868980000000001</v>
      </c>
      <c r="W200">
        <v>11.111397</v>
      </c>
      <c r="X200">
        <v>10.854032999999999</v>
      </c>
      <c r="Y200">
        <v>10.461805999999999</v>
      </c>
      <c r="Z200">
        <v>11.111428</v>
      </c>
      <c r="AA200">
        <v>11.179740000000001</v>
      </c>
      <c r="AB200">
        <v>10.794949000000001</v>
      </c>
      <c r="AC200">
        <v>9.5487420000000007</v>
      </c>
      <c r="AD200">
        <v>11.293424</v>
      </c>
      <c r="AE200">
        <v>13.109635000000001</v>
      </c>
      <c r="AF200">
        <v>11.349712999999999</v>
      </c>
      <c r="AG200">
        <v>11.044101</v>
      </c>
    </row>
    <row r="201" spans="1:33" x14ac:dyDescent="0.25">
      <c r="A201" s="1">
        <v>44252</v>
      </c>
      <c r="B201">
        <v>11.152559999999999</v>
      </c>
      <c r="C201">
        <v>11.4232</v>
      </c>
      <c r="D201">
        <v>11.408671999999999</v>
      </c>
      <c r="E201">
        <v>11.478634</v>
      </c>
      <c r="F201">
        <v>11.626343</v>
      </c>
      <c r="G201">
        <v>11.778416</v>
      </c>
      <c r="H201">
        <v>13.341207000000001</v>
      </c>
      <c r="I201">
        <v>11.230225000000001</v>
      </c>
      <c r="J201">
        <v>10.119740999999999</v>
      </c>
      <c r="K201">
        <v>11.234187</v>
      </c>
      <c r="L201">
        <v>11.076669000000001</v>
      </c>
      <c r="M201">
        <v>11.709486999999999</v>
      </c>
      <c r="N201">
        <v>11.267383000000001</v>
      </c>
      <c r="O201">
        <v>11.094231000000001</v>
      </c>
      <c r="P201">
        <v>11.267385000000001</v>
      </c>
      <c r="Q201">
        <v>11.599307</v>
      </c>
      <c r="R201">
        <v>11.190314000000001</v>
      </c>
      <c r="S201">
        <v>9.1764320000000001</v>
      </c>
      <c r="T201">
        <v>10.846161</v>
      </c>
      <c r="U201">
        <v>10.609546999999999</v>
      </c>
      <c r="V201">
        <v>10.767939999999999</v>
      </c>
      <c r="W201">
        <v>10.954167</v>
      </c>
      <c r="X201">
        <v>10.757394</v>
      </c>
      <c r="Y201">
        <v>10.148129000000001</v>
      </c>
      <c r="Z201">
        <v>10.73615</v>
      </c>
      <c r="AA201">
        <v>11.057646999999999</v>
      </c>
      <c r="AB201">
        <v>10.532317000000001</v>
      </c>
      <c r="AC201">
        <v>9.5327769999999994</v>
      </c>
      <c r="AD201">
        <v>11.108288999999999</v>
      </c>
      <c r="AE201">
        <v>12.102122</v>
      </c>
      <c r="AF201">
        <v>11.188985000000001</v>
      </c>
      <c r="AG201">
        <v>10.768527000000001</v>
      </c>
    </row>
    <row r="202" spans="1:33" x14ac:dyDescent="0.25">
      <c r="A202" s="1">
        <v>44253</v>
      </c>
      <c r="B202">
        <v>11.43271</v>
      </c>
      <c r="C202">
        <v>11.636348999999999</v>
      </c>
      <c r="D202">
        <v>11.528255</v>
      </c>
      <c r="E202">
        <v>11.6416445</v>
      </c>
      <c r="F202">
        <v>11.781518</v>
      </c>
      <c r="G202">
        <v>11.849441000000001</v>
      </c>
      <c r="H202">
        <v>13.374771000000001</v>
      </c>
      <c r="I202">
        <v>11.4037285</v>
      </c>
      <c r="J202">
        <v>10.291515</v>
      </c>
      <c r="K202">
        <v>11.266113000000001</v>
      </c>
      <c r="L202">
        <v>11.141643</v>
      </c>
      <c r="M202">
        <v>11.787953</v>
      </c>
      <c r="N202">
        <v>11.305403999999999</v>
      </c>
      <c r="O202">
        <v>11.132717</v>
      </c>
      <c r="P202">
        <v>11.300765</v>
      </c>
      <c r="Q202">
        <v>11.637321</v>
      </c>
      <c r="R202">
        <v>11.207459</v>
      </c>
      <c r="S202">
        <v>8.9054439999999992</v>
      </c>
      <c r="T202">
        <v>10.853892</v>
      </c>
      <c r="U202">
        <v>10.706141000000001</v>
      </c>
      <c r="V202">
        <v>11.035933500000001</v>
      </c>
      <c r="W202">
        <v>10.998234999999999</v>
      </c>
      <c r="X202">
        <v>11.089095</v>
      </c>
      <c r="Y202">
        <v>10.191000000000001</v>
      </c>
      <c r="Z202">
        <v>10.702365</v>
      </c>
      <c r="AA202">
        <v>11.120666</v>
      </c>
      <c r="AB202">
        <v>10.540808</v>
      </c>
      <c r="AC202">
        <v>9.5594470000000005</v>
      </c>
      <c r="AD202">
        <v>11.136653000000001</v>
      </c>
      <c r="AE202">
        <v>12.28159</v>
      </c>
      <c r="AF202">
        <v>11.171573</v>
      </c>
      <c r="AG202">
        <v>10.849498000000001</v>
      </c>
    </row>
    <row r="203" spans="1:33" x14ac:dyDescent="0.25">
      <c r="A203" s="1">
        <v>44254</v>
      </c>
      <c r="B203">
        <v>11.290585</v>
      </c>
      <c r="C203">
        <v>11.551242999999999</v>
      </c>
      <c r="D203">
        <v>11.480453499999999</v>
      </c>
      <c r="E203">
        <v>11.6076975</v>
      </c>
      <c r="F203">
        <v>11.650474000000001</v>
      </c>
      <c r="G203">
        <v>11.807092000000001</v>
      </c>
      <c r="H203">
        <v>13.069243999999999</v>
      </c>
      <c r="I203">
        <v>11.207633</v>
      </c>
      <c r="J203">
        <v>10.192138</v>
      </c>
      <c r="K203">
        <v>11.180749</v>
      </c>
      <c r="L203">
        <v>11.045916999999999</v>
      </c>
      <c r="M203">
        <v>11.721477999999999</v>
      </c>
      <c r="N203">
        <v>11.148496</v>
      </c>
      <c r="O203">
        <v>11.0311775</v>
      </c>
      <c r="P203">
        <v>11.218230999999999</v>
      </c>
      <c r="Q203">
        <v>11.579723</v>
      </c>
      <c r="R203">
        <v>11.068139</v>
      </c>
      <c r="S203">
        <v>8.9439879999999992</v>
      </c>
      <c r="T203">
        <v>10.743637</v>
      </c>
      <c r="U203">
        <v>10.618695000000001</v>
      </c>
      <c r="V203">
        <v>10.898483000000001</v>
      </c>
      <c r="W203">
        <v>11.123711999999999</v>
      </c>
      <c r="X203">
        <v>10.91858</v>
      </c>
      <c r="Y203">
        <v>10.254312000000001</v>
      </c>
      <c r="Z203">
        <v>10.619448</v>
      </c>
      <c r="AA203">
        <v>11.110661500000001</v>
      </c>
      <c r="AB203">
        <v>10.597377</v>
      </c>
      <c r="AC203">
        <v>9.2008310000000009</v>
      </c>
      <c r="AD203">
        <v>11.074856</v>
      </c>
      <c r="AE203">
        <v>12.571372</v>
      </c>
      <c r="AF203">
        <v>11.071431</v>
      </c>
      <c r="AG203">
        <v>10.746104000000001</v>
      </c>
    </row>
    <row r="204" spans="1:33" x14ac:dyDescent="0.25">
      <c r="A204" s="1">
        <v>44255</v>
      </c>
      <c r="B204">
        <v>11.314705999999999</v>
      </c>
      <c r="C204">
        <v>11.520823999999999</v>
      </c>
      <c r="D204">
        <v>11.36417</v>
      </c>
      <c r="E204">
        <v>11.512222</v>
      </c>
      <c r="F204">
        <v>11.739540999999999</v>
      </c>
      <c r="G204">
        <v>11.781364999999999</v>
      </c>
      <c r="H204">
        <v>13.023895</v>
      </c>
      <c r="I204">
        <v>11.238996999999999</v>
      </c>
      <c r="J204">
        <v>10.042163</v>
      </c>
      <c r="K204">
        <v>11.045059999999999</v>
      </c>
      <c r="L204">
        <v>10.964055</v>
      </c>
      <c r="M204">
        <v>11.710744</v>
      </c>
      <c r="N204">
        <v>11.020514500000001</v>
      </c>
      <c r="O204">
        <v>10.983218000000001</v>
      </c>
      <c r="P204">
        <v>11.102017</v>
      </c>
      <c r="Q204">
        <v>11.509708</v>
      </c>
      <c r="R204">
        <v>11.035202</v>
      </c>
      <c r="S204">
        <v>8.5603400000000001</v>
      </c>
      <c r="T204">
        <v>10.604483999999999</v>
      </c>
      <c r="U204">
        <v>10.520152</v>
      </c>
      <c r="V204">
        <v>10.882626</v>
      </c>
      <c r="W204">
        <v>10.993942000000001</v>
      </c>
      <c r="X204">
        <v>10.972569</v>
      </c>
      <c r="Y204">
        <v>10.150219</v>
      </c>
      <c r="Z204">
        <v>10.555543</v>
      </c>
      <c r="AA204">
        <v>11.032073</v>
      </c>
      <c r="AB204">
        <v>10.467579000000001</v>
      </c>
      <c r="AC204">
        <v>9.1100539999999999</v>
      </c>
      <c r="AD204">
        <v>11.006537</v>
      </c>
      <c r="AE204">
        <v>12.511504</v>
      </c>
      <c r="AF204">
        <v>10.937306</v>
      </c>
      <c r="AG204">
        <v>10.598754</v>
      </c>
    </row>
    <row r="205" spans="1:33" x14ac:dyDescent="0.25">
      <c r="A205" s="1">
        <v>44256</v>
      </c>
      <c r="B205">
        <v>11.506593000000001</v>
      </c>
      <c r="C205">
        <v>11.676079</v>
      </c>
      <c r="D205">
        <v>11.393772999999999</v>
      </c>
      <c r="E205">
        <v>11.557624000000001</v>
      </c>
      <c r="F205">
        <v>11.990501</v>
      </c>
      <c r="G205">
        <v>11.913878</v>
      </c>
      <c r="H205">
        <v>13.230283</v>
      </c>
      <c r="I205">
        <v>11.673829</v>
      </c>
      <c r="J205">
        <v>10.406508000000001</v>
      </c>
      <c r="K205">
        <v>11.161438</v>
      </c>
      <c r="L205">
        <v>11.078647999999999</v>
      </c>
      <c r="M205">
        <v>11.851577000000001</v>
      </c>
      <c r="N205">
        <v>11.158898000000001</v>
      </c>
      <c r="O205">
        <v>11.119533000000001</v>
      </c>
      <c r="P205">
        <v>11.207103999999999</v>
      </c>
      <c r="Q205">
        <v>11.612415</v>
      </c>
      <c r="R205">
        <v>11.141861</v>
      </c>
      <c r="S205">
        <v>8.6192679999999999</v>
      </c>
      <c r="T205">
        <v>10.762221</v>
      </c>
      <c r="U205">
        <v>10.658642</v>
      </c>
      <c r="V205">
        <v>11.140756</v>
      </c>
      <c r="W205">
        <v>11.202228</v>
      </c>
      <c r="X205">
        <v>11.274101999999999</v>
      </c>
      <c r="Y205">
        <v>10.325789</v>
      </c>
      <c r="Z205">
        <v>10.753223</v>
      </c>
      <c r="AA205">
        <v>11.185575999999999</v>
      </c>
      <c r="AB205">
        <v>10.653129</v>
      </c>
      <c r="AC205">
        <v>9.3668639999999996</v>
      </c>
      <c r="AD205">
        <v>11.102399</v>
      </c>
      <c r="AE205">
        <v>13.009171500000001</v>
      </c>
      <c r="AF205">
        <v>10.968586</v>
      </c>
      <c r="AG205">
        <v>10.825854</v>
      </c>
    </row>
    <row r="206" spans="1:33" x14ac:dyDescent="0.25">
      <c r="A206" s="1">
        <v>44257</v>
      </c>
      <c r="B206">
        <v>11.664674</v>
      </c>
      <c r="C206">
        <v>11.793941500000001</v>
      </c>
      <c r="D206">
        <v>11.442551</v>
      </c>
      <c r="E206">
        <v>11.627980000000001</v>
      </c>
      <c r="F206">
        <v>12.205741</v>
      </c>
      <c r="G206">
        <v>12.114207</v>
      </c>
      <c r="H206">
        <v>13.490678000000001</v>
      </c>
      <c r="I206">
        <v>12.048819999999999</v>
      </c>
      <c r="J206">
        <v>10.739201</v>
      </c>
      <c r="K206">
        <v>11.293865</v>
      </c>
      <c r="L206">
        <v>11.228908000000001</v>
      </c>
      <c r="M206">
        <v>12.002717000000001</v>
      </c>
      <c r="N206">
        <v>11.272838999999999</v>
      </c>
      <c r="O206">
        <v>11.250992999999999</v>
      </c>
      <c r="P206">
        <v>11.323173499999999</v>
      </c>
      <c r="Q206">
        <v>11.774056</v>
      </c>
      <c r="R206">
        <v>11.243842000000001</v>
      </c>
      <c r="S206">
        <v>8.9184049999999999</v>
      </c>
      <c r="T206">
        <v>10.951279</v>
      </c>
      <c r="U206">
        <v>10.938446000000001</v>
      </c>
      <c r="V206">
        <v>11.220219999999999</v>
      </c>
      <c r="W206">
        <v>11.586311</v>
      </c>
      <c r="X206">
        <v>11.30878</v>
      </c>
      <c r="Y206">
        <v>10.587872000000001</v>
      </c>
      <c r="Z206">
        <v>11.001792</v>
      </c>
      <c r="AA206">
        <v>11.37889</v>
      </c>
      <c r="AB206">
        <v>10.895001000000001</v>
      </c>
      <c r="AC206">
        <v>9.6444235000000003</v>
      </c>
      <c r="AD206">
        <v>11.230287000000001</v>
      </c>
      <c r="AE206">
        <v>13.344329</v>
      </c>
      <c r="AF206">
        <v>11.079463000000001</v>
      </c>
      <c r="AG206">
        <v>11.091708000000001</v>
      </c>
    </row>
    <row r="207" spans="1:33" x14ac:dyDescent="0.25">
      <c r="A207" s="1">
        <v>44258</v>
      </c>
      <c r="B207">
        <v>11.780044</v>
      </c>
      <c r="C207">
        <v>11.891593</v>
      </c>
      <c r="D207">
        <v>11.438523</v>
      </c>
      <c r="E207">
        <v>11.673356</v>
      </c>
      <c r="F207">
        <v>12.299201999999999</v>
      </c>
      <c r="G207">
        <v>12.293400999999999</v>
      </c>
      <c r="H207">
        <v>13.746795000000001</v>
      </c>
      <c r="I207">
        <v>12.167814999999999</v>
      </c>
      <c r="J207">
        <v>11.007065000000001</v>
      </c>
      <c r="K207">
        <v>11.405685</v>
      </c>
      <c r="L207">
        <v>11.361518999999999</v>
      </c>
      <c r="M207">
        <v>12.152424</v>
      </c>
      <c r="N207">
        <v>11.370566999999999</v>
      </c>
      <c r="O207">
        <v>11.353524</v>
      </c>
      <c r="P207">
        <v>11.416588000000001</v>
      </c>
      <c r="Q207">
        <v>11.931115</v>
      </c>
      <c r="R207">
        <v>11.343515999999999</v>
      </c>
      <c r="S207">
        <v>9.2484330000000003</v>
      </c>
      <c r="T207">
        <v>11.130081000000001</v>
      </c>
      <c r="U207">
        <v>11.098682</v>
      </c>
      <c r="V207">
        <v>11.382018</v>
      </c>
      <c r="W207">
        <v>11.804399</v>
      </c>
      <c r="X207">
        <v>11.482632000000001</v>
      </c>
      <c r="Y207">
        <v>10.785306</v>
      </c>
      <c r="Z207">
        <v>11.222534</v>
      </c>
      <c r="AA207">
        <v>11.543786000000001</v>
      </c>
      <c r="AB207">
        <v>11.054967</v>
      </c>
      <c r="AC207">
        <v>9.8969269999999998</v>
      </c>
      <c r="AD207">
        <v>11.348302</v>
      </c>
      <c r="AE207">
        <v>13.618524000000001</v>
      </c>
      <c r="AF207">
        <v>11.17318</v>
      </c>
      <c r="AG207">
        <v>11.29913</v>
      </c>
    </row>
    <row r="208" spans="1:33" x14ac:dyDescent="0.25">
      <c r="A208" s="1">
        <v>44259</v>
      </c>
      <c r="B208">
        <v>11.938869</v>
      </c>
      <c r="C208">
        <v>12.013515999999999</v>
      </c>
      <c r="D208">
        <v>11.417576</v>
      </c>
      <c r="E208">
        <v>11.643495</v>
      </c>
      <c r="F208">
        <v>12.336581000000001</v>
      </c>
      <c r="G208">
        <v>12.214478</v>
      </c>
      <c r="H208">
        <v>13.485059</v>
      </c>
      <c r="I208">
        <v>12.15794</v>
      </c>
      <c r="J208">
        <v>11.249169</v>
      </c>
      <c r="K208">
        <v>11.51864</v>
      </c>
      <c r="L208">
        <v>11.523313999999999</v>
      </c>
      <c r="M208">
        <v>12.085366</v>
      </c>
      <c r="N208">
        <v>11.400009000000001</v>
      </c>
      <c r="O208">
        <v>11.496471</v>
      </c>
      <c r="P208">
        <v>11.496047000000001</v>
      </c>
      <c r="Q208">
        <v>11.884506</v>
      </c>
      <c r="R208">
        <v>11.476697</v>
      </c>
      <c r="S208">
        <v>9.6366069999999997</v>
      </c>
      <c r="T208">
        <v>11.358209</v>
      </c>
      <c r="U208">
        <v>11.286804</v>
      </c>
      <c r="V208">
        <v>11.701781</v>
      </c>
      <c r="W208">
        <v>11.870049</v>
      </c>
      <c r="X208">
        <v>11.821205000000001</v>
      </c>
      <c r="Y208">
        <v>10.931817000000001</v>
      </c>
      <c r="Z208">
        <v>11.451641</v>
      </c>
      <c r="AA208">
        <v>11.707967</v>
      </c>
      <c r="AB208">
        <v>11.191618999999999</v>
      </c>
      <c r="AC208">
        <v>10.158917000000001</v>
      </c>
      <c r="AD208">
        <v>11.489017</v>
      </c>
      <c r="AE208">
        <v>13.788451</v>
      </c>
      <c r="AF208">
        <v>11.242065999999999</v>
      </c>
      <c r="AG208">
        <v>11.471946000000001</v>
      </c>
    </row>
    <row r="209" spans="1:33" x14ac:dyDescent="0.25">
      <c r="A209" s="1">
        <v>44260</v>
      </c>
      <c r="B209">
        <v>11.968303000000001</v>
      </c>
      <c r="C209">
        <v>12.108178000000001</v>
      </c>
      <c r="D209">
        <v>11.565572</v>
      </c>
      <c r="E209">
        <v>11.711868000000001</v>
      </c>
      <c r="F209">
        <v>12.456607999999999</v>
      </c>
      <c r="G209">
        <v>12.262184</v>
      </c>
      <c r="H209">
        <v>13.425439000000001</v>
      </c>
      <c r="I209">
        <v>12.404928999999999</v>
      </c>
      <c r="J209">
        <v>11.565009</v>
      </c>
      <c r="K209">
        <v>11.749046999999999</v>
      </c>
      <c r="L209">
        <v>11.75935</v>
      </c>
      <c r="M209">
        <v>12.130277</v>
      </c>
      <c r="N209">
        <v>11.575874000000001</v>
      </c>
      <c r="O209">
        <v>11.753627</v>
      </c>
      <c r="P209">
        <v>11.687991999999999</v>
      </c>
      <c r="Q209">
        <v>11.965517999999999</v>
      </c>
      <c r="R209">
        <v>11.733573</v>
      </c>
      <c r="S209">
        <v>9.9922839999999997</v>
      </c>
      <c r="T209">
        <v>11.709213</v>
      </c>
      <c r="U209">
        <v>11.540153999999999</v>
      </c>
      <c r="V209">
        <v>11.999245999999999</v>
      </c>
      <c r="W209">
        <v>12.147812</v>
      </c>
      <c r="X209">
        <v>12.104679000000001</v>
      </c>
      <c r="Y209">
        <v>11.144572</v>
      </c>
      <c r="Z209">
        <v>11.717326</v>
      </c>
      <c r="AA209">
        <v>11.951363000000001</v>
      </c>
      <c r="AB209">
        <v>11.393628</v>
      </c>
      <c r="AC209">
        <v>10.493878</v>
      </c>
      <c r="AD209">
        <v>11.707623</v>
      </c>
      <c r="AE209">
        <v>14.395675000000001</v>
      </c>
      <c r="AF209">
        <v>11.366652999999999</v>
      </c>
      <c r="AG209">
        <v>11.809283000000001</v>
      </c>
    </row>
    <row r="210" spans="1:33" x14ac:dyDescent="0.25">
      <c r="A210" s="1">
        <v>44261</v>
      </c>
      <c r="B210">
        <v>12.1557</v>
      </c>
      <c r="C210">
        <v>12.212669</v>
      </c>
      <c r="D210">
        <v>11.817088</v>
      </c>
      <c r="E210">
        <v>11.947889999999999</v>
      </c>
      <c r="F210">
        <v>12.585027</v>
      </c>
      <c r="G210">
        <v>12.397391000000001</v>
      </c>
      <c r="H210">
        <v>13.547606999999999</v>
      </c>
      <c r="I210">
        <v>12.743634</v>
      </c>
      <c r="J210">
        <v>11.877204000000001</v>
      </c>
      <c r="K210">
        <v>11.977607000000001</v>
      </c>
      <c r="L210">
        <v>11.979771</v>
      </c>
      <c r="M210">
        <v>12.277846</v>
      </c>
      <c r="N210">
        <v>11.827752</v>
      </c>
      <c r="O210">
        <v>11.98784</v>
      </c>
      <c r="P210">
        <v>11.913131999999999</v>
      </c>
      <c r="Q210">
        <v>12.169510000000001</v>
      </c>
      <c r="R210">
        <v>11.960895000000001</v>
      </c>
      <c r="S210">
        <v>10.543778</v>
      </c>
      <c r="T210">
        <v>12.07217</v>
      </c>
      <c r="U210">
        <v>11.894523</v>
      </c>
      <c r="V210">
        <v>12.221636999999999</v>
      </c>
      <c r="W210">
        <v>12.388185</v>
      </c>
      <c r="X210">
        <v>12.318063</v>
      </c>
      <c r="Y210">
        <v>11.583917</v>
      </c>
      <c r="Z210">
        <v>12.036213</v>
      </c>
      <c r="AA210">
        <v>12.245844999999999</v>
      </c>
      <c r="AB210">
        <v>11.790627499999999</v>
      </c>
      <c r="AC210">
        <v>11.116027000000001</v>
      </c>
      <c r="AD210">
        <v>11.953229</v>
      </c>
      <c r="AE210">
        <v>14.663719</v>
      </c>
      <c r="AF210">
        <v>11.613982</v>
      </c>
      <c r="AG210">
        <v>12.203841000000001</v>
      </c>
    </row>
    <row r="211" spans="1:33" x14ac:dyDescent="0.25">
      <c r="A211" s="1">
        <v>44262</v>
      </c>
      <c r="B211">
        <v>11.789256</v>
      </c>
      <c r="C211">
        <v>12.15771</v>
      </c>
      <c r="D211">
        <v>11.920754000000001</v>
      </c>
      <c r="E211">
        <v>11.964161000000001</v>
      </c>
      <c r="F211">
        <v>12.31709</v>
      </c>
      <c r="G211">
        <v>12.320489</v>
      </c>
      <c r="H211">
        <v>13.402606</v>
      </c>
      <c r="I211">
        <v>12.419128000000001</v>
      </c>
      <c r="J211">
        <v>11.610642</v>
      </c>
      <c r="K211">
        <v>12.002423</v>
      </c>
      <c r="L211">
        <v>12.011597</v>
      </c>
      <c r="M211">
        <v>12.187148000000001</v>
      </c>
      <c r="N211">
        <v>11.90781</v>
      </c>
      <c r="O211">
        <v>12.037388999999999</v>
      </c>
      <c r="P211">
        <v>11.949185</v>
      </c>
      <c r="Q211">
        <v>12.165165</v>
      </c>
      <c r="R211">
        <v>12.054551</v>
      </c>
      <c r="S211">
        <v>10.421982</v>
      </c>
      <c r="T211">
        <v>12.249751</v>
      </c>
      <c r="U211">
        <v>12.016147999999999</v>
      </c>
      <c r="V211">
        <v>12.284687999999999</v>
      </c>
      <c r="W211">
        <v>12.704613999999999</v>
      </c>
      <c r="X211">
        <v>12.376842</v>
      </c>
      <c r="Y211">
        <v>11.649570000000001</v>
      </c>
      <c r="Z211">
        <v>12.118997</v>
      </c>
      <c r="AA211">
        <v>12.288346000000001</v>
      </c>
      <c r="AB211">
        <v>11.850237999999999</v>
      </c>
      <c r="AC211">
        <v>11.332623</v>
      </c>
      <c r="AD211">
        <v>12.058693999999999</v>
      </c>
      <c r="AE211">
        <v>14.379443999999999</v>
      </c>
      <c r="AF211">
        <v>11.708484</v>
      </c>
      <c r="AG211">
        <v>12.150781</v>
      </c>
    </row>
    <row r="212" spans="1:33" x14ac:dyDescent="0.25">
      <c r="A212" s="1">
        <v>44263</v>
      </c>
      <c r="B212">
        <v>11.411286</v>
      </c>
      <c r="C212">
        <v>12.022779999999999</v>
      </c>
      <c r="D212">
        <v>11.891112</v>
      </c>
      <c r="E212">
        <v>11.860784000000001</v>
      </c>
      <c r="F212">
        <v>12.053487000000001</v>
      </c>
      <c r="G212">
        <v>12.202851000000001</v>
      </c>
      <c r="H212">
        <v>13.244373</v>
      </c>
      <c r="I212">
        <v>11.855714000000001</v>
      </c>
      <c r="J212">
        <v>11.383312999999999</v>
      </c>
      <c r="K212">
        <v>11.983753999999999</v>
      </c>
      <c r="L212">
        <v>12.018826000000001</v>
      </c>
      <c r="M212">
        <v>12.108150500000001</v>
      </c>
      <c r="N212">
        <v>11.967765</v>
      </c>
      <c r="O212">
        <v>12.026676</v>
      </c>
      <c r="P212">
        <v>11.945687</v>
      </c>
      <c r="Q212">
        <v>12.108181</v>
      </c>
      <c r="R212">
        <v>12.039327</v>
      </c>
      <c r="S212">
        <v>10.100203499999999</v>
      </c>
      <c r="T212">
        <v>12.226025999999999</v>
      </c>
      <c r="U212">
        <v>11.994351</v>
      </c>
      <c r="V212">
        <v>12.275561</v>
      </c>
      <c r="W212">
        <v>12.855568999999999</v>
      </c>
      <c r="X212">
        <v>12.391055</v>
      </c>
      <c r="Y212">
        <v>11.618793500000001</v>
      </c>
      <c r="Z212">
        <v>12.099354</v>
      </c>
      <c r="AA212">
        <v>12.268663999999999</v>
      </c>
      <c r="AB212">
        <v>11.782987</v>
      </c>
      <c r="AC212">
        <v>11.205829</v>
      </c>
      <c r="AD212">
        <v>12.082822</v>
      </c>
      <c r="AE212">
        <v>14.417336000000001</v>
      </c>
      <c r="AF212">
        <v>11.768082</v>
      </c>
      <c r="AG212">
        <v>12.079884</v>
      </c>
    </row>
    <row r="213" spans="1:33" x14ac:dyDescent="0.25">
      <c r="A213" s="1">
        <v>44264</v>
      </c>
      <c r="B213">
        <v>11.109927000000001</v>
      </c>
      <c r="C213">
        <v>11.859908000000001</v>
      </c>
      <c r="D213">
        <v>11.716274</v>
      </c>
      <c r="E213">
        <v>11.648578000000001</v>
      </c>
      <c r="F213">
        <v>11.910316</v>
      </c>
      <c r="G213">
        <v>12.045135</v>
      </c>
      <c r="H213">
        <v>12.961817999999999</v>
      </c>
      <c r="I213">
        <v>11.358871000000001</v>
      </c>
      <c r="J213">
        <v>10.979907000000001</v>
      </c>
      <c r="K213">
        <v>11.896678</v>
      </c>
      <c r="L213">
        <v>11.905324</v>
      </c>
      <c r="M213">
        <v>11.971404</v>
      </c>
      <c r="N213">
        <v>11.947263</v>
      </c>
      <c r="O213">
        <v>11.895925999999999</v>
      </c>
      <c r="P213">
        <v>11.890617000000001</v>
      </c>
      <c r="Q213">
        <v>11.970174</v>
      </c>
      <c r="R213">
        <v>11.941639</v>
      </c>
      <c r="S213">
        <v>9.6484290000000001</v>
      </c>
      <c r="T213">
        <v>12.035752</v>
      </c>
      <c r="U213">
        <v>11.783398999999999</v>
      </c>
      <c r="V213">
        <v>12.239604</v>
      </c>
      <c r="W213">
        <v>12.746838</v>
      </c>
      <c r="X213">
        <v>12.365102</v>
      </c>
      <c r="Y213">
        <v>11.391215000000001</v>
      </c>
      <c r="Z213">
        <v>11.863621</v>
      </c>
      <c r="AA213">
        <v>12.101092</v>
      </c>
      <c r="AB213">
        <v>11.556217</v>
      </c>
      <c r="AC213">
        <v>10.787235000000001</v>
      </c>
      <c r="AD213">
        <v>11.970955</v>
      </c>
      <c r="AE213">
        <v>14.055121</v>
      </c>
      <c r="AF213">
        <v>11.715648</v>
      </c>
      <c r="AG213">
        <v>11.82616</v>
      </c>
    </row>
    <row r="214" spans="1:33" x14ac:dyDescent="0.25">
      <c r="A214" s="1">
        <v>44265</v>
      </c>
      <c r="B214">
        <v>10.932603</v>
      </c>
      <c r="C214">
        <v>11.814596999999999</v>
      </c>
      <c r="D214">
        <v>11.514148</v>
      </c>
      <c r="E214">
        <v>11.460019000000001</v>
      </c>
      <c r="F214">
        <v>11.854858999999999</v>
      </c>
      <c r="G214">
        <v>11.972091000000001</v>
      </c>
      <c r="H214">
        <v>12.767564</v>
      </c>
      <c r="I214">
        <v>11.1380005</v>
      </c>
      <c r="J214">
        <v>10.784589</v>
      </c>
      <c r="K214">
        <v>11.785287</v>
      </c>
      <c r="L214">
        <v>11.844617</v>
      </c>
      <c r="M214">
        <v>11.918369</v>
      </c>
      <c r="N214">
        <v>11.880376</v>
      </c>
      <c r="O214">
        <v>11.849568</v>
      </c>
      <c r="P214">
        <v>11.789600999999999</v>
      </c>
      <c r="Q214">
        <v>11.898009999999999</v>
      </c>
      <c r="R214">
        <v>11.869247</v>
      </c>
      <c r="S214">
        <v>9.5877700000000008</v>
      </c>
      <c r="T214">
        <v>11.900264999999999</v>
      </c>
      <c r="U214">
        <v>11.707114000000001</v>
      </c>
      <c r="V214">
        <v>12.247043</v>
      </c>
      <c r="W214">
        <v>12.393124</v>
      </c>
      <c r="X214">
        <v>12.433201</v>
      </c>
      <c r="Y214">
        <v>11.310551999999999</v>
      </c>
      <c r="Z214">
        <v>11.700877999999999</v>
      </c>
      <c r="AA214">
        <v>11.967720999999999</v>
      </c>
      <c r="AB214">
        <v>11.471427</v>
      </c>
      <c r="AC214">
        <v>10.602852</v>
      </c>
      <c r="AD214">
        <v>11.897594</v>
      </c>
      <c r="AE214">
        <v>13.282158000000001</v>
      </c>
      <c r="AF214">
        <v>11.671085</v>
      </c>
      <c r="AG214">
        <v>11.697741499999999</v>
      </c>
    </row>
    <row r="215" spans="1:33" x14ac:dyDescent="0.25">
      <c r="A215" s="1">
        <v>44266</v>
      </c>
      <c r="B215">
        <v>10.932183</v>
      </c>
      <c r="C215">
        <v>11.853911999999999</v>
      </c>
      <c r="D215">
        <v>11.43563</v>
      </c>
      <c r="E215">
        <v>11.403855</v>
      </c>
      <c r="F215">
        <v>11.899307</v>
      </c>
      <c r="G215">
        <v>11.956820499999999</v>
      </c>
      <c r="H215">
        <v>12.638142</v>
      </c>
      <c r="I215">
        <v>11.138934000000001</v>
      </c>
      <c r="J215">
        <v>10.767407</v>
      </c>
      <c r="K215">
        <v>11.756809000000001</v>
      </c>
      <c r="L215">
        <v>11.821491</v>
      </c>
      <c r="M215">
        <v>11.920049000000001</v>
      </c>
      <c r="N215">
        <v>11.873609</v>
      </c>
      <c r="O215">
        <v>11.873008</v>
      </c>
      <c r="P215">
        <v>11.761723</v>
      </c>
      <c r="Q215">
        <v>11.869543999999999</v>
      </c>
      <c r="R215">
        <v>11.875367000000001</v>
      </c>
      <c r="S215">
        <v>9.2681269999999998</v>
      </c>
      <c r="T215">
        <v>11.829215</v>
      </c>
      <c r="U215">
        <v>11.592579000000001</v>
      </c>
      <c r="V215">
        <v>12.231063000000001</v>
      </c>
      <c r="W215">
        <v>12.242152000000001</v>
      </c>
      <c r="X215">
        <v>12.367205999999999</v>
      </c>
      <c r="Y215">
        <v>11.264056</v>
      </c>
      <c r="Z215">
        <v>11.608838</v>
      </c>
      <c r="AA215">
        <v>11.92609</v>
      </c>
      <c r="AB215">
        <v>11.433198000000001</v>
      </c>
      <c r="AC215">
        <v>10.248182999999999</v>
      </c>
      <c r="AD215">
        <v>11.870336</v>
      </c>
      <c r="AE215">
        <v>12.818915000000001</v>
      </c>
      <c r="AF215">
        <v>11.705971999999999</v>
      </c>
      <c r="AG215">
        <v>11.664433499999999</v>
      </c>
    </row>
    <row r="216" spans="1:33" x14ac:dyDescent="0.25">
      <c r="A216" s="1">
        <v>44267</v>
      </c>
      <c r="B216">
        <v>11.151543</v>
      </c>
      <c r="C216">
        <v>11.8608885</v>
      </c>
      <c r="D216">
        <v>11.574821</v>
      </c>
      <c r="E216">
        <v>11.4948</v>
      </c>
      <c r="F216">
        <v>11.937089</v>
      </c>
      <c r="G216">
        <v>11.974133</v>
      </c>
      <c r="H216">
        <v>12.758443</v>
      </c>
      <c r="I216">
        <v>11.230670999999999</v>
      </c>
      <c r="J216">
        <v>10.884053</v>
      </c>
      <c r="K216">
        <v>11.807613</v>
      </c>
      <c r="L216">
        <v>11.893742</v>
      </c>
      <c r="M216">
        <v>11.961048999999999</v>
      </c>
      <c r="N216">
        <v>11.95786</v>
      </c>
      <c r="O216">
        <v>11.941468</v>
      </c>
      <c r="P216">
        <v>11.822965</v>
      </c>
      <c r="Q216">
        <v>11.922041999999999</v>
      </c>
      <c r="R216">
        <v>11.911789000000001</v>
      </c>
      <c r="S216">
        <v>9.4336439999999993</v>
      </c>
      <c r="T216">
        <v>11.852233999999999</v>
      </c>
      <c r="U216">
        <v>11.715398</v>
      </c>
      <c r="V216">
        <v>12.207882</v>
      </c>
      <c r="W216">
        <v>11.831873999999999</v>
      </c>
      <c r="X216">
        <v>12.282295</v>
      </c>
      <c r="Y216">
        <v>11.262154000000001</v>
      </c>
      <c r="Z216">
        <v>11.718753</v>
      </c>
      <c r="AA216">
        <v>12.011971000000001</v>
      </c>
      <c r="AB216">
        <v>11.445793</v>
      </c>
      <c r="AC216">
        <v>10.296758000000001</v>
      </c>
      <c r="AD216">
        <v>11.940909</v>
      </c>
      <c r="AE216">
        <v>13.103070000000001</v>
      </c>
      <c r="AF216">
        <v>11.810442999999999</v>
      </c>
      <c r="AG216">
        <v>11.74145</v>
      </c>
    </row>
    <row r="217" spans="1:33" x14ac:dyDescent="0.25">
      <c r="A217" s="1">
        <v>44268</v>
      </c>
      <c r="B217">
        <v>11.405872</v>
      </c>
      <c r="C217">
        <v>11.965942</v>
      </c>
      <c r="D217">
        <v>11.712251</v>
      </c>
      <c r="E217">
        <v>11.631252999999999</v>
      </c>
      <c r="F217">
        <v>11.938587</v>
      </c>
      <c r="G217">
        <v>12.037459</v>
      </c>
      <c r="H217">
        <v>12.877629000000001</v>
      </c>
      <c r="I217">
        <v>11.344695</v>
      </c>
      <c r="J217">
        <v>11.187484</v>
      </c>
      <c r="K217">
        <v>11.915312999999999</v>
      </c>
      <c r="L217">
        <v>12.00013</v>
      </c>
      <c r="M217">
        <v>12.036358</v>
      </c>
      <c r="N217">
        <v>12.014886000000001</v>
      </c>
      <c r="O217">
        <v>12.043865</v>
      </c>
      <c r="P217">
        <v>11.930213999999999</v>
      </c>
      <c r="Q217">
        <v>11.980381</v>
      </c>
      <c r="R217">
        <v>11.977340999999999</v>
      </c>
      <c r="S217">
        <v>9.6273649999999993</v>
      </c>
      <c r="T217">
        <v>11.921544000000001</v>
      </c>
      <c r="U217">
        <v>11.855746999999999</v>
      </c>
      <c r="V217">
        <v>12.177928</v>
      </c>
      <c r="W217">
        <v>11.840927000000001</v>
      </c>
      <c r="X217">
        <v>12.207133000000001</v>
      </c>
      <c r="Y217">
        <v>11.294084</v>
      </c>
      <c r="Z217">
        <v>11.937469999999999</v>
      </c>
      <c r="AA217">
        <v>12.175254000000001</v>
      </c>
      <c r="AB217">
        <v>11.437386</v>
      </c>
      <c r="AC217">
        <v>10.394463999999999</v>
      </c>
      <c r="AD217">
        <v>12.042728</v>
      </c>
      <c r="AE217">
        <v>13.850811</v>
      </c>
      <c r="AF217">
        <v>11.917911</v>
      </c>
      <c r="AG217">
        <v>11.864005000000001</v>
      </c>
    </row>
    <row r="218" spans="1:33" x14ac:dyDescent="0.25">
      <c r="A218" s="1">
        <v>44269</v>
      </c>
      <c r="B218">
        <v>11.314353000000001</v>
      </c>
      <c r="C218">
        <v>11.916145</v>
      </c>
      <c r="D218">
        <v>11.656587</v>
      </c>
      <c r="E218">
        <v>11.572124499999999</v>
      </c>
      <c r="F218">
        <v>11.893284</v>
      </c>
      <c r="G218">
        <v>11.972935</v>
      </c>
      <c r="H218">
        <v>12.714199000000001</v>
      </c>
      <c r="I218">
        <v>11.187554</v>
      </c>
      <c r="J218">
        <v>11.155894999999999</v>
      </c>
      <c r="K218">
        <v>11.895925999999999</v>
      </c>
      <c r="L218">
        <v>12.013673000000001</v>
      </c>
      <c r="M218">
        <v>11.980975000000001</v>
      </c>
      <c r="N218">
        <v>11.949512500000001</v>
      </c>
      <c r="O218">
        <v>12.064190999999999</v>
      </c>
      <c r="P218">
        <v>11.917099</v>
      </c>
      <c r="Q218">
        <v>11.919964</v>
      </c>
      <c r="R218">
        <v>12.022470999999999</v>
      </c>
      <c r="S218">
        <v>9.5493439999999996</v>
      </c>
      <c r="T218">
        <v>11.813822999999999</v>
      </c>
      <c r="U218">
        <v>12.007419000000001</v>
      </c>
      <c r="V218">
        <v>11.8748255</v>
      </c>
      <c r="W218">
        <v>11.833621000000001</v>
      </c>
      <c r="X218">
        <v>11.889360999999999</v>
      </c>
      <c r="Y218">
        <v>11.204147000000001</v>
      </c>
      <c r="Z218">
        <v>12.096204</v>
      </c>
      <c r="AA218">
        <v>12.2568445</v>
      </c>
      <c r="AB218">
        <v>11.37139</v>
      </c>
      <c r="AC218">
        <v>10.433842</v>
      </c>
      <c r="AD218">
        <v>12.074885</v>
      </c>
      <c r="AE218">
        <v>13.865387999999999</v>
      </c>
      <c r="AF218">
        <v>11.951377000000001</v>
      </c>
      <c r="AG218">
        <v>11.817145999999999</v>
      </c>
    </row>
    <row r="219" spans="1:33" x14ac:dyDescent="0.25">
      <c r="A219" s="1">
        <v>44270</v>
      </c>
      <c r="B219">
        <v>10.515224</v>
      </c>
      <c r="C219">
        <v>11.666767</v>
      </c>
      <c r="D219">
        <v>11.341096</v>
      </c>
      <c r="E219">
        <v>11.121121</v>
      </c>
      <c r="F219">
        <v>11.536351</v>
      </c>
      <c r="G219">
        <v>11.811164</v>
      </c>
      <c r="H219">
        <v>12.298864999999999</v>
      </c>
      <c r="I219">
        <v>10.691898999999999</v>
      </c>
      <c r="J219">
        <v>10.720616</v>
      </c>
      <c r="K219">
        <v>11.666981</v>
      </c>
      <c r="L219">
        <v>11.770251999999999</v>
      </c>
      <c r="M219">
        <v>11.730981</v>
      </c>
      <c r="N219">
        <v>11.726794999999999</v>
      </c>
      <c r="O219">
        <v>11.777634000000001</v>
      </c>
      <c r="P219">
        <v>11.704019000000001</v>
      </c>
      <c r="Q219">
        <v>11.751279</v>
      </c>
      <c r="R219">
        <v>11.81944</v>
      </c>
      <c r="S219">
        <v>9.1124500000000008</v>
      </c>
      <c r="T219">
        <v>11.510909</v>
      </c>
      <c r="U219">
        <v>11.901676</v>
      </c>
      <c r="V219">
        <v>11.672091500000001</v>
      </c>
      <c r="W219">
        <v>11.680436</v>
      </c>
      <c r="X219">
        <v>11.689727</v>
      </c>
      <c r="Y219">
        <v>10.948812</v>
      </c>
      <c r="Z219">
        <v>11.960552</v>
      </c>
      <c r="AA219">
        <v>12.056106</v>
      </c>
      <c r="AB219">
        <v>11.174666999999999</v>
      </c>
      <c r="AC219">
        <v>10.330641999999999</v>
      </c>
      <c r="AD219">
        <v>11.895720499999999</v>
      </c>
      <c r="AE219">
        <v>13.0305605</v>
      </c>
      <c r="AF219">
        <v>11.85952</v>
      </c>
      <c r="AG219">
        <v>11.507382</v>
      </c>
    </row>
    <row r="220" spans="1:33" x14ac:dyDescent="0.25">
      <c r="A220" s="1">
        <v>44271</v>
      </c>
      <c r="B220">
        <v>10.607635999999999</v>
      </c>
      <c r="C220">
        <v>11.669003500000001</v>
      </c>
      <c r="D220">
        <v>11.106153000000001</v>
      </c>
      <c r="E220">
        <v>10.94788</v>
      </c>
      <c r="F220">
        <v>11.56443</v>
      </c>
      <c r="G220">
        <v>11.634031999999999</v>
      </c>
      <c r="H220">
        <v>11.999072999999999</v>
      </c>
      <c r="I220">
        <v>10.6694975</v>
      </c>
      <c r="J220">
        <v>10.396898999999999</v>
      </c>
      <c r="K220">
        <v>11.545392</v>
      </c>
      <c r="L220">
        <v>11.654282</v>
      </c>
      <c r="M220">
        <v>11.595827999999999</v>
      </c>
      <c r="N220">
        <v>11.609234000000001</v>
      </c>
      <c r="O220">
        <v>11.697376</v>
      </c>
      <c r="P220">
        <v>11.57166</v>
      </c>
      <c r="Q220">
        <v>11.576053999999999</v>
      </c>
      <c r="R220">
        <v>11.738731</v>
      </c>
      <c r="S220">
        <v>8.6194679999999995</v>
      </c>
      <c r="T220">
        <v>11.270087</v>
      </c>
      <c r="U220">
        <v>11.805903000000001</v>
      </c>
      <c r="V220">
        <v>11.617229999999999</v>
      </c>
      <c r="W220">
        <v>11.512187000000001</v>
      </c>
      <c r="X220">
        <v>11.675191</v>
      </c>
      <c r="Y220">
        <v>10.712388000000001</v>
      </c>
      <c r="Z220">
        <v>11.77115</v>
      </c>
      <c r="AA220">
        <v>11.882156999999999</v>
      </c>
      <c r="AB220">
        <v>10.921695</v>
      </c>
      <c r="AC220">
        <v>9.8768899999999995</v>
      </c>
      <c r="AD220">
        <v>11.763061</v>
      </c>
      <c r="AE220">
        <v>12.975566000000001</v>
      </c>
      <c r="AF220">
        <v>11.683802999999999</v>
      </c>
      <c r="AG220">
        <v>11.339847000000001</v>
      </c>
    </row>
    <row r="221" spans="1:33" x14ac:dyDescent="0.25">
      <c r="A221" s="1">
        <v>44272</v>
      </c>
      <c r="B221">
        <v>11.121646999999999</v>
      </c>
      <c r="C221">
        <v>11.771812000000001</v>
      </c>
      <c r="D221">
        <v>11.122814</v>
      </c>
      <c r="E221">
        <v>11.040032</v>
      </c>
      <c r="F221">
        <v>11.701839</v>
      </c>
      <c r="G221">
        <v>11.710841</v>
      </c>
      <c r="H221">
        <v>12.066623</v>
      </c>
      <c r="I221">
        <v>11.120718999999999</v>
      </c>
      <c r="J221">
        <v>10.855389000000001</v>
      </c>
      <c r="K221">
        <v>11.708163000000001</v>
      </c>
      <c r="L221">
        <v>11.853882</v>
      </c>
      <c r="M221">
        <v>11.659554</v>
      </c>
      <c r="N221">
        <v>11.666642</v>
      </c>
      <c r="O221">
        <v>11.881304999999999</v>
      </c>
      <c r="P221">
        <v>11.713822</v>
      </c>
      <c r="Q221">
        <v>11.638420999999999</v>
      </c>
      <c r="R221">
        <v>11.879127499999999</v>
      </c>
      <c r="S221">
        <v>8.9191885000000006</v>
      </c>
      <c r="T221">
        <v>11.447558000000001</v>
      </c>
      <c r="U221">
        <v>12.011620499999999</v>
      </c>
      <c r="V221">
        <v>11.811321</v>
      </c>
      <c r="W221">
        <v>11.678000000000001</v>
      </c>
      <c r="X221">
        <v>11.824104</v>
      </c>
      <c r="Y221">
        <v>11.084094</v>
      </c>
      <c r="Z221">
        <v>11.961062</v>
      </c>
      <c r="AA221">
        <v>12.162139</v>
      </c>
      <c r="AB221">
        <v>11.383175</v>
      </c>
      <c r="AC221">
        <v>9.9849610000000002</v>
      </c>
      <c r="AD221">
        <v>11.89874</v>
      </c>
      <c r="AE221">
        <v>13.570093999999999</v>
      </c>
      <c r="AF221">
        <v>11.730466</v>
      </c>
      <c r="AG221">
        <v>11.672549</v>
      </c>
    </row>
    <row r="222" spans="1:33" x14ac:dyDescent="0.25">
      <c r="A222" s="1">
        <v>44273</v>
      </c>
      <c r="B222">
        <v>11.104228000000001</v>
      </c>
      <c r="C222">
        <v>11.661902</v>
      </c>
      <c r="D222">
        <v>11.142768999999999</v>
      </c>
      <c r="E222">
        <v>11.028718</v>
      </c>
      <c r="F222">
        <v>11.666549</v>
      </c>
      <c r="G222">
        <v>11.727475</v>
      </c>
      <c r="H222">
        <v>12.1995735</v>
      </c>
      <c r="I222">
        <v>11.280616</v>
      </c>
      <c r="J222">
        <v>11.132728</v>
      </c>
      <c r="K222">
        <v>11.793825999999999</v>
      </c>
      <c r="L222">
        <v>11.917078999999999</v>
      </c>
      <c r="M222">
        <v>11.679067</v>
      </c>
      <c r="N222">
        <v>11.642362</v>
      </c>
      <c r="O222">
        <v>11.920128</v>
      </c>
      <c r="P222">
        <v>11.780018</v>
      </c>
      <c r="Q222">
        <v>11.644455000000001</v>
      </c>
      <c r="R222">
        <v>11.930744000000001</v>
      </c>
      <c r="S222">
        <v>9.2320799999999998</v>
      </c>
      <c r="T222">
        <v>11.520987999999999</v>
      </c>
      <c r="U222">
        <v>12.077738999999999</v>
      </c>
      <c r="V222">
        <v>11.72031</v>
      </c>
      <c r="W222">
        <v>12.086544999999999</v>
      </c>
      <c r="X222">
        <v>11.708861000000001</v>
      </c>
      <c r="Y222">
        <v>11.231823</v>
      </c>
      <c r="Z222">
        <v>12.071289999999999</v>
      </c>
      <c r="AA222">
        <v>12.284831000000001</v>
      </c>
      <c r="AB222">
        <v>11.592851</v>
      </c>
      <c r="AC222">
        <v>10.060708</v>
      </c>
      <c r="AD222">
        <v>11.964921</v>
      </c>
      <c r="AE222">
        <v>14.15638</v>
      </c>
      <c r="AF222">
        <v>11.747439</v>
      </c>
      <c r="AG222">
        <v>11.82549</v>
      </c>
    </row>
    <row r="223" spans="1:33" x14ac:dyDescent="0.25">
      <c r="A223" s="1">
        <v>44274</v>
      </c>
      <c r="B223">
        <v>11.394591</v>
      </c>
      <c r="C223">
        <v>11.751439</v>
      </c>
      <c r="D223">
        <v>11.339862</v>
      </c>
      <c r="E223">
        <v>11.124634</v>
      </c>
      <c r="F223">
        <v>11.8625145</v>
      </c>
      <c r="G223">
        <v>11.7682495</v>
      </c>
      <c r="H223">
        <v>12.466286999999999</v>
      </c>
      <c r="I223">
        <v>11.800013999999999</v>
      </c>
      <c r="J223">
        <v>11.332322</v>
      </c>
      <c r="K223">
        <v>11.826089</v>
      </c>
      <c r="L223">
        <v>11.975239</v>
      </c>
      <c r="M223">
        <v>11.725085</v>
      </c>
      <c r="N223">
        <v>11.644712999999999</v>
      </c>
      <c r="O223">
        <v>11.961319</v>
      </c>
      <c r="P223">
        <v>11.786384999999999</v>
      </c>
      <c r="Q223">
        <v>11.666876999999999</v>
      </c>
      <c r="R223">
        <v>11.966512</v>
      </c>
      <c r="S223">
        <v>9.6478950000000001</v>
      </c>
      <c r="T223">
        <v>11.633603000000001</v>
      </c>
      <c r="U223">
        <v>12.176766000000001</v>
      </c>
      <c r="V223">
        <v>11.965323</v>
      </c>
      <c r="W223">
        <v>12.046097</v>
      </c>
      <c r="X223">
        <v>12.003937000000001</v>
      </c>
      <c r="Y223">
        <v>11.314532</v>
      </c>
      <c r="Z223">
        <v>12.148885</v>
      </c>
      <c r="AA223">
        <v>12.319375000000001</v>
      </c>
      <c r="AB223">
        <v>11.694915</v>
      </c>
      <c r="AC223">
        <v>10.405419</v>
      </c>
      <c r="AD223">
        <v>12.008659</v>
      </c>
      <c r="AE223">
        <v>14.82878</v>
      </c>
      <c r="AF223">
        <v>11.789721500000001</v>
      </c>
      <c r="AG223">
        <v>12.047976500000001</v>
      </c>
    </row>
    <row r="224" spans="1:33" x14ac:dyDescent="0.25">
      <c r="A224" s="1">
        <v>44275</v>
      </c>
      <c r="B224">
        <v>11.311652</v>
      </c>
      <c r="C224">
        <v>11.711961000000001</v>
      </c>
      <c r="D224">
        <v>11.417317000000001</v>
      </c>
      <c r="E224">
        <v>11.102505000000001</v>
      </c>
      <c r="F224">
        <v>11.765352999999999</v>
      </c>
      <c r="G224">
        <v>11.82565</v>
      </c>
      <c r="H224">
        <v>12.55645</v>
      </c>
      <c r="I224">
        <v>12.074285</v>
      </c>
      <c r="J224">
        <v>11.209331000000001</v>
      </c>
      <c r="K224">
        <v>11.814874</v>
      </c>
      <c r="L224">
        <v>11.921474</v>
      </c>
      <c r="M224">
        <v>11.731769</v>
      </c>
      <c r="N224">
        <v>11.650104000000001</v>
      </c>
      <c r="O224">
        <v>11.9183</v>
      </c>
      <c r="P224">
        <v>11.755513000000001</v>
      </c>
      <c r="Q224">
        <v>11.700170999999999</v>
      </c>
      <c r="R224">
        <v>11.980945999999999</v>
      </c>
      <c r="S224">
        <v>9.7665690000000005</v>
      </c>
      <c r="T224">
        <v>11.770702</v>
      </c>
      <c r="U224">
        <v>12.169377000000001</v>
      </c>
      <c r="V224">
        <v>12.10019</v>
      </c>
      <c r="W224">
        <v>12.040334</v>
      </c>
      <c r="X224">
        <v>12.110877</v>
      </c>
      <c r="Y224">
        <v>11.267538999999999</v>
      </c>
      <c r="Z224">
        <v>12.07259</v>
      </c>
      <c r="AA224">
        <v>12.219105000000001</v>
      </c>
      <c r="AB224">
        <v>11.616096000000001</v>
      </c>
      <c r="AC224">
        <v>10.616446</v>
      </c>
      <c r="AD224">
        <v>12.010311</v>
      </c>
      <c r="AE224">
        <v>14.60107</v>
      </c>
      <c r="AF224">
        <v>11.725788</v>
      </c>
      <c r="AG224">
        <v>11.932002000000001</v>
      </c>
    </row>
    <row r="225" spans="1:33" x14ac:dyDescent="0.25">
      <c r="A225" s="1">
        <v>44276</v>
      </c>
      <c r="B225">
        <v>11.360593</v>
      </c>
      <c r="C225">
        <v>11.821173999999999</v>
      </c>
      <c r="D225">
        <v>11.511578</v>
      </c>
      <c r="E225">
        <v>11.202418</v>
      </c>
      <c r="F225">
        <v>11.923665</v>
      </c>
      <c r="G225">
        <v>11.845294000000001</v>
      </c>
      <c r="H225">
        <v>12.693379</v>
      </c>
      <c r="I225">
        <v>12.443455</v>
      </c>
      <c r="J225">
        <v>11.364299000000001</v>
      </c>
      <c r="K225">
        <v>11.961112999999999</v>
      </c>
      <c r="L225">
        <v>12.044409999999999</v>
      </c>
      <c r="M225">
        <v>11.78299</v>
      </c>
      <c r="N225">
        <v>11.79171</v>
      </c>
      <c r="O225">
        <v>12.092017999999999</v>
      </c>
      <c r="P225">
        <v>11.887523</v>
      </c>
      <c r="Q225">
        <v>11.787509999999999</v>
      </c>
      <c r="R225">
        <v>12.110393999999999</v>
      </c>
      <c r="S225">
        <v>10.018134999999999</v>
      </c>
      <c r="T225">
        <v>11.977829</v>
      </c>
      <c r="U225">
        <v>12.267787</v>
      </c>
      <c r="V225">
        <v>12.148225</v>
      </c>
      <c r="W225">
        <v>12.051042000000001</v>
      </c>
      <c r="X225">
        <v>12.13659</v>
      </c>
      <c r="Y225">
        <v>11.446771</v>
      </c>
      <c r="Z225">
        <v>12.116783</v>
      </c>
      <c r="AA225">
        <v>12.2946825</v>
      </c>
      <c r="AB225">
        <v>11.722756</v>
      </c>
      <c r="AC225">
        <v>10.965049</v>
      </c>
      <c r="AD225">
        <v>12.135201</v>
      </c>
      <c r="AE225">
        <v>14.769303000000001</v>
      </c>
      <c r="AF225">
        <v>11.814330999999999</v>
      </c>
      <c r="AG225">
        <v>12.083282000000001</v>
      </c>
    </row>
    <row r="226" spans="1:33" x14ac:dyDescent="0.25">
      <c r="A226" s="1">
        <v>44277</v>
      </c>
      <c r="B226">
        <v>11.717677999999999</v>
      </c>
      <c r="C226">
        <v>12.041073000000001</v>
      </c>
      <c r="D226">
        <v>11.752744</v>
      </c>
      <c r="E226">
        <v>11.562759</v>
      </c>
      <c r="F226">
        <v>12.076186</v>
      </c>
      <c r="G226">
        <v>11.988251999999999</v>
      </c>
      <c r="H226">
        <v>12.950744</v>
      </c>
      <c r="I226">
        <v>12.590493</v>
      </c>
      <c r="J226">
        <v>11.717521</v>
      </c>
      <c r="K226">
        <v>12.206626</v>
      </c>
      <c r="L226">
        <v>12.266669</v>
      </c>
      <c r="M226">
        <v>11.926201000000001</v>
      </c>
      <c r="N226">
        <v>12.038518</v>
      </c>
      <c r="O226">
        <v>12.299633</v>
      </c>
      <c r="P226">
        <v>12.121606</v>
      </c>
      <c r="Q226">
        <v>11.992706999999999</v>
      </c>
      <c r="R226">
        <v>12.345827999999999</v>
      </c>
      <c r="S226">
        <v>10.119020000000001</v>
      </c>
      <c r="T226">
        <v>12.2525835</v>
      </c>
      <c r="U226">
        <v>12.476397499999999</v>
      </c>
      <c r="V226">
        <v>12.311538000000001</v>
      </c>
      <c r="W226">
        <v>12.609975</v>
      </c>
      <c r="X226">
        <v>12.306309000000001</v>
      </c>
      <c r="Y226">
        <v>11.804297</v>
      </c>
      <c r="Z226">
        <v>12.323549999999999</v>
      </c>
      <c r="AA226">
        <v>12.531171000000001</v>
      </c>
      <c r="AB226">
        <v>11.981736</v>
      </c>
      <c r="AC226">
        <v>11.278048999999999</v>
      </c>
      <c r="AD226">
        <v>12.341367</v>
      </c>
      <c r="AE226">
        <v>15.087227</v>
      </c>
      <c r="AF226">
        <v>11.980115</v>
      </c>
      <c r="AG226">
        <v>12.48696</v>
      </c>
    </row>
    <row r="227" spans="1:33" x14ac:dyDescent="0.25">
      <c r="A227" s="1">
        <v>44278</v>
      </c>
      <c r="B227">
        <v>11.632745</v>
      </c>
      <c r="C227">
        <v>12.094760000000001</v>
      </c>
      <c r="D227">
        <v>11.863332</v>
      </c>
      <c r="E227">
        <v>11.743544999999999</v>
      </c>
      <c r="F227">
        <v>12.092734</v>
      </c>
      <c r="G227">
        <v>12.114395999999999</v>
      </c>
      <c r="H227">
        <v>12.9160795</v>
      </c>
      <c r="I227">
        <v>12.471893</v>
      </c>
      <c r="J227">
        <v>11.769608</v>
      </c>
      <c r="K227">
        <v>12.289536</v>
      </c>
      <c r="L227">
        <v>12.332993</v>
      </c>
      <c r="M227">
        <v>12.044147000000001</v>
      </c>
      <c r="N227">
        <v>12.188179</v>
      </c>
      <c r="O227">
        <v>12.383006</v>
      </c>
      <c r="P227">
        <v>12.238479999999999</v>
      </c>
      <c r="Q227">
        <v>12.134022999999999</v>
      </c>
      <c r="R227">
        <v>12.367599</v>
      </c>
      <c r="S227">
        <v>10.615897</v>
      </c>
      <c r="T227">
        <v>12.373514999999999</v>
      </c>
      <c r="U227">
        <v>12.563331</v>
      </c>
      <c r="V227">
        <v>12.596352</v>
      </c>
      <c r="W227">
        <v>13.0228815</v>
      </c>
      <c r="X227">
        <v>12.618487</v>
      </c>
      <c r="Y227">
        <v>12.088074000000001</v>
      </c>
      <c r="Z227">
        <v>12.349522</v>
      </c>
      <c r="AA227">
        <v>12.667801000000001</v>
      </c>
      <c r="AB227">
        <v>12.235123</v>
      </c>
      <c r="AC227">
        <v>11.329831</v>
      </c>
      <c r="AD227">
        <v>12.439049000000001</v>
      </c>
      <c r="AE227">
        <v>14.812466000000001</v>
      </c>
      <c r="AF227">
        <v>12.138574</v>
      </c>
      <c r="AG227">
        <v>12.594789</v>
      </c>
    </row>
    <row r="228" spans="1:33" x14ac:dyDescent="0.25">
      <c r="A228" s="1">
        <v>44279</v>
      </c>
      <c r="B228">
        <v>11.81006</v>
      </c>
      <c r="C228">
        <v>12.110303</v>
      </c>
      <c r="D228">
        <v>11.969932999999999</v>
      </c>
      <c r="E228">
        <v>11.996915</v>
      </c>
      <c r="F228">
        <v>12.205583000000001</v>
      </c>
      <c r="G228">
        <v>12.186076999999999</v>
      </c>
      <c r="H228">
        <v>13.289142999999999</v>
      </c>
      <c r="I228">
        <v>12.131443000000001</v>
      </c>
      <c r="J228">
        <v>11.413072</v>
      </c>
      <c r="K228">
        <v>12.302784000000001</v>
      </c>
      <c r="L228">
        <v>12.400933</v>
      </c>
      <c r="M228">
        <v>12.134359999999999</v>
      </c>
      <c r="N228">
        <v>12.247847999999999</v>
      </c>
      <c r="O228">
        <v>12.436539</v>
      </c>
      <c r="P228">
        <v>12.231229000000001</v>
      </c>
      <c r="Q228">
        <v>12.189759</v>
      </c>
      <c r="R228">
        <v>12.450108</v>
      </c>
      <c r="S228">
        <v>10.463979</v>
      </c>
      <c r="T228">
        <v>12.492324999999999</v>
      </c>
      <c r="U228">
        <v>12.483269999999999</v>
      </c>
      <c r="V228">
        <v>12.855109000000001</v>
      </c>
      <c r="W228">
        <v>12.850425</v>
      </c>
      <c r="X228">
        <v>12.840412000000001</v>
      </c>
      <c r="Y228">
        <v>12.151947</v>
      </c>
      <c r="Z228">
        <v>12.258639000000001</v>
      </c>
      <c r="AA228">
        <v>12.670662999999999</v>
      </c>
      <c r="AB228">
        <v>12.27251</v>
      </c>
      <c r="AC228">
        <v>11.294727999999999</v>
      </c>
      <c r="AD228">
        <v>12.465168999999999</v>
      </c>
      <c r="AE228">
        <v>14.782455000000001</v>
      </c>
      <c r="AF228">
        <v>12.21204</v>
      </c>
      <c r="AG228">
        <v>12.615256</v>
      </c>
    </row>
    <row r="229" spans="1:33" x14ac:dyDescent="0.25">
      <c r="A229" s="1">
        <v>44280</v>
      </c>
      <c r="B229">
        <v>12.1673355</v>
      </c>
      <c r="C229">
        <v>12.349678000000001</v>
      </c>
      <c r="D229">
        <v>12.250496999999999</v>
      </c>
      <c r="E229">
        <v>12.367311000000001</v>
      </c>
      <c r="F229">
        <v>12.392293</v>
      </c>
      <c r="G229">
        <v>12.348564</v>
      </c>
      <c r="H229">
        <v>13.863191</v>
      </c>
      <c r="I229">
        <v>12.345421</v>
      </c>
      <c r="J229">
        <v>11.787628</v>
      </c>
      <c r="K229">
        <v>12.505084999999999</v>
      </c>
      <c r="L229">
        <v>12.643596000000001</v>
      </c>
      <c r="M229">
        <v>12.33337</v>
      </c>
      <c r="N229">
        <v>12.52819</v>
      </c>
      <c r="O229">
        <v>12.641396500000001</v>
      </c>
      <c r="P229">
        <v>12.455212</v>
      </c>
      <c r="Q229">
        <v>12.358809000000001</v>
      </c>
      <c r="R229">
        <v>12.6167</v>
      </c>
      <c r="S229">
        <v>10.69046</v>
      </c>
      <c r="T229">
        <v>12.825253500000001</v>
      </c>
      <c r="U229">
        <v>12.784831000000001</v>
      </c>
      <c r="V229">
        <v>13.070914</v>
      </c>
      <c r="W229">
        <v>12.987061499999999</v>
      </c>
      <c r="X229">
        <v>13.161894999999999</v>
      </c>
      <c r="Y229">
        <v>12.403211000000001</v>
      </c>
      <c r="Z229">
        <v>12.51197</v>
      </c>
      <c r="AA229">
        <v>12.892576999999999</v>
      </c>
      <c r="AB229">
        <v>12.515518</v>
      </c>
      <c r="AC229">
        <v>11.704288500000001</v>
      </c>
      <c r="AD229">
        <v>12.672482</v>
      </c>
      <c r="AE229">
        <v>15.439317000000001</v>
      </c>
      <c r="AF229">
        <v>12.479169000000001</v>
      </c>
      <c r="AG229">
        <v>12.887112999999999</v>
      </c>
    </row>
    <row r="230" spans="1:33" x14ac:dyDescent="0.25">
      <c r="A230" s="1">
        <v>44281</v>
      </c>
      <c r="B230">
        <v>12.529469000000001</v>
      </c>
      <c r="C230">
        <v>12.460246</v>
      </c>
      <c r="D230">
        <v>12.490938999999999</v>
      </c>
      <c r="E230">
        <v>12.626861</v>
      </c>
      <c r="F230">
        <v>12.559998</v>
      </c>
      <c r="G230">
        <v>12.532425999999999</v>
      </c>
      <c r="H230">
        <v>13.754395499999999</v>
      </c>
      <c r="I230">
        <v>12.471721000000001</v>
      </c>
      <c r="J230">
        <v>11.960336</v>
      </c>
      <c r="K230">
        <v>12.610093000000001</v>
      </c>
      <c r="L230">
        <v>12.76463</v>
      </c>
      <c r="M230">
        <v>12.497882000000001</v>
      </c>
      <c r="N230">
        <v>12.670035</v>
      </c>
      <c r="O230">
        <v>12.794701999999999</v>
      </c>
      <c r="P230">
        <v>12.570080000000001</v>
      </c>
      <c r="Q230">
        <v>12.503985999999999</v>
      </c>
      <c r="R230">
        <v>12.749179</v>
      </c>
      <c r="S230">
        <v>11.0243225</v>
      </c>
      <c r="T230">
        <v>12.949899</v>
      </c>
      <c r="U230">
        <v>12.92102</v>
      </c>
      <c r="V230">
        <v>13.0922365</v>
      </c>
      <c r="W230">
        <v>13.538971</v>
      </c>
      <c r="X230">
        <v>13.111388</v>
      </c>
      <c r="Y230">
        <v>12.564258000000001</v>
      </c>
      <c r="Z230">
        <v>12.626315999999999</v>
      </c>
      <c r="AA230">
        <v>13.107656</v>
      </c>
      <c r="AB230">
        <v>12.714612000000001</v>
      </c>
      <c r="AC230">
        <v>11.9226885</v>
      </c>
      <c r="AD230">
        <v>12.8109865</v>
      </c>
      <c r="AE230">
        <v>15.633761</v>
      </c>
      <c r="AF230">
        <v>12.675544</v>
      </c>
      <c r="AG230">
        <v>13.069175</v>
      </c>
    </row>
    <row r="231" spans="1:33" x14ac:dyDescent="0.25">
      <c r="A231" s="1">
        <v>44282</v>
      </c>
      <c r="B231">
        <v>13.110607999999999</v>
      </c>
      <c r="C231">
        <v>12.820796</v>
      </c>
      <c r="D231">
        <v>12.854675</v>
      </c>
      <c r="E231">
        <v>12.971873</v>
      </c>
      <c r="F231">
        <v>12.943859</v>
      </c>
      <c r="G231">
        <v>12.778554</v>
      </c>
      <c r="H231">
        <v>13.944744999999999</v>
      </c>
      <c r="I231">
        <v>12.943603</v>
      </c>
      <c r="J231">
        <v>12.461185</v>
      </c>
      <c r="K231">
        <v>12.900731</v>
      </c>
      <c r="L231">
        <v>13.061169</v>
      </c>
      <c r="M231">
        <v>12.798927000000001</v>
      </c>
      <c r="N231">
        <v>13.020981000000001</v>
      </c>
      <c r="O231">
        <v>13.133136</v>
      </c>
      <c r="P231">
        <v>12.864421</v>
      </c>
      <c r="Q231">
        <v>12.775308000000001</v>
      </c>
      <c r="R231">
        <v>13.054168000000001</v>
      </c>
      <c r="S231">
        <v>11.309338</v>
      </c>
      <c r="T231">
        <v>13.240952</v>
      </c>
      <c r="U231">
        <v>13.295711000000001</v>
      </c>
      <c r="V231">
        <v>13.568816999999999</v>
      </c>
      <c r="W231">
        <v>13.851626</v>
      </c>
      <c r="X231">
        <v>13.673924</v>
      </c>
      <c r="Y231">
        <v>12.879879000000001</v>
      </c>
      <c r="Z231">
        <v>13.006902</v>
      </c>
      <c r="AA231">
        <v>13.410621000000001</v>
      </c>
      <c r="AB231">
        <v>13.007609</v>
      </c>
      <c r="AC231">
        <v>12.332777999999999</v>
      </c>
      <c r="AD231">
        <v>13.070588000000001</v>
      </c>
      <c r="AE231">
        <v>16.450068000000002</v>
      </c>
      <c r="AF231">
        <v>12.922840000000001</v>
      </c>
      <c r="AG231">
        <v>13.408962000000001</v>
      </c>
    </row>
    <row r="232" spans="1:33" x14ac:dyDescent="0.25">
      <c r="A232" s="1">
        <v>44283</v>
      </c>
      <c r="B232">
        <v>13.587194999999999</v>
      </c>
      <c r="C232">
        <v>13.171343999999999</v>
      </c>
      <c r="D232">
        <v>13.239381</v>
      </c>
      <c r="E232">
        <v>13.328507</v>
      </c>
      <c r="F232">
        <v>13.281896</v>
      </c>
      <c r="G232">
        <v>13.134456</v>
      </c>
      <c r="H232">
        <v>14.182404500000001</v>
      </c>
      <c r="I232">
        <v>13.402104</v>
      </c>
      <c r="J232">
        <v>13.245791000000001</v>
      </c>
      <c r="K232">
        <v>13.295334</v>
      </c>
      <c r="L232">
        <v>13.432199000000001</v>
      </c>
      <c r="M232">
        <v>13.162399000000001</v>
      </c>
      <c r="N232">
        <v>13.393935000000001</v>
      </c>
      <c r="O232">
        <v>13.478778</v>
      </c>
      <c r="P232">
        <v>13.260935999999999</v>
      </c>
      <c r="Q232">
        <v>13.12645</v>
      </c>
      <c r="R232">
        <v>13.355801</v>
      </c>
      <c r="S232">
        <v>12.123101</v>
      </c>
      <c r="T232">
        <v>13.706676</v>
      </c>
      <c r="U232">
        <v>13.7973175</v>
      </c>
      <c r="V232">
        <v>14.091904</v>
      </c>
      <c r="W232">
        <v>14.246739</v>
      </c>
      <c r="X232">
        <v>14.233461999999999</v>
      </c>
      <c r="Y232">
        <v>13.412118</v>
      </c>
      <c r="Z232">
        <v>13.594719</v>
      </c>
      <c r="AA232">
        <v>13.857783</v>
      </c>
      <c r="AB232">
        <v>13.507992</v>
      </c>
      <c r="AC232">
        <v>13.034579000000001</v>
      </c>
      <c r="AD232">
        <v>13.430942999999999</v>
      </c>
      <c r="AE232">
        <v>17.421987999999999</v>
      </c>
      <c r="AF232">
        <v>13.275423999999999</v>
      </c>
      <c r="AG232">
        <v>13.905677000000001</v>
      </c>
    </row>
    <row r="233" spans="1:33" x14ac:dyDescent="0.25">
      <c r="A233" s="1">
        <v>44284</v>
      </c>
      <c r="B233">
        <v>13.857639000000001</v>
      </c>
      <c r="C233">
        <v>13.375358</v>
      </c>
      <c r="D233">
        <v>13.441761</v>
      </c>
      <c r="E233">
        <v>13.549897</v>
      </c>
      <c r="F233">
        <v>13.514082999999999</v>
      </c>
      <c r="G233">
        <v>13.418633</v>
      </c>
      <c r="H233">
        <v>14.302395000000001</v>
      </c>
      <c r="I233">
        <v>13.606214</v>
      </c>
      <c r="J233">
        <v>13.721391000000001</v>
      </c>
      <c r="K233">
        <v>13.563338999999999</v>
      </c>
      <c r="L233">
        <v>13.72681</v>
      </c>
      <c r="M233">
        <v>13.436252</v>
      </c>
      <c r="N233">
        <v>13.631309</v>
      </c>
      <c r="O233">
        <v>13.638881</v>
      </c>
      <c r="P233">
        <v>13.539664</v>
      </c>
      <c r="Q233">
        <v>13.382546</v>
      </c>
      <c r="R233">
        <v>13.533804999999999</v>
      </c>
      <c r="S233">
        <v>12.392442000000001</v>
      </c>
      <c r="T233">
        <v>13.965987</v>
      </c>
      <c r="U233">
        <v>14.195687</v>
      </c>
      <c r="V233">
        <v>14.309558000000001</v>
      </c>
      <c r="W233">
        <v>14.735296999999999</v>
      </c>
      <c r="X233">
        <v>14.477145999999999</v>
      </c>
      <c r="Y233">
        <v>13.813644999999999</v>
      </c>
      <c r="Z233">
        <v>14.061353</v>
      </c>
      <c r="AA233">
        <v>14.239459</v>
      </c>
      <c r="AB233">
        <v>13.898147</v>
      </c>
      <c r="AC233">
        <v>13.480952</v>
      </c>
      <c r="AD233">
        <v>13.735112000000001</v>
      </c>
      <c r="AE233">
        <v>17.885954000000002</v>
      </c>
      <c r="AF233">
        <v>13.592238</v>
      </c>
      <c r="AG233">
        <v>14.185044</v>
      </c>
    </row>
    <row r="234" spans="1:33" x14ac:dyDescent="0.25">
      <c r="A234" s="1">
        <v>44285</v>
      </c>
      <c r="B234">
        <v>13.765217</v>
      </c>
      <c r="C234">
        <v>13.516346</v>
      </c>
      <c r="D234">
        <v>13.330715</v>
      </c>
      <c r="E234">
        <v>13.539978</v>
      </c>
      <c r="F234">
        <v>13.738033</v>
      </c>
      <c r="G234">
        <v>13.603149999999999</v>
      </c>
      <c r="H234">
        <v>14.374575999999999</v>
      </c>
      <c r="I234">
        <v>13.832031000000001</v>
      </c>
      <c r="J234">
        <v>13.617652</v>
      </c>
      <c r="K234">
        <v>13.574472999999999</v>
      </c>
      <c r="L234">
        <v>13.7881</v>
      </c>
      <c r="M234">
        <v>13.588085</v>
      </c>
      <c r="N234">
        <v>13.647404</v>
      </c>
      <c r="O234">
        <v>13.616633999999999</v>
      </c>
      <c r="P234">
        <v>13.578721</v>
      </c>
      <c r="Q234">
        <v>13.508125</v>
      </c>
      <c r="R234">
        <v>13.554978</v>
      </c>
      <c r="S234">
        <v>12.023647</v>
      </c>
      <c r="T234">
        <v>13.767467</v>
      </c>
      <c r="U234">
        <v>14.052035999999999</v>
      </c>
      <c r="V234">
        <v>14.228043</v>
      </c>
      <c r="W234">
        <v>14.877791999999999</v>
      </c>
      <c r="X234">
        <v>14.411968</v>
      </c>
      <c r="Y234">
        <v>13.938888</v>
      </c>
      <c r="Z234">
        <v>14.082606999999999</v>
      </c>
      <c r="AA234">
        <v>14.364444000000001</v>
      </c>
      <c r="AB234">
        <v>14.015613</v>
      </c>
      <c r="AC234">
        <v>13.6321335</v>
      </c>
      <c r="AD234">
        <v>13.818019</v>
      </c>
      <c r="AE234">
        <v>17.036459000000001</v>
      </c>
      <c r="AF234">
        <v>13.765670999999999</v>
      </c>
      <c r="AG234">
        <v>14.134468999999999</v>
      </c>
    </row>
    <row r="235" spans="1:33" x14ac:dyDescent="0.25">
      <c r="A235" s="1">
        <v>44286</v>
      </c>
      <c r="B235">
        <v>14.076133</v>
      </c>
      <c r="C235">
        <v>13.838761</v>
      </c>
      <c r="D235">
        <v>13.359909999999999</v>
      </c>
      <c r="E235">
        <v>13.679900999999999</v>
      </c>
      <c r="F235">
        <v>14.084153000000001</v>
      </c>
      <c r="G235">
        <v>13.875361</v>
      </c>
      <c r="H235">
        <v>14.604469</v>
      </c>
      <c r="I235">
        <v>14.330079</v>
      </c>
      <c r="J235">
        <v>14.038091</v>
      </c>
      <c r="K235">
        <v>13.826642</v>
      </c>
      <c r="L235">
        <v>14.078673</v>
      </c>
      <c r="M235">
        <v>13.858029</v>
      </c>
      <c r="N235">
        <v>13.880566</v>
      </c>
      <c r="O235">
        <v>13.965127000000001</v>
      </c>
      <c r="P235">
        <v>13.811927000000001</v>
      </c>
      <c r="Q235">
        <v>13.757291</v>
      </c>
      <c r="R235">
        <v>13.850533499999999</v>
      </c>
      <c r="S235">
        <v>12.071462</v>
      </c>
      <c r="T235">
        <v>14.030065</v>
      </c>
      <c r="U235">
        <v>14.304959</v>
      </c>
      <c r="V235">
        <v>14.648974000000001</v>
      </c>
      <c r="W235">
        <v>15.067852</v>
      </c>
      <c r="X235">
        <v>14.910174</v>
      </c>
      <c r="Y235">
        <v>14.247540000000001</v>
      </c>
      <c r="Z235">
        <v>14.371269</v>
      </c>
      <c r="AA235">
        <v>14.631809000000001</v>
      </c>
      <c r="AB235">
        <v>14.288358000000001</v>
      </c>
      <c r="AC235">
        <v>13.883663</v>
      </c>
      <c r="AD235">
        <v>14.055324000000001</v>
      </c>
      <c r="AE235">
        <v>17.498262</v>
      </c>
      <c r="AF235">
        <v>14.035892</v>
      </c>
      <c r="AG235">
        <v>14.445403000000001</v>
      </c>
    </row>
    <row r="236" spans="1:33" x14ac:dyDescent="0.25">
      <c r="A236" s="1">
        <v>44287</v>
      </c>
      <c r="B236">
        <v>14.598305999999999</v>
      </c>
      <c r="C236">
        <v>14.299203</v>
      </c>
      <c r="D236">
        <v>13.690619999999999</v>
      </c>
      <c r="E236">
        <v>14.05756</v>
      </c>
      <c r="F236">
        <v>14.625211</v>
      </c>
      <c r="G236">
        <v>14.318711</v>
      </c>
      <c r="H236">
        <v>15.111732</v>
      </c>
      <c r="I236">
        <v>15.217917</v>
      </c>
      <c r="J236">
        <v>14.868625</v>
      </c>
      <c r="K236">
        <v>14.286103000000001</v>
      </c>
      <c r="L236">
        <v>14.515651</v>
      </c>
      <c r="M236">
        <v>14.285228999999999</v>
      </c>
      <c r="N236">
        <v>14.258054</v>
      </c>
      <c r="O236">
        <v>14.434319500000001</v>
      </c>
      <c r="P236">
        <v>14.243541</v>
      </c>
      <c r="Q236">
        <v>14.184499000000001</v>
      </c>
      <c r="R236">
        <v>14.274236</v>
      </c>
      <c r="S236">
        <v>13.011535</v>
      </c>
      <c r="T236">
        <v>14.626969000000001</v>
      </c>
      <c r="U236">
        <v>14.88153</v>
      </c>
      <c r="V236">
        <v>15.227221500000001</v>
      </c>
      <c r="W236">
        <v>15.318172000000001</v>
      </c>
      <c r="X236">
        <v>15.49771</v>
      </c>
      <c r="Y236">
        <v>14.894133999999999</v>
      </c>
      <c r="Z236">
        <v>14.954777</v>
      </c>
      <c r="AA236">
        <v>15.16442</v>
      </c>
      <c r="AB236">
        <v>14.885802</v>
      </c>
      <c r="AC236">
        <v>14.465394</v>
      </c>
      <c r="AD236">
        <v>14.457801</v>
      </c>
      <c r="AE236">
        <v>18.674555000000002</v>
      </c>
      <c r="AF236">
        <v>14.425046</v>
      </c>
      <c r="AG236">
        <v>15.113568000000001</v>
      </c>
    </row>
    <row r="237" spans="1:33" x14ac:dyDescent="0.25">
      <c r="A237" s="1">
        <v>44288</v>
      </c>
      <c r="B237">
        <v>14.711053</v>
      </c>
      <c r="C237">
        <v>14.510451</v>
      </c>
      <c r="D237">
        <v>13.910042000000001</v>
      </c>
      <c r="E237">
        <v>14.243255</v>
      </c>
      <c r="F237">
        <v>14.777424999999999</v>
      </c>
      <c r="G237">
        <v>14.64696</v>
      </c>
      <c r="H237">
        <v>15.394429000000001</v>
      </c>
      <c r="I237">
        <v>15.375145</v>
      </c>
      <c r="J237">
        <v>15.377037</v>
      </c>
      <c r="K237">
        <v>14.645161999999999</v>
      </c>
      <c r="L237">
        <v>14.8485985</v>
      </c>
      <c r="M237">
        <v>14.553337000000001</v>
      </c>
      <c r="N237">
        <v>14.527634000000001</v>
      </c>
      <c r="O237">
        <v>14.734698</v>
      </c>
      <c r="P237">
        <v>14.582098999999999</v>
      </c>
      <c r="Q237">
        <v>14.503272000000001</v>
      </c>
      <c r="R237">
        <v>14.597362499999999</v>
      </c>
      <c r="S237">
        <v>13.742637</v>
      </c>
      <c r="T237">
        <v>15.090515</v>
      </c>
      <c r="U237">
        <v>15.285682</v>
      </c>
      <c r="V237">
        <v>15.495442000000001</v>
      </c>
      <c r="W237">
        <v>15.776634</v>
      </c>
      <c r="X237">
        <v>15.697737999999999</v>
      </c>
      <c r="Y237">
        <v>15.482408</v>
      </c>
      <c r="Z237">
        <v>15.413449</v>
      </c>
      <c r="AA237">
        <v>15.633785</v>
      </c>
      <c r="AB237">
        <v>15.454304</v>
      </c>
      <c r="AC237">
        <v>14.983993</v>
      </c>
      <c r="AD237">
        <v>14.821942</v>
      </c>
      <c r="AE237">
        <v>19.304525000000002</v>
      </c>
      <c r="AF237">
        <v>14.780567</v>
      </c>
      <c r="AG237">
        <v>15.606419000000001</v>
      </c>
    </row>
    <row r="238" spans="1:33" x14ac:dyDescent="0.25">
      <c r="A238" s="1">
        <v>44289</v>
      </c>
      <c r="B238">
        <v>14.477639</v>
      </c>
      <c r="C238">
        <v>14.578208</v>
      </c>
      <c r="D238">
        <v>13.997958000000001</v>
      </c>
      <c r="E238">
        <v>14.230769</v>
      </c>
      <c r="F238">
        <v>14.6799555</v>
      </c>
      <c r="G238">
        <v>14.694965</v>
      </c>
      <c r="H238">
        <v>15.3667</v>
      </c>
      <c r="I238">
        <v>15.025174</v>
      </c>
      <c r="J238">
        <v>15.144246000000001</v>
      </c>
      <c r="K238">
        <v>14.723102000000001</v>
      </c>
      <c r="L238">
        <v>15.020462999999999</v>
      </c>
      <c r="M238">
        <v>14.610697999999999</v>
      </c>
      <c r="N238">
        <v>14.613569999999999</v>
      </c>
      <c r="O238">
        <v>14.858036999999999</v>
      </c>
      <c r="P238">
        <v>14.661542000000001</v>
      </c>
      <c r="Q238">
        <v>14.583667</v>
      </c>
      <c r="R238">
        <v>14.789497000000001</v>
      </c>
      <c r="S238">
        <v>13.664980999999999</v>
      </c>
      <c r="T238">
        <v>15.250363</v>
      </c>
      <c r="U238">
        <v>15.507148000000001</v>
      </c>
      <c r="V238">
        <v>15.469924000000001</v>
      </c>
      <c r="W238">
        <v>15.940587000000001</v>
      </c>
      <c r="X238">
        <v>15.669178</v>
      </c>
      <c r="Y238">
        <v>15.842534000000001</v>
      </c>
      <c r="Z238">
        <v>15.634556999999999</v>
      </c>
      <c r="AA238">
        <v>15.927111999999999</v>
      </c>
      <c r="AB238">
        <v>15.834541</v>
      </c>
      <c r="AC238">
        <v>15.345107</v>
      </c>
      <c r="AD238">
        <v>15.039004</v>
      </c>
      <c r="AE238">
        <v>18.988980999999999</v>
      </c>
      <c r="AF238">
        <v>15.09755</v>
      </c>
      <c r="AG238">
        <v>15.9288645</v>
      </c>
    </row>
    <row r="239" spans="1:33" x14ac:dyDescent="0.25">
      <c r="A239" s="1">
        <v>44290</v>
      </c>
      <c r="B239">
        <v>14.231280999999999</v>
      </c>
      <c r="C239">
        <v>14.5915985</v>
      </c>
      <c r="D239">
        <v>14.046298</v>
      </c>
      <c r="E239">
        <v>14.222759</v>
      </c>
      <c r="F239">
        <v>14.540959000000001</v>
      </c>
      <c r="G239">
        <v>14.642651000000001</v>
      </c>
      <c r="H239">
        <v>15.214904000000001</v>
      </c>
      <c r="I239">
        <v>14.632579</v>
      </c>
      <c r="J239">
        <v>14.76545</v>
      </c>
      <c r="K239">
        <v>14.757980999999999</v>
      </c>
      <c r="L239">
        <v>15.093688999999999</v>
      </c>
      <c r="M239">
        <v>14.562953</v>
      </c>
      <c r="N239">
        <v>14.721841</v>
      </c>
      <c r="O239">
        <v>15.042191499999999</v>
      </c>
      <c r="P239">
        <v>14.695232000000001</v>
      </c>
      <c r="Q239">
        <v>14.610253</v>
      </c>
      <c r="R239">
        <v>14.963531</v>
      </c>
      <c r="S239">
        <v>13.198853</v>
      </c>
      <c r="T239">
        <v>15.343432999999999</v>
      </c>
      <c r="U239">
        <v>15.6419525</v>
      </c>
      <c r="V239">
        <v>15.695243</v>
      </c>
      <c r="W239">
        <v>15.9788885</v>
      </c>
      <c r="X239">
        <v>15.914543999999999</v>
      </c>
      <c r="Y239">
        <v>15.955543499999999</v>
      </c>
      <c r="Z239">
        <v>15.741270999999999</v>
      </c>
      <c r="AA239">
        <v>16.108969999999999</v>
      </c>
      <c r="AB239">
        <v>16.008531999999999</v>
      </c>
      <c r="AC239">
        <v>15.395835999999999</v>
      </c>
      <c r="AD239">
        <v>15.193889</v>
      </c>
      <c r="AE239">
        <v>18.335953</v>
      </c>
      <c r="AF239">
        <v>15.383171000000001</v>
      </c>
      <c r="AG239">
        <v>16.128874</v>
      </c>
    </row>
    <row r="240" spans="1:33" x14ac:dyDescent="0.25">
      <c r="A240" s="1">
        <v>44291</v>
      </c>
      <c r="B240">
        <v>14.325457999999999</v>
      </c>
      <c r="C240">
        <v>14.6148405</v>
      </c>
      <c r="D240">
        <v>14.166663</v>
      </c>
      <c r="E240">
        <v>14.384599</v>
      </c>
      <c r="F240">
        <v>14.522016000000001</v>
      </c>
      <c r="G240">
        <v>14.625657</v>
      </c>
      <c r="H240">
        <v>15.230369</v>
      </c>
      <c r="I240">
        <v>14.394360000000001</v>
      </c>
      <c r="J240">
        <v>14.583572</v>
      </c>
      <c r="K240">
        <v>14.822804</v>
      </c>
      <c r="L240">
        <v>15.145485000000001</v>
      </c>
      <c r="M240">
        <v>14.564576000000001</v>
      </c>
      <c r="N240">
        <v>14.82574</v>
      </c>
      <c r="O240">
        <v>15.096951000000001</v>
      </c>
      <c r="P240">
        <v>14.76281</v>
      </c>
      <c r="Q240">
        <v>14.640330000000001</v>
      </c>
      <c r="R240">
        <v>15.058991000000001</v>
      </c>
      <c r="S240">
        <v>12.9034195</v>
      </c>
      <c r="T240">
        <v>15.432446499999999</v>
      </c>
      <c r="U240">
        <v>15.675407</v>
      </c>
      <c r="V240">
        <v>15.700494000000001</v>
      </c>
      <c r="W240">
        <v>16.105741999999999</v>
      </c>
      <c r="X240">
        <v>15.918644</v>
      </c>
      <c r="Y240">
        <v>15.912777</v>
      </c>
      <c r="Z240">
        <v>15.724365000000001</v>
      </c>
      <c r="AA240">
        <v>16.208872</v>
      </c>
      <c r="AB240">
        <v>15.99269</v>
      </c>
      <c r="AC240">
        <v>15.260329</v>
      </c>
      <c r="AD240">
        <v>15.302339</v>
      </c>
      <c r="AE240">
        <v>18.215520000000001</v>
      </c>
      <c r="AF240">
        <v>15.663859</v>
      </c>
      <c r="AG240">
        <v>16.265173000000001</v>
      </c>
    </row>
    <row r="241" spans="1:33" x14ac:dyDescent="0.25">
      <c r="A241" s="1">
        <v>44292</v>
      </c>
      <c r="B241">
        <v>14.587643999999999</v>
      </c>
      <c r="C241">
        <v>14.735466000000001</v>
      </c>
      <c r="D241">
        <v>14.380038000000001</v>
      </c>
      <c r="E241">
        <v>14.591177999999999</v>
      </c>
      <c r="F241">
        <v>14.581534</v>
      </c>
      <c r="G241">
        <v>14.660080000000001</v>
      </c>
      <c r="H241">
        <v>15.253708</v>
      </c>
      <c r="I241">
        <v>14.328044999999999</v>
      </c>
      <c r="J241">
        <v>14.812028</v>
      </c>
      <c r="K241">
        <v>15.038644</v>
      </c>
      <c r="L241">
        <v>15.381016000000001</v>
      </c>
      <c r="M241">
        <v>14.644074</v>
      </c>
      <c r="N241">
        <v>15.036235</v>
      </c>
      <c r="O241">
        <v>15.34639</v>
      </c>
      <c r="P241">
        <v>14.959534</v>
      </c>
      <c r="Q241">
        <v>14.741306</v>
      </c>
      <c r="R241">
        <v>15.280025</v>
      </c>
      <c r="S241">
        <v>12.929748999999999</v>
      </c>
      <c r="T241">
        <v>15.593776</v>
      </c>
      <c r="U241">
        <v>15.798532</v>
      </c>
      <c r="V241">
        <v>15.927196</v>
      </c>
      <c r="W241">
        <v>16.36007</v>
      </c>
      <c r="X241">
        <v>16.070612000000001</v>
      </c>
      <c r="Y241">
        <v>15.881576000000001</v>
      </c>
      <c r="Z241">
        <v>15.788546999999999</v>
      </c>
      <c r="AA241">
        <v>16.401941000000001</v>
      </c>
      <c r="AB241">
        <v>16.014862000000001</v>
      </c>
      <c r="AC241">
        <v>14.938285</v>
      </c>
      <c r="AD241">
        <v>15.486110999999999</v>
      </c>
      <c r="AE241">
        <v>18.42436</v>
      </c>
      <c r="AF241">
        <v>15.996371</v>
      </c>
      <c r="AG241">
        <v>16.489494000000001</v>
      </c>
    </row>
    <row r="242" spans="1:33" x14ac:dyDescent="0.25">
      <c r="A242" s="1">
        <v>44293</v>
      </c>
      <c r="B242">
        <v>14.456851</v>
      </c>
      <c r="C242">
        <v>14.673354</v>
      </c>
      <c r="D242">
        <v>14.486924</v>
      </c>
      <c r="E242">
        <v>14.615997</v>
      </c>
      <c r="F242">
        <v>14.446118</v>
      </c>
      <c r="G242">
        <v>14.646062000000001</v>
      </c>
      <c r="H242">
        <v>15.251229</v>
      </c>
      <c r="I242">
        <v>13.947583</v>
      </c>
      <c r="J242">
        <v>14.847863</v>
      </c>
      <c r="K242">
        <v>15.076784999999999</v>
      </c>
      <c r="L242">
        <v>15.465991000000001</v>
      </c>
      <c r="M242">
        <v>14.654878</v>
      </c>
      <c r="N242">
        <v>15.103657999999999</v>
      </c>
      <c r="O242">
        <v>15.405173</v>
      </c>
      <c r="P242">
        <v>15.035795999999999</v>
      </c>
      <c r="Q242">
        <v>14.763196000000001</v>
      </c>
      <c r="R242">
        <v>15.325654</v>
      </c>
      <c r="S242">
        <v>12.801997999999999</v>
      </c>
      <c r="T242">
        <v>15.647866</v>
      </c>
      <c r="U242">
        <v>15.796481999999999</v>
      </c>
      <c r="V242">
        <v>15.944217999999999</v>
      </c>
      <c r="W242">
        <v>16.466018999999999</v>
      </c>
      <c r="X242">
        <v>16.067709000000001</v>
      </c>
      <c r="Y242">
        <v>15.913216</v>
      </c>
      <c r="Z242">
        <v>15.7551565</v>
      </c>
      <c r="AA242">
        <v>16.586970000000001</v>
      </c>
      <c r="AB242">
        <v>16.035959999999999</v>
      </c>
      <c r="AC242">
        <v>14.765605000000001</v>
      </c>
      <c r="AD242">
        <v>15.602404999999999</v>
      </c>
      <c r="AE242">
        <v>18.713833000000001</v>
      </c>
      <c r="AF242">
        <v>16.273766999999999</v>
      </c>
      <c r="AG242">
        <v>16.539776</v>
      </c>
    </row>
    <row r="243" spans="1:33" x14ac:dyDescent="0.25">
      <c r="A243" s="1">
        <v>44294</v>
      </c>
      <c r="B243">
        <v>14.404413999999999</v>
      </c>
      <c r="C243">
        <v>14.721876999999999</v>
      </c>
      <c r="D243">
        <v>14.552325</v>
      </c>
      <c r="E243">
        <v>14.581853000000001</v>
      </c>
      <c r="F243">
        <v>14.380399000000001</v>
      </c>
      <c r="G243">
        <v>14.593711000000001</v>
      </c>
      <c r="H243">
        <v>15.108510000000001</v>
      </c>
      <c r="I243">
        <v>13.521262</v>
      </c>
      <c r="J243">
        <v>14.7967</v>
      </c>
      <c r="K243">
        <v>15.183128999999999</v>
      </c>
      <c r="L243">
        <v>15.592445</v>
      </c>
      <c r="M243">
        <v>14.672366</v>
      </c>
      <c r="N243">
        <v>15.258675999999999</v>
      </c>
      <c r="O243">
        <v>15.554080000000001</v>
      </c>
      <c r="P243">
        <v>15.12791</v>
      </c>
      <c r="Q243">
        <v>14.769337999999999</v>
      </c>
      <c r="R243">
        <v>15.482742</v>
      </c>
      <c r="S243">
        <v>12.409121499999999</v>
      </c>
      <c r="T243">
        <v>15.617969</v>
      </c>
      <c r="U243">
        <v>15.814109999999999</v>
      </c>
      <c r="V243">
        <v>16.027094000000002</v>
      </c>
      <c r="W243">
        <v>16.674263</v>
      </c>
      <c r="X243">
        <v>16.137661000000001</v>
      </c>
      <c r="Y243">
        <v>15.559189999999999</v>
      </c>
      <c r="Z243">
        <v>15.708526000000001</v>
      </c>
      <c r="AA243">
        <v>16.586320000000001</v>
      </c>
      <c r="AB243">
        <v>15.798054</v>
      </c>
      <c r="AC243">
        <v>14.364197000000001</v>
      </c>
      <c r="AD243">
        <v>15.708726</v>
      </c>
      <c r="AE243">
        <v>18.323004000000001</v>
      </c>
      <c r="AF243">
        <v>16.464680000000001</v>
      </c>
      <c r="AG243">
        <v>16.359358</v>
      </c>
    </row>
    <row r="244" spans="1:33" x14ac:dyDescent="0.25">
      <c r="A244" s="1">
        <v>44295</v>
      </c>
      <c r="B244">
        <v>14.654748</v>
      </c>
      <c r="C244">
        <v>14.851588</v>
      </c>
      <c r="D244">
        <v>14.695168000000001</v>
      </c>
      <c r="E244">
        <v>14.731453</v>
      </c>
      <c r="F244">
        <v>14.487105</v>
      </c>
      <c r="G244">
        <v>14.687566</v>
      </c>
      <c r="H244">
        <v>15.154996000000001</v>
      </c>
      <c r="I244">
        <v>13.645909</v>
      </c>
      <c r="J244">
        <v>15.145946500000001</v>
      </c>
      <c r="K244">
        <v>15.324002</v>
      </c>
      <c r="L244">
        <v>15.782818000000001</v>
      </c>
      <c r="M244">
        <v>14.760299</v>
      </c>
      <c r="N244">
        <v>15.383514</v>
      </c>
      <c r="O244">
        <v>15.726991</v>
      </c>
      <c r="P244">
        <v>15.283276000000001</v>
      </c>
      <c r="Q244">
        <v>14.861587</v>
      </c>
      <c r="R244">
        <v>15.604499000000001</v>
      </c>
      <c r="S244">
        <v>12.909226</v>
      </c>
      <c r="T244">
        <v>15.749089</v>
      </c>
      <c r="U244">
        <v>16.018630000000002</v>
      </c>
      <c r="V244">
        <v>16.337046000000001</v>
      </c>
      <c r="W244">
        <v>16.720493000000001</v>
      </c>
      <c r="X244">
        <v>16.566109000000001</v>
      </c>
      <c r="Y244">
        <v>15.61181</v>
      </c>
      <c r="Z244">
        <v>15.909367</v>
      </c>
      <c r="AA244">
        <v>16.732762999999998</v>
      </c>
      <c r="AB244">
        <v>15.842008</v>
      </c>
      <c r="AC244">
        <v>14.508882</v>
      </c>
      <c r="AD244">
        <v>15.88406</v>
      </c>
      <c r="AE244">
        <v>18.39602</v>
      </c>
      <c r="AF244">
        <v>16.645703999999999</v>
      </c>
      <c r="AG244">
        <v>16.369389999999999</v>
      </c>
    </row>
    <row r="245" spans="1:33" x14ac:dyDescent="0.25">
      <c r="A245" s="1">
        <v>44296</v>
      </c>
      <c r="B245">
        <v>14.862304999999999</v>
      </c>
      <c r="C245">
        <v>14.913708</v>
      </c>
      <c r="D245">
        <v>14.745423000000001</v>
      </c>
      <c r="E245">
        <v>14.795372</v>
      </c>
      <c r="F245">
        <v>14.549110000000001</v>
      </c>
      <c r="G245">
        <v>14.708672999999999</v>
      </c>
      <c r="H245">
        <v>15.111613</v>
      </c>
      <c r="I245">
        <v>13.652813</v>
      </c>
      <c r="J245">
        <v>15.430209</v>
      </c>
      <c r="K245">
        <v>15.481911</v>
      </c>
      <c r="L245">
        <v>15.964287000000001</v>
      </c>
      <c r="M245">
        <v>14.807912</v>
      </c>
      <c r="N245">
        <v>15.487456</v>
      </c>
      <c r="O245">
        <v>15.913568</v>
      </c>
      <c r="P245">
        <v>15.444406000000001</v>
      </c>
      <c r="Q245">
        <v>14.8993</v>
      </c>
      <c r="R245">
        <v>15.787614</v>
      </c>
      <c r="S245">
        <v>13.013145</v>
      </c>
      <c r="T245">
        <v>15.926959</v>
      </c>
      <c r="U245">
        <v>16.229284</v>
      </c>
      <c r="V245">
        <v>16.601054999999999</v>
      </c>
      <c r="W245">
        <v>16.963913000000002</v>
      </c>
      <c r="X245">
        <v>16.822762000000001</v>
      </c>
      <c r="Y245">
        <v>15.373015000000001</v>
      </c>
      <c r="Z245">
        <v>16.105442</v>
      </c>
      <c r="AA245">
        <v>16.818161</v>
      </c>
      <c r="AB245">
        <v>15.719055000000001</v>
      </c>
      <c r="AC245">
        <v>14.530236</v>
      </c>
      <c r="AD245">
        <v>16.069248000000002</v>
      </c>
      <c r="AE245">
        <v>18.248459</v>
      </c>
      <c r="AF245">
        <v>16.758274</v>
      </c>
      <c r="AG245">
        <v>16.292862</v>
      </c>
    </row>
    <row r="246" spans="1:33" x14ac:dyDescent="0.25">
      <c r="A246" s="1">
        <v>44297</v>
      </c>
      <c r="B246">
        <v>15.389104</v>
      </c>
      <c r="C246">
        <v>15.257735</v>
      </c>
      <c r="D246">
        <v>15.016617</v>
      </c>
      <c r="E246">
        <v>15.061688</v>
      </c>
      <c r="F246">
        <v>14.960156</v>
      </c>
      <c r="G246">
        <v>14.932727999999999</v>
      </c>
      <c r="H246">
        <v>15.363242</v>
      </c>
      <c r="I246">
        <v>14.36079</v>
      </c>
      <c r="J246">
        <v>15.940331</v>
      </c>
      <c r="K246">
        <v>15.730499</v>
      </c>
      <c r="L246">
        <v>16.220669000000001</v>
      </c>
      <c r="M246">
        <v>15.0338335</v>
      </c>
      <c r="N246">
        <v>15.73014</v>
      </c>
      <c r="O246">
        <v>16.16234</v>
      </c>
      <c r="P246">
        <v>15.693092999999999</v>
      </c>
      <c r="Q246">
        <v>15.106211999999999</v>
      </c>
      <c r="R246">
        <v>16.008292999999998</v>
      </c>
      <c r="S246">
        <v>13.679173</v>
      </c>
      <c r="T246">
        <v>16.261866000000001</v>
      </c>
      <c r="U246">
        <v>16.639004</v>
      </c>
      <c r="V246">
        <v>16.882377999999999</v>
      </c>
      <c r="W246">
        <v>17.311499000000001</v>
      </c>
      <c r="X246">
        <v>17.134084999999999</v>
      </c>
      <c r="Y246">
        <v>15.735818</v>
      </c>
      <c r="Z246">
        <v>16.483232000000001</v>
      </c>
      <c r="AA246">
        <v>17.127638000000001</v>
      </c>
      <c r="AB246">
        <v>16.036702999999999</v>
      </c>
      <c r="AC246">
        <v>14.935257</v>
      </c>
      <c r="AD246">
        <v>16.313424999999999</v>
      </c>
      <c r="AE246">
        <v>18.763680999999998</v>
      </c>
      <c r="AF246">
        <v>16.982927</v>
      </c>
      <c r="AG246">
        <v>16.684415999999999</v>
      </c>
    </row>
    <row r="247" spans="1:33" x14ac:dyDescent="0.25">
      <c r="A247" s="1">
        <v>44298</v>
      </c>
      <c r="B247">
        <v>15.775058</v>
      </c>
      <c r="C247">
        <v>15.488182</v>
      </c>
      <c r="D247">
        <v>15.291078000000001</v>
      </c>
      <c r="E247">
        <v>15.329007000000001</v>
      </c>
      <c r="F247">
        <v>15.294267</v>
      </c>
      <c r="G247">
        <v>15.215923999999999</v>
      </c>
      <c r="H247">
        <v>15.677322999999999</v>
      </c>
      <c r="I247">
        <v>15.002017</v>
      </c>
      <c r="J247">
        <v>16.374303999999999</v>
      </c>
      <c r="K247">
        <v>15.967128000000001</v>
      </c>
      <c r="L247">
        <v>16.439993000000001</v>
      </c>
      <c r="M247">
        <v>15.291774999999999</v>
      </c>
      <c r="N247">
        <v>15.930774</v>
      </c>
      <c r="O247">
        <v>16.346147999999999</v>
      </c>
      <c r="P247">
        <v>15.935169999999999</v>
      </c>
      <c r="Q247">
        <v>15.33352</v>
      </c>
      <c r="R247">
        <v>16.189768000000001</v>
      </c>
      <c r="S247">
        <v>14.247223</v>
      </c>
      <c r="T247">
        <v>16.553411000000001</v>
      </c>
      <c r="U247">
        <v>17.002946999999999</v>
      </c>
      <c r="V247">
        <v>17.191856000000001</v>
      </c>
      <c r="W247">
        <v>17.769155999999999</v>
      </c>
      <c r="X247">
        <v>17.469916999999999</v>
      </c>
      <c r="Y247">
        <v>16.235464</v>
      </c>
      <c r="Z247">
        <v>16.874345999999999</v>
      </c>
      <c r="AA247">
        <v>17.433882000000001</v>
      </c>
      <c r="AB247">
        <v>16.524664000000001</v>
      </c>
      <c r="AC247">
        <v>15.420394</v>
      </c>
      <c r="AD247">
        <v>16.537493000000001</v>
      </c>
      <c r="AE247">
        <v>18.752555999999998</v>
      </c>
      <c r="AF247">
        <v>17.20637</v>
      </c>
      <c r="AG247">
        <v>17.043724000000001</v>
      </c>
    </row>
    <row r="248" spans="1:33" x14ac:dyDescent="0.25">
      <c r="A248" s="1">
        <v>44299</v>
      </c>
      <c r="B248">
        <v>16.000146999999998</v>
      </c>
      <c r="C248">
        <v>15.555572</v>
      </c>
      <c r="D248">
        <v>15.372668000000001</v>
      </c>
      <c r="E248">
        <v>15.425071000000001</v>
      </c>
      <c r="F248">
        <v>15.377563</v>
      </c>
      <c r="G248">
        <v>15.420887</v>
      </c>
      <c r="H248">
        <v>15.739091</v>
      </c>
      <c r="I248">
        <v>15.185665</v>
      </c>
      <c r="J248">
        <v>16.686968</v>
      </c>
      <c r="K248">
        <v>16.160146999999998</v>
      </c>
      <c r="L248">
        <v>16.647666999999998</v>
      </c>
      <c r="M248">
        <v>15.462730000000001</v>
      </c>
      <c r="N248">
        <v>16.046026000000001</v>
      </c>
      <c r="O248">
        <v>16.519846000000001</v>
      </c>
      <c r="P248">
        <v>16.133333</v>
      </c>
      <c r="Q248">
        <v>15.494128</v>
      </c>
      <c r="R248">
        <v>16.334413999999999</v>
      </c>
      <c r="S248">
        <v>14.505896999999999</v>
      </c>
      <c r="T248">
        <v>16.704954000000001</v>
      </c>
      <c r="U248">
        <v>17.254193999999998</v>
      </c>
      <c r="V248">
        <v>17.409199000000001</v>
      </c>
      <c r="W248">
        <v>18.049195999999998</v>
      </c>
      <c r="X248">
        <v>17.715197</v>
      </c>
      <c r="Y248">
        <v>16.488088999999999</v>
      </c>
      <c r="Z248">
        <v>17.218596999999999</v>
      </c>
      <c r="AA248">
        <v>17.665120999999999</v>
      </c>
      <c r="AB248">
        <v>16.780515999999999</v>
      </c>
      <c r="AC248">
        <v>15.653938</v>
      </c>
      <c r="AD248">
        <v>16.740760000000002</v>
      </c>
      <c r="AE248">
        <v>17.532059</v>
      </c>
      <c r="AF248">
        <v>17.34056</v>
      </c>
      <c r="AG248">
        <v>17.112825000000001</v>
      </c>
    </row>
    <row r="249" spans="1:33" x14ac:dyDescent="0.25">
      <c r="A249" s="1">
        <v>44300</v>
      </c>
      <c r="B249">
        <v>16.012148</v>
      </c>
      <c r="C249">
        <v>15.640544999999999</v>
      </c>
      <c r="D249">
        <v>15.376511000000001</v>
      </c>
      <c r="E249">
        <v>15.438305</v>
      </c>
      <c r="F249">
        <v>15.4325075</v>
      </c>
      <c r="G249">
        <v>15.540528</v>
      </c>
      <c r="H249">
        <v>15.669857</v>
      </c>
      <c r="I249">
        <v>15.096631</v>
      </c>
      <c r="J249">
        <v>16.914583</v>
      </c>
      <c r="K249">
        <v>16.371395</v>
      </c>
      <c r="L249">
        <v>16.882845</v>
      </c>
      <c r="M249">
        <v>15.605644</v>
      </c>
      <c r="N249">
        <v>16.232309999999998</v>
      </c>
      <c r="O249">
        <v>16.794181999999999</v>
      </c>
      <c r="P249">
        <v>16.329708</v>
      </c>
      <c r="Q249">
        <v>15.621532</v>
      </c>
      <c r="R249">
        <v>16.567799999999998</v>
      </c>
      <c r="S249">
        <v>14.622484999999999</v>
      </c>
      <c r="T249">
        <v>16.915310000000002</v>
      </c>
      <c r="U249">
        <v>17.467559999999999</v>
      </c>
      <c r="V249">
        <v>17.748598000000001</v>
      </c>
      <c r="W249">
        <v>18.039235999999999</v>
      </c>
      <c r="X249">
        <v>18.097505999999999</v>
      </c>
      <c r="Y249">
        <v>16.392990000000001</v>
      </c>
      <c r="Z249">
        <v>17.508047000000001</v>
      </c>
      <c r="AA249">
        <v>17.752462000000001</v>
      </c>
      <c r="AB249">
        <v>16.672841999999999</v>
      </c>
      <c r="AC249">
        <v>15.474906000000001</v>
      </c>
      <c r="AD249">
        <v>16.953493000000002</v>
      </c>
      <c r="AE249">
        <v>17.340803000000001</v>
      </c>
      <c r="AF249">
        <v>17.37979</v>
      </c>
      <c r="AG249">
        <v>17.036068</v>
      </c>
    </row>
    <row r="250" spans="1:33" x14ac:dyDescent="0.25">
      <c r="A250" s="1">
        <v>44301</v>
      </c>
      <c r="B250">
        <v>15.907693</v>
      </c>
      <c r="C250">
        <v>15.792854999999999</v>
      </c>
      <c r="D250">
        <v>15.365952</v>
      </c>
      <c r="E250">
        <v>15.437023</v>
      </c>
      <c r="F250">
        <v>15.585217</v>
      </c>
      <c r="G250">
        <v>15.712635000000001</v>
      </c>
      <c r="H250">
        <v>15.637333</v>
      </c>
      <c r="I250">
        <v>15.334709</v>
      </c>
      <c r="J250">
        <v>16.936143999999999</v>
      </c>
      <c r="K250">
        <v>16.500482999999999</v>
      </c>
      <c r="L250">
        <v>17.04711</v>
      </c>
      <c r="M250">
        <v>15.753940999999999</v>
      </c>
      <c r="N250">
        <v>16.386023999999999</v>
      </c>
      <c r="O250">
        <v>16.929186000000001</v>
      </c>
      <c r="P250">
        <v>16.45412</v>
      </c>
      <c r="Q250">
        <v>15.771386</v>
      </c>
      <c r="R250">
        <v>16.710169</v>
      </c>
      <c r="S250">
        <v>14.555249</v>
      </c>
      <c r="T250">
        <v>17.043410000000002</v>
      </c>
      <c r="U250">
        <v>17.625772000000001</v>
      </c>
      <c r="V250">
        <v>17.862179000000001</v>
      </c>
      <c r="W250">
        <v>17.860742999999999</v>
      </c>
      <c r="X250">
        <v>18.194072999999999</v>
      </c>
      <c r="Y250">
        <v>16.63158</v>
      </c>
      <c r="Z250">
        <v>17.685918999999998</v>
      </c>
      <c r="AA250">
        <v>17.919074999999999</v>
      </c>
      <c r="AB250">
        <v>16.903585</v>
      </c>
      <c r="AC250">
        <v>15.232884</v>
      </c>
      <c r="AD250">
        <v>17.124528999999999</v>
      </c>
      <c r="AE250">
        <v>17.928159999999998</v>
      </c>
      <c r="AF250">
        <v>17.456037999999999</v>
      </c>
      <c r="AG250">
        <v>17.275770000000001</v>
      </c>
    </row>
    <row r="251" spans="1:33" x14ac:dyDescent="0.25">
      <c r="A251" s="1">
        <v>44302</v>
      </c>
      <c r="B251">
        <v>15.753307</v>
      </c>
      <c r="C251">
        <v>15.845033000000001</v>
      </c>
      <c r="D251">
        <v>15.304508999999999</v>
      </c>
      <c r="E251">
        <v>15.421566</v>
      </c>
      <c r="F251">
        <v>15.539374</v>
      </c>
      <c r="G251">
        <v>15.747792</v>
      </c>
      <c r="H251">
        <v>15.570876999999999</v>
      </c>
      <c r="I251">
        <v>15.136906</v>
      </c>
      <c r="J251">
        <v>16.678395999999999</v>
      </c>
      <c r="K251">
        <v>16.442471999999999</v>
      </c>
      <c r="L251">
        <v>17.014585</v>
      </c>
      <c r="M251">
        <v>15.771171000000001</v>
      </c>
      <c r="N251">
        <v>16.318360999999999</v>
      </c>
      <c r="O251">
        <v>16.877649999999999</v>
      </c>
      <c r="P251">
        <v>16.396056999999999</v>
      </c>
      <c r="Q251">
        <v>15.7731695</v>
      </c>
      <c r="R251">
        <v>16.729932999999999</v>
      </c>
      <c r="S251">
        <v>14.491194999999999</v>
      </c>
      <c r="T251">
        <v>17.021661999999999</v>
      </c>
      <c r="U251">
        <v>17.742977</v>
      </c>
      <c r="V251">
        <v>17.706339</v>
      </c>
      <c r="W251">
        <v>17.725363000000002</v>
      </c>
      <c r="X251">
        <v>18.03558</v>
      </c>
      <c r="Y251">
        <v>16.804697000000001</v>
      </c>
      <c r="Z251">
        <v>17.710923999999999</v>
      </c>
      <c r="AA251">
        <v>18.007760999999999</v>
      </c>
      <c r="AB251">
        <v>17.083815000000001</v>
      </c>
      <c r="AC251">
        <v>15.251725</v>
      </c>
      <c r="AD251">
        <v>17.175926</v>
      </c>
      <c r="AE251">
        <v>18.089690999999998</v>
      </c>
      <c r="AF251">
        <v>17.534790000000001</v>
      </c>
      <c r="AG251">
        <v>17.456568000000001</v>
      </c>
    </row>
    <row r="252" spans="1:33" x14ac:dyDescent="0.25">
      <c r="A252" s="1">
        <v>44303</v>
      </c>
      <c r="B252">
        <v>16.00189</v>
      </c>
      <c r="C252">
        <v>16.016833999999999</v>
      </c>
      <c r="D252">
        <v>15.409592999999999</v>
      </c>
      <c r="E252">
        <v>15.575279</v>
      </c>
      <c r="F252">
        <v>15.771914499999999</v>
      </c>
      <c r="G252">
        <v>15.888756000000001</v>
      </c>
      <c r="H252">
        <v>15.691632</v>
      </c>
      <c r="I252">
        <v>15.598732999999999</v>
      </c>
      <c r="J252">
        <v>17.07687</v>
      </c>
      <c r="K252">
        <v>16.660364000000001</v>
      </c>
      <c r="L252">
        <v>17.306234</v>
      </c>
      <c r="M252">
        <v>15.945722</v>
      </c>
      <c r="N252">
        <v>16.509191999999999</v>
      </c>
      <c r="O252">
        <v>17.200248999999999</v>
      </c>
      <c r="P252">
        <v>16.590465999999999</v>
      </c>
      <c r="Q252">
        <v>15.956676</v>
      </c>
      <c r="R252">
        <v>17.011565999999998</v>
      </c>
      <c r="S252">
        <v>14.92652</v>
      </c>
      <c r="T252">
        <v>17.213327</v>
      </c>
      <c r="U252">
        <v>18.019299</v>
      </c>
      <c r="V252">
        <v>17.931025000000002</v>
      </c>
      <c r="W252">
        <v>17.930783999999999</v>
      </c>
      <c r="X252">
        <v>18.122910999999998</v>
      </c>
      <c r="Y252">
        <v>16.761244000000001</v>
      </c>
      <c r="Z252">
        <v>17.928951000000001</v>
      </c>
      <c r="AA252">
        <v>18.217587999999999</v>
      </c>
      <c r="AB252">
        <v>17.116475999999999</v>
      </c>
      <c r="AC252">
        <v>15.536139500000001</v>
      </c>
      <c r="AD252">
        <v>17.401802</v>
      </c>
      <c r="AE252">
        <v>16.961580000000001</v>
      </c>
      <c r="AF252">
        <v>17.64828</v>
      </c>
      <c r="AG252">
        <v>17.751974000000001</v>
      </c>
    </row>
    <row r="253" spans="1:33" x14ac:dyDescent="0.25">
      <c r="A253" s="1">
        <v>44304</v>
      </c>
      <c r="B253">
        <v>16.447648999999998</v>
      </c>
      <c r="C253">
        <v>16.441952000000001</v>
      </c>
      <c r="D253">
        <v>15.766209999999999</v>
      </c>
      <c r="E253">
        <v>15.873689000000001</v>
      </c>
      <c r="F253">
        <v>16.306173000000001</v>
      </c>
      <c r="G253">
        <v>16.242025000000002</v>
      </c>
      <c r="H253">
        <v>16.019793</v>
      </c>
      <c r="I253">
        <v>16.560293000000001</v>
      </c>
      <c r="J253">
        <v>17.564008999999999</v>
      </c>
      <c r="K253">
        <v>17.000444000000002</v>
      </c>
      <c r="L253">
        <v>17.652788000000001</v>
      </c>
      <c r="M253">
        <v>16.294832</v>
      </c>
      <c r="N253">
        <v>16.976310000000002</v>
      </c>
      <c r="O253">
        <v>17.619409999999998</v>
      </c>
      <c r="P253">
        <v>16.916283</v>
      </c>
      <c r="Q253">
        <v>16.380554</v>
      </c>
      <c r="R253">
        <v>17.397265999999998</v>
      </c>
      <c r="S253">
        <v>15.468921999999999</v>
      </c>
      <c r="T253">
        <v>17.580214000000002</v>
      </c>
      <c r="U253">
        <v>18.329982999999999</v>
      </c>
      <c r="V253">
        <v>18.238405</v>
      </c>
      <c r="W253">
        <v>18.178736000000001</v>
      </c>
      <c r="X253">
        <v>18.322953999999999</v>
      </c>
      <c r="Y253">
        <v>16.874030000000001</v>
      </c>
      <c r="Z253">
        <v>18.249378</v>
      </c>
      <c r="AA253">
        <v>18.488572999999999</v>
      </c>
      <c r="AB253">
        <v>17.222794</v>
      </c>
      <c r="AC253">
        <v>16.180698</v>
      </c>
      <c r="AD253">
        <v>17.743534</v>
      </c>
      <c r="AE253">
        <v>17.641995999999999</v>
      </c>
      <c r="AF253">
        <v>17.707391999999999</v>
      </c>
      <c r="AG253">
        <v>18.129743999999999</v>
      </c>
    </row>
    <row r="254" spans="1:33" x14ac:dyDescent="0.25">
      <c r="A254" s="1">
        <v>44305</v>
      </c>
      <c r="B254">
        <v>16.699117999999999</v>
      </c>
      <c r="C254">
        <v>16.750475000000002</v>
      </c>
      <c r="D254">
        <v>16.150133</v>
      </c>
      <c r="E254">
        <v>16.326525</v>
      </c>
      <c r="F254">
        <v>16.576146999999999</v>
      </c>
      <c r="G254">
        <v>16.543085000000001</v>
      </c>
      <c r="H254">
        <v>16.377502</v>
      </c>
      <c r="I254">
        <v>16.906229</v>
      </c>
      <c r="J254">
        <v>18.128979999999999</v>
      </c>
      <c r="K254">
        <v>17.421047000000002</v>
      </c>
      <c r="L254">
        <v>18.015802000000001</v>
      </c>
      <c r="M254">
        <v>16.575104</v>
      </c>
      <c r="N254">
        <v>17.210583</v>
      </c>
      <c r="O254">
        <v>17.914299</v>
      </c>
      <c r="P254">
        <v>17.310697999999999</v>
      </c>
      <c r="Q254">
        <v>16.708334000000001</v>
      </c>
      <c r="R254">
        <v>17.731068</v>
      </c>
      <c r="S254">
        <v>15.993819</v>
      </c>
      <c r="T254">
        <v>17.947409</v>
      </c>
      <c r="U254">
        <v>18.675957</v>
      </c>
      <c r="V254">
        <v>18.347339999999999</v>
      </c>
      <c r="W254">
        <v>18.46668</v>
      </c>
      <c r="X254">
        <v>18.605979999999999</v>
      </c>
      <c r="Y254">
        <v>17.337123999999999</v>
      </c>
      <c r="Z254">
        <v>18.625139999999998</v>
      </c>
      <c r="AA254">
        <v>18.870374999999999</v>
      </c>
      <c r="AB254">
        <v>17.629484000000001</v>
      </c>
      <c r="AC254">
        <v>17.103456000000001</v>
      </c>
      <c r="AD254">
        <v>18.065788000000001</v>
      </c>
      <c r="AE254">
        <v>18.066637</v>
      </c>
      <c r="AF254">
        <v>17.865058999999999</v>
      </c>
      <c r="AG254">
        <v>18.614840999999998</v>
      </c>
    </row>
    <row r="255" spans="1:33" x14ac:dyDescent="0.25">
      <c r="A255" s="1">
        <v>44306</v>
      </c>
      <c r="B255">
        <v>16.749012</v>
      </c>
      <c r="C255">
        <v>16.787185999999998</v>
      </c>
      <c r="D255">
        <v>16.330666000000001</v>
      </c>
      <c r="E255">
        <v>16.547628</v>
      </c>
      <c r="F255">
        <v>16.400006999999999</v>
      </c>
      <c r="G255">
        <v>16.660803000000001</v>
      </c>
      <c r="H255">
        <v>16.536097999999999</v>
      </c>
      <c r="I255">
        <v>16.509426000000001</v>
      </c>
      <c r="J255">
        <v>18.370287000000001</v>
      </c>
      <c r="K255">
        <v>17.685338999999999</v>
      </c>
      <c r="L255">
        <v>18.185389000000001</v>
      </c>
      <c r="M255">
        <v>16.636786000000001</v>
      </c>
      <c r="N255">
        <v>17.318083000000001</v>
      </c>
      <c r="O255">
        <v>18.076720999999999</v>
      </c>
      <c r="P255">
        <v>17.584340999999998</v>
      </c>
      <c r="Q255">
        <v>16.841742</v>
      </c>
      <c r="R255">
        <v>17.915099999999999</v>
      </c>
      <c r="S255">
        <v>16.076392999999999</v>
      </c>
      <c r="T255">
        <v>18.089663999999999</v>
      </c>
      <c r="U255">
        <v>18.799977999999999</v>
      </c>
      <c r="V255">
        <v>18.313662000000001</v>
      </c>
      <c r="W255">
        <v>18.568155000000001</v>
      </c>
      <c r="X255">
        <v>18.557120999999999</v>
      </c>
      <c r="Y255">
        <v>17.228935</v>
      </c>
      <c r="Z255">
        <v>18.841303</v>
      </c>
      <c r="AA255">
        <v>19.016984999999998</v>
      </c>
      <c r="AB255">
        <v>17.477986999999999</v>
      </c>
      <c r="AC255">
        <v>18.050432000000001</v>
      </c>
      <c r="AD255">
        <v>18.341276000000001</v>
      </c>
      <c r="AE255">
        <v>18.152010000000001</v>
      </c>
      <c r="AF255">
        <v>17.851804999999999</v>
      </c>
      <c r="AG255">
        <v>18.429789</v>
      </c>
    </row>
    <row r="256" spans="1:33" x14ac:dyDescent="0.25">
      <c r="A256" s="1">
        <v>44307</v>
      </c>
      <c r="B256">
        <v>16.952580999999999</v>
      </c>
      <c r="C256">
        <v>17.013680999999998</v>
      </c>
      <c r="D256">
        <v>16.616434000000002</v>
      </c>
      <c r="E256">
        <v>16.852846</v>
      </c>
      <c r="F256">
        <v>16.536856</v>
      </c>
      <c r="G256">
        <v>16.714448999999998</v>
      </c>
      <c r="H256">
        <v>16.745602000000002</v>
      </c>
      <c r="I256">
        <v>16.478314999999998</v>
      </c>
      <c r="J256">
        <v>18.358582999999999</v>
      </c>
      <c r="K256">
        <v>17.925463000000001</v>
      </c>
      <c r="L256">
        <v>18.424230000000001</v>
      </c>
      <c r="M256">
        <v>16.748404000000001</v>
      </c>
      <c r="N256">
        <v>17.596052</v>
      </c>
      <c r="O256">
        <v>18.330155999999999</v>
      </c>
      <c r="P256">
        <v>17.817831000000002</v>
      </c>
      <c r="Q256">
        <v>16.976165999999999</v>
      </c>
      <c r="R256">
        <v>18.209022999999998</v>
      </c>
      <c r="S256">
        <v>16.021317</v>
      </c>
      <c r="T256">
        <v>18.340166</v>
      </c>
      <c r="U256">
        <v>18.909047999999999</v>
      </c>
      <c r="V256">
        <v>18.547411</v>
      </c>
      <c r="W256">
        <v>18.74691</v>
      </c>
      <c r="X256">
        <v>18.660643</v>
      </c>
      <c r="Y256">
        <v>17.379180000000002</v>
      </c>
      <c r="Z256">
        <v>18.987494000000002</v>
      </c>
      <c r="AA256">
        <v>19.095022</v>
      </c>
      <c r="AB256">
        <v>17.513736999999999</v>
      </c>
      <c r="AC256">
        <v>18.416789999999999</v>
      </c>
      <c r="AD256">
        <v>18.566067</v>
      </c>
      <c r="AE256">
        <v>17.704816999999998</v>
      </c>
      <c r="AF256">
        <v>17.84723</v>
      </c>
      <c r="AG256">
        <v>18.449400000000001</v>
      </c>
    </row>
    <row r="257" spans="1:33" x14ac:dyDescent="0.25">
      <c r="A257" s="1">
        <v>44308</v>
      </c>
      <c r="B257">
        <v>16.967628000000001</v>
      </c>
      <c r="C257">
        <v>16.994028</v>
      </c>
      <c r="D257">
        <v>16.703585</v>
      </c>
      <c r="E257">
        <v>16.969702000000002</v>
      </c>
      <c r="F257">
        <v>16.488790000000002</v>
      </c>
      <c r="G257">
        <v>16.720048999999999</v>
      </c>
      <c r="H257">
        <v>16.759322999999998</v>
      </c>
      <c r="I257">
        <v>16.150566000000001</v>
      </c>
      <c r="J257">
        <v>18.301476999999998</v>
      </c>
      <c r="K257">
        <v>18.084463</v>
      </c>
      <c r="L257">
        <v>18.571947000000002</v>
      </c>
      <c r="M257">
        <v>16.819592</v>
      </c>
      <c r="N257">
        <v>17.676894999999998</v>
      </c>
      <c r="O257">
        <v>18.402470000000001</v>
      </c>
      <c r="P257">
        <v>18.022172999999999</v>
      </c>
      <c r="Q257">
        <v>17.034697999999999</v>
      </c>
      <c r="R257">
        <v>18.317202000000002</v>
      </c>
      <c r="S257">
        <v>15.47255</v>
      </c>
      <c r="T257">
        <v>18.361592999999999</v>
      </c>
      <c r="U257">
        <v>18.920677000000001</v>
      </c>
      <c r="V257">
        <v>18.503934999999998</v>
      </c>
      <c r="W257">
        <v>18.778568</v>
      </c>
      <c r="X257">
        <v>18.635961999999999</v>
      </c>
      <c r="Y257">
        <v>17.813765</v>
      </c>
      <c r="Z257">
        <v>19.035799999999998</v>
      </c>
      <c r="AA257">
        <v>19.251379</v>
      </c>
      <c r="AB257">
        <v>17.812322999999999</v>
      </c>
      <c r="AC257">
        <v>18.765218999999998</v>
      </c>
      <c r="AD257">
        <v>18.718167999999999</v>
      </c>
      <c r="AE257">
        <v>17.830563999999999</v>
      </c>
      <c r="AF257">
        <v>18.027918</v>
      </c>
      <c r="AG257">
        <v>18.606752</v>
      </c>
    </row>
    <row r="258" spans="1:33" x14ac:dyDescent="0.25">
      <c r="A258" s="1">
        <v>44309</v>
      </c>
      <c r="B258">
        <v>16.795663999999999</v>
      </c>
      <c r="C258">
        <v>16.863755999999999</v>
      </c>
      <c r="D258">
        <v>16.645600999999999</v>
      </c>
      <c r="E258">
        <v>16.897387999999999</v>
      </c>
      <c r="F258">
        <v>16.372765000000001</v>
      </c>
      <c r="G258">
        <v>16.686798</v>
      </c>
      <c r="H258">
        <v>16.672293</v>
      </c>
      <c r="I258">
        <v>15.472882</v>
      </c>
      <c r="J258">
        <v>18.065159999999999</v>
      </c>
      <c r="K258">
        <v>18.132352999999998</v>
      </c>
      <c r="L258">
        <v>18.622105000000001</v>
      </c>
      <c r="M258">
        <v>16.825869000000001</v>
      </c>
      <c r="N258">
        <v>17.769352000000001</v>
      </c>
      <c r="O258">
        <v>18.454332000000001</v>
      </c>
      <c r="P258">
        <v>18.084250000000001</v>
      </c>
      <c r="Q258">
        <v>17.049081999999999</v>
      </c>
      <c r="R258">
        <v>18.400179000000001</v>
      </c>
      <c r="S258">
        <v>14.682606</v>
      </c>
      <c r="T258">
        <v>18.232766999999999</v>
      </c>
      <c r="U258">
        <v>18.843665999999999</v>
      </c>
      <c r="V258">
        <v>18.471323000000002</v>
      </c>
      <c r="W258">
        <v>18.712547000000001</v>
      </c>
      <c r="X258">
        <v>18.607389999999999</v>
      </c>
      <c r="Y258">
        <v>17.945962999999999</v>
      </c>
      <c r="Z258">
        <v>18.921869999999998</v>
      </c>
      <c r="AA258">
        <v>19.323647999999999</v>
      </c>
      <c r="AB258">
        <v>17.913651999999999</v>
      </c>
      <c r="AC258">
        <v>18.938220999999999</v>
      </c>
      <c r="AD258">
        <v>18.760079999999999</v>
      </c>
      <c r="AE258">
        <v>17.711168000000001</v>
      </c>
      <c r="AF258">
        <v>18.244668999999998</v>
      </c>
      <c r="AG258">
        <v>18.480093</v>
      </c>
    </row>
    <row r="259" spans="1:33" x14ac:dyDescent="0.25">
      <c r="A259" s="1">
        <v>44310</v>
      </c>
      <c r="B259">
        <v>16.242045999999998</v>
      </c>
      <c r="C259">
        <v>16.712221</v>
      </c>
      <c r="D259">
        <v>16.372441999999999</v>
      </c>
      <c r="E259">
        <v>16.597878000000001</v>
      </c>
      <c r="F259">
        <v>16.125418</v>
      </c>
      <c r="G259">
        <v>16.499756000000001</v>
      </c>
      <c r="H259">
        <v>16.403452000000001</v>
      </c>
      <c r="I259">
        <v>14.955024</v>
      </c>
      <c r="J259">
        <v>17.550021999999998</v>
      </c>
      <c r="K259">
        <v>17.91338</v>
      </c>
      <c r="L259">
        <v>18.408366999999998</v>
      </c>
      <c r="M259">
        <v>16.643719999999998</v>
      </c>
      <c r="N259">
        <v>17.607496000000001</v>
      </c>
      <c r="O259">
        <v>18.212465000000002</v>
      </c>
      <c r="P259">
        <v>17.883800000000001</v>
      </c>
      <c r="Q259">
        <v>16.846271999999999</v>
      </c>
      <c r="R259">
        <v>18.15859</v>
      </c>
      <c r="S259">
        <v>14.309799999999999</v>
      </c>
      <c r="T259">
        <v>17.925526000000001</v>
      </c>
      <c r="U259">
        <v>18.553004999999999</v>
      </c>
      <c r="V259">
        <v>18.129107000000001</v>
      </c>
      <c r="W259">
        <v>18.340547999999998</v>
      </c>
      <c r="X259">
        <v>18.275106000000001</v>
      </c>
      <c r="Y259">
        <v>17.795559999999998</v>
      </c>
      <c r="Z259">
        <v>18.600898999999998</v>
      </c>
      <c r="AA259">
        <v>19.27233</v>
      </c>
      <c r="AB259">
        <v>17.788301000000001</v>
      </c>
      <c r="AC259">
        <v>18.211195</v>
      </c>
      <c r="AD259">
        <v>18.615957000000002</v>
      </c>
      <c r="AE259">
        <v>16.794989000000001</v>
      </c>
      <c r="AF259">
        <v>18.397210999999999</v>
      </c>
      <c r="AG259">
        <v>18.161080999999999</v>
      </c>
    </row>
    <row r="260" spans="1:33" x14ac:dyDescent="0.25">
      <c r="A260" s="1">
        <v>44311</v>
      </c>
      <c r="B260">
        <v>15.455081</v>
      </c>
      <c r="C260">
        <v>16.453040999999999</v>
      </c>
      <c r="D260">
        <v>15.894085</v>
      </c>
      <c r="E260">
        <v>15.952831</v>
      </c>
      <c r="F260">
        <v>15.7905</v>
      </c>
      <c r="G260">
        <v>16.330898000000001</v>
      </c>
      <c r="H260">
        <v>15.938162999999999</v>
      </c>
      <c r="I260">
        <v>14.409763</v>
      </c>
      <c r="J260">
        <v>16.555548000000002</v>
      </c>
      <c r="K260">
        <v>17.461582</v>
      </c>
      <c r="L260">
        <v>17.895568999999998</v>
      </c>
      <c r="M260">
        <v>16.398039000000001</v>
      </c>
      <c r="N260">
        <v>17.211382</v>
      </c>
      <c r="O260">
        <v>17.786629000000001</v>
      </c>
      <c r="P260">
        <v>17.466200000000001</v>
      </c>
      <c r="Q260">
        <v>16.619900000000001</v>
      </c>
      <c r="R260">
        <v>17.817740000000001</v>
      </c>
      <c r="S260">
        <v>13.959137</v>
      </c>
      <c r="T260">
        <v>17.412196999999999</v>
      </c>
      <c r="U260">
        <v>17.999424000000001</v>
      </c>
      <c r="V260">
        <v>17.669605000000001</v>
      </c>
      <c r="W260">
        <v>17.827220000000001</v>
      </c>
      <c r="X260">
        <v>17.814896000000001</v>
      </c>
      <c r="Y260">
        <v>17.388034999999999</v>
      </c>
      <c r="Z260">
        <v>17.891323</v>
      </c>
      <c r="AA260">
        <v>18.748895999999998</v>
      </c>
      <c r="AB260">
        <v>17.430945999999999</v>
      </c>
      <c r="AC260">
        <v>16.608732</v>
      </c>
      <c r="AD260">
        <v>18.181550999999999</v>
      </c>
      <c r="AE260">
        <v>16.397901999999998</v>
      </c>
      <c r="AF260">
        <v>18.321836000000001</v>
      </c>
      <c r="AG260">
        <v>17.537040000000001</v>
      </c>
    </row>
    <row r="261" spans="1:33" x14ac:dyDescent="0.25">
      <c r="A261" s="1">
        <v>44312</v>
      </c>
      <c r="B261">
        <v>14.858646</v>
      </c>
      <c r="C261">
        <v>16.30538</v>
      </c>
      <c r="D261">
        <v>15.298256</v>
      </c>
      <c r="E261">
        <v>15.215192</v>
      </c>
      <c r="F261">
        <v>15.574401</v>
      </c>
      <c r="G261">
        <v>15.959384999999999</v>
      </c>
      <c r="H261">
        <v>15.462142999999999</v>
      </c>
      <c r="I261">
        <v>13.993484499999999</v>
      </c>
      <c r="J261">
        <v>15.6767</v>
      </c>
      <c r="K261">
        <v>16.988796000000001</v>
      </c>
      <c r="L261">
        <v>17.382555</v>
      </c>
      <c r="M261">
        <v>16.064905</v>
      </c>
      <c r="N261">
        <v>16.790495</v>
      </c>
      <c r="O261">
        <v>17.413056999999998</v>
      </c>
      <c r="P261">
        <v>16.995348</v>
      </c>
      <c r="Q261">
        <v>16.19482</v>
      </c>
      <c r="R261">
        <v>17.445540000000001</v>
      </c>
      <c r="S261">
        <v>13.271663</v>
      </c>
      <c r="T261">
        <v>16.785416000000001</v>
      </c>
      <c r="U261">
        <v>17.480131</v>
      </c>
      <c r="V261">
        <v>17.170797</v>
      </c>
      <c r="W261">
        <v>17.295566999999998</v>
      </c>
      <c r="X261">
        <v>17.314741000000001</v>
      </c>
      <c r="Y261">
        <v>16.641043</v>
      </c>
      <c r="Z261">
        <v>17.21997</v>
      </c>
      <c r="AA261">
        <v>18.087114</v>
      </c>
      <c r="AB261">
        <v>16.783788999999999</v>
      </c>
      <c r="AC261">
        <v>16.690232999999999</v>
      </c>
      <c r="AD261">
        <v>17.687118999999999</v>
      </c>
      <c r="AE261">
        <v>16.155591999999999</v>
      </c>
      <c r="AF261">
        <v>18.103383999999998</v>
      </c>
      <c r="AG261">
        <v>16.880768</v>
      </c>
    </row>
    <row r="262" spans="1:33" x14ac:dyDescent="0.25">
      <c r="A262" s="1">
        <v>44313</v>
      </c>
      <c r="B262">
        <v>15.184697</v>
      </c>
      <c r="C262">
        <v>16.305273</v>
      </c>
      <c r="D262">
        <v>15.269643</v>
      </c>
      <c r="E262">
        <v>15.055419000000001</v>
      </c>
      <c r="F262">
        <v>15.772728000000001</v>
      </c>
      <c r="G262">
        <v>15.947941</v>
      </c>
      <c r="H262">
        <v>15.465809999999999</v>
      </c>
      <c r="I262">
        <v>14.711396000000001</v>
      </c>
      <c r="J262">
        <v>15.758853</v>
      </c>
      <c r="K262">
        <v>16.862385</v>
      </c>
      <c r="L262">
        <v>17.26005</v>
      </c>
      <c r="M262">
        <v>16.048296000000001</v>
      </c>
      <c r="N262">
        <v>16.676352000000001</v>
      </c>
      <c r="O262">
        <v>17.293665000000001</v>
      </c>
      <c r="P262">
        <v>16.859959</v>
      </c>
      <c r="Q262">
        <v>16.141945</v>
      </c>
      <c r="R262">
        <v>17.310441999999998</v>
      </c>
      <c r="S262">
        <v>13.650585</v>
      </c>
      <c r="T262">
        <v>16.593910000000001</v>
      </c>
      <c r="U262">
        <v>17.435072000000002</v>
      </c>
      <c r="V262">
        <v>17.120079</v>
      </c>
      <c r="W262">
        <v>17.007963</v>
      </c>
      <c r="X262">
        <v>17.337145</v>
      </c>
      <c r="Y262">
        <v>16.266268</v>
      </c>
      <c r="Z262">
        <v>17.031995999999999</v>
      </c>
      <c r="AA262">
        <v>17.930036999999999</v>
      </c>
      <c r="AB262">
        <v>16.49597</v>
      </c>
      <c r="AC262">
        <v>17.028683000000001</v>
      </c>
      <c r="AD262">
        <v>17.526281000000001</v>
      </c>
      <c r="AE262">
        <v>16.657496999999999</v>
      </c>
      <c r="AF262">
        <v>18.052084000000001</v>
      </c>
      <c r="AG262">
        <v>16.788488000000001</v>
      </c>
    </row>
    <row r="263" spans="1:33" x14ac:dyDescent="0.25">
      <c r="A263" s="1">
        <v>44314</v>
      </c>
      <c r="B263">
        <v>15.783794</v>
      </c>
      <c r="C263">
        <v>16.592707000000001</v>
      </c>
      <c r="D263">
        <v>15.641209999999999</v>
      </c>
      <c r="E263">
        <v>15.331821</v>
      </c>
      <c r="F263">
        <v>16.255334999999999</v>
      </c>
      <c r="G263">
        <v>16.19528</v>
      </c>
      <c r="H263">
        <v>15.770770000000001</v>
      </c>
      <c r="I263">
        <v>15.759359999999999</v>
      </c>
      <c r="J263">
        <v>16.524629999999998</v>
      </c>
      <c r="K263">
        <v>17.057013000000001</v>
      </c>
      <c r="L263">
        <v>17.49249</v>
      </c>
      <c r="M263">
        <v>16.291338</v>
      </c>
      <c r="N263">
        <v>16.811489999999999</v>
      </c>
      <c r="O263">
        <v>17.521840000000001</v>
      </c>
      <c r="P263">
        <v>17.025347</v>
      </c>
      <c r="Q263">
        <v>16.353187999999999</v>
      </c>
      <c r="R263">
        <v>17.493563000000002</v>
      </c>
      <c r="S263">
        <v>14.503681</v>
      </c>
      <c r="T263">
        <v>16.839773000000001</v>
      </c>
      <c r="U263">
        <v>17.755768</v>
      </c>
      <c r="V263">
        <v>17.385897</v>
      </c>
      <c r="W263">
        <v>17.002120000000001</v>
      </c>
      <c r="X263">
        <v>17.602409999999999</v>
      </c>
      <c r="Y263">
        <v>16.642412</v>
      </c>
      <c r="Z263">
        <v>17.345524000000001</v>
      </c>
      <c r="AA263">
        <v>18.196451</v>
      </c>
      <c r="AB263">
        <v>16.787656999999999</v>
      </c>
      <c r="AC263">
        <v>17.575620000000001</v>
      </c>
      <c r="AD263">
        <v>17.668202999999998</v>
      </c>
      <c r="AE263">
        <v>17.210477999999998</v>
      </c>
      <c r="AF263">
        <v>18.189717999999999</v>
      </c>
      <c r="AG263">
        <v>17.325575000000001</v>
      </c>
    </row>
    <row r="264" spans="1:33" x14ac:dyDescent="0.25">
      <c r="A264" s="1">
        <v>44315</v>
      </c>
      <c r="B264">
        <v>16.213736000000001</v>
      </c>
      <c r="C264">
        <v>16.890931999999999</v>
      </c>
      <c r="D264">
        <v>16.031458000000001</v>
      </c>
      <c r="E264">
        <v>15.7335615</v>
      </c>
      <c r="F264">
        <v>16.649789999999999</v>
      </c>
      <c r="G264">
        <v>16.532243999999999</v>
      </c>
      <c r="H264">
        <v>16.133955</v>
      </c>
      <c r="I264">
        <v>16.498653000000001</v>
      </c>
      <c r="J264">
        <v>17.549246</v>
      </c>
      <c r="K264">
        <v>17.435925000000001</v>
      </c>
      <c r="L264">
        <v>17.903134999999999</v>
      </c>
      <c r="M264">
        <v>16.630226</v>
      </c>
      <c r="N264">
        <v>17.059933000000001</v>
      </c>
      <c r="O264">
        <v>17.848177</v>
      </c>
      <c r="P264">
        <v>17.374822999999999</v>
      </c>
      <c r="Q264">
        <v>16.665770999999999</v>
      </c>
      <c r="R264">
        <v>17.779589999999999</v>
      </c>
      <c r="S264">
        <v>15.489746</v>
      </c>
      <c r="T264">
        <v>17.245417</v>
      </c>
      <c r="U264">
        <v>18.249825999999999</v>
      </c>
      <c r="V264">
        <v>17.653161999999998</v>
      </c>
      <c r="W264">
        <v>17.580061000000001</v>
      </c>
      <c r="X264">
        <v>17.827192</v>
      </c>
      <c r="Y264">
        <v>17.529668999999998</v>
      </c>
      <c r="Z264">
        <v>17.898066</v>
      </c>
      <c r="AA264">
        <v>18.705539999999999</v>
      </c>
      <c r="AB264">
        <v>17.543596000000001</v>
      </c>
      <c r="AC264">
        <v>18.373085</v>
      </c>
      <c r="AD264">
        <v>17.980246999999999</v>
      </c>
      <c r="AE264">
        <v>18.672338</v>
      </c>
      <c r="AF264">
        <v>18.447914000000001</v>
      </c>
      <c r="AG264">
        <v>18.085885999999999</v>
      </c>
    </row>
    <row r="265" spans="1:33" x14ac:dyDescent="0.25">
      <c r="A265" s="1">
        <v>44316</v>
      </c>
      <c r="B265">
        <v>16.426970000000001</v>
      </c>
      <c r="C265">
        <v>17.088477999999999</v>
      </c>
      <c r="D265">
        <v>16.322264000000001</v>
      </c>
      <c r="E265">
        <v>16.056380000000001</v>
      </c>
      <c r="F265">
        <v>16.861989999999999</v>
      </c>
      <c r="G265">
        <v>16.821470000000001</v>
      </c>
      <c r="H265">
        <v>16.438728000000001</v>
      </c>
      <c r="I265">
        <v>16.899270999999999</v>
      </c>
      <c r="J265">
        <v>18.365099000000001</v>
      </c>
      <c r="K265">
        <v>17.807034999999999</v>
      </c>
      <c r="L265">
        <v>18.28838</v>
      </c>
      <c r="M265">
        <v>16.909541999999998</v>
      </c>
      <c r="N265">
        <v>17.253654000000001</v>
      </c>
      <c r="O265">
        <v>18.115169999999999</v>
      </c>
      <c r="P265">
        <v>17.725836000000001</v>
      </c>
      <c r="Q265">
        <v>16.940757999999999</v>
      </c>
      <c r="R265">
        <v>18.039400000000001</v>
      </c>
      <c r="S265">
        <v>16.201886999999999</v>
      </c>
      <c r="T265">
        <v>17.591740000000001</v>
      </c>
      <c r="U265">
        <v>18.662452999999999</v>
      </c>
      <c r="V265">
        <v>17.780709999999999</v>
      </c>
      <c r="W265">
        <v>18.242972999999999</v>
      </c>
      <c r="X265">
        <v>17.924250000000001</v>
      </c>
      <c r="Y265">
        <v>18.328436</v>
      </c>
      <c r="Z265">
        <v>18.466196</v>
      </c>
      <c r="AA265">
        <v>19.240622999999999</v>
      </c>
      <c r="AB265">
        <v>18.311575000000001</v>
      </c>
      <c r="AC265">
        <v>19.132746000000001</v>
      </c>
      <c r="AD265">
        <v>18.333689</v>
      </c>
      <c r="AE265">
        <v>19.915873000000001</v>
      </c>
      <c r="AF265">
        <v>18.752407000000002</v>
      </c>
      <c r="AG265">
        <v>18.716426999999999</v>
      </c>
    </row>
    <row r="266" spans="1:33" x14ac:dyDescent="0.25">
      <c r="A266" s="1">
        <v>44317</v>
      </c>
      <c r="B266">
        <v>16.586603</v>
      </c>
      <c r="C266">
        <v>17.183634000000001</v>
      </c>
      <c r="D266">
        <v>16.495314</v>
      </c>
      <c r="E266">
        <v>16.394283000000001</v>
      </c>
      <c r="F266">
        <v>16.849495000000001</v>
      </c>
      <c r="G266">
        <v>16.937889999999999</v>
      </c>
      <c r="H266">
        <v>16.649023</v>
      </c>
      <c r="I266">
        <v>16.973362000000002</v>
      </c>
      <c r="J266">
        <v>18.590831999999999</v>
      </c>
      <c r="K266">
        <v>17.997914999999999</v>
      </c>
      <c r="L266">
        <v>18.454751999999999</v>
      </c>
      <c r="M266">
        <v>16.986319000000002</v>
      </c>
      <c r="N266">
        <v>17.353746000000001</v>
      </c>
      <c r="O266">
        <v>18.256062</v>
      </c>
      <c r="P266">
        <v>17.92708</v>
      </c>
      <c r="Q266">
        <v>17.076763</v>
      </c>
      <c r="R266">
        <v>18.230309999999999</v>
      </c>
      <c r="S266">
        <v>16.337547000000001</v>
      </c>
      <c r="T266">
        <v>17.817731999999999</v>
      </c>
      <c r="U266">
        <v>18.840890000000002</v>
      </c>
      <c r="V266">
        <v>17.909727</v>
      </c>
      <c r="W266">
        <v>18.721841999999999</v>
      </c>
      <c r="X266">
        <v>18.080880000000001</v>
      </c>
      <c r="Y266">
        <v>18.38993</v>
      </c>
      <c r="Z266">
        <v>18.790537</v>
      </c>
      <c r="AA266">
        <v>19.455584000000002</v>
      </c>
      <c r="AB266">
        <v>18.43591</v>
      </c>
      <c r="AC266">
        <v>19.063504999999999</v>
      </c>
      <c r="AD266">
        <v>18.546198</v>
      </c>
      <c r="AE266">
        <v>20.231348000000001</v>
      </c>
      <c r="AF266">
        <v>18.924327999999999</v>
      </c>
      <c r="AG266">
        <v>18.722819999999999</v>
      </c>
    </row>
    <row r="267" spans="1:33" x14ac:dyDescent="0.25">
      <c r="A267" s="1">
        <v>44318</v>
      </c>
      <c r="B267">
        <v>16.820125999999998</v>
      </c>
      <c r="C267">
        <v>17.366682000000001</v>
      </c>
      <c r="D267">
        <v>16.783048999999998</v>
      </c>
      <c r="E267">
        <v>16.687114999999999</v>
      </c>
      <c r="F267">
        <v>16.989381999999999</v>
      </c>
      <c r="G267">
        <v>17.111398999999999</v>
      </c>
      <c r="H267">
        <v>16.771393</v>
      </c>
      <c r="I267">
        <v>17.116769999999999</v>
      </c>
      <c r="J267">
        <v>18.509764000000001</v>
      </c>
      <c r="K267">
        <v>18.087053000000001</v>
      </c>
      <c r="L267">
        <v>18.538609999999998</v>
      </c>
      <c r="M267">
        <v>17.152487000000001</v>
      </c>
      <c r="N267">
        <v>17.499410000000001</v>
      </c>
      <c r="O267">
        <v>18.352995</v>
      </c>
      <c r="P267">
        <v>18.015255</v>
      </c>
      <c r="Q267">
        <v>17.234052999999999</v>
      </c>
      <c r="R267">
        <v>18.367023</v>
      </c>
      <c r="S267">
        <v>16.631005999999999</v>
      </c>
      <c r="T267">
        <v>18.046147999999999</v>
      </c>
      <c r="U267">
        <v>19.080024999999999</v>
      </c>
      <c r="V267">
        <v>18.192509999999999</v>
      </c>
      <c r="W267">
        <v>19.222747999999999</v>
      </c>
      <c r="X267">
        <v>18.416488999999999</v>
      </c>
      <c r="Y267">
        <v>18.258436</v>
      </c>
      <c r="Z267">
        <v>18.970853999999999</v>
      </c>
      <c r="AA267">
        <v>19.470300000000002</v>
      </c>
      <c r="AB267">
        <v>18.345241999999999</v>
      </c>
      <c r="AC267">
        <v>18.653320000000001</v>
      </c>
      <c r="AD267">
        <v>18.698874</v>
      </c>
      <c r="AE267">
        <v>19.703817000000001</v>
      </c>
      <c r="AF267">
        <v>19.063580999999999</v>
      </c>
      <c r="AG267">
        <v>18.698153000000001</v>
      </c>
    </row>
    <row r="268" spans="1:33" x14ac:dyDescent="0.25">
      <c r="A268" s="1">
        <v>44319</v>
      </c>
      <c r="B268">
        <v>17.383509</v>
      </c>
      <c r="C268">
        <v>17.701256000000001</v>
      </c>
      <c r="D268">
        <v>17.227879000000001</v>
      </c>
      <c r="E268">
        <v>17.176195</v>
      </c>
      <c r="F268">
        <v>17.463242999999999</v>
      </c>
      <c r="G268">
        <v>17.371213999999998</v>
      </c>
      <c r="H268">
        <v>17.117536999999999</v>
      </c>
      <c r="I268">
        <v>17.772583000000001</v>
      </c>
      <c r="J268">
        <v>18.457284999999999</v>
      </c>
      <c r="K268">
        <v>18.255274</v>
      </c>
      <c r="L268">
        <v>18.676110999999999</v>
      </c>
      <c r="M268">
        <v>17.436913000000001</v>
      </c>
      <c r="N268">
        <v>17.777028999999999</v>
      </c>
      <c r="O268">
        <v>18.528368</v>
      </c>
      <c r="P268">
        <v>18.185717</v>
      </c>
      <c r="Q268">
        <v>17.520235</v>
      </c>
      <c r="R268">
        <v>18.537603000000001</v>
      </c>
      <c r="S268">
        <v>16.8584</v>
      </c>
      <c r="T268">
        <v>18.342775</v>
      </c>
      <c r="U268">
        <v>19.112545000000001</v>
      </c>
      <c r="V268">
        <v>18.583096999999999</v>
      </c>
      <c r="W268">
        <v>19.355713000000002</v>
      </c>
      <c r="X268">
        <v>18.802175999999999</v>
      </c>
      <c r="Y268">
        <v>18.581305</v>
      </c>
      <c r="Z268">
        <v>18.956844</v>
      </c>
      <c r="AA268">
        <v>19.502797999999999</v>
      </c>
      <c r="AB268">
        <v>18.623670000000001</v>
      </c>
      <c r="AC268">
        <v>18.192056999999998</v>
      </c>
      <c r="AD268">
        <v>18.827126</v>
      </c>
      <c r="AE268">
        <v>19.664076000000001</v>
      </c>
      <c r="AF268">
        <v>19.208796</v>
      </c>
      <c r="AG268">
        <v>19.005924</v>
      </c>
    </row>
    <row r="269" spans="1:33" x14ac:dyDescent="0.25">
      <c r="A269" s="1">
        <v>44320</v>
      </c>
      <c r="B269">
        <v>18.245089</v>
      </c>
      <c r="C269">
        <v>18.171381</v>
      </c>
      <c r="D269">
        <v>17.910119999999999</v>
      </c>
      <c r="E269">
        <v>17.895247999999999</v>
      </c>
      <c r="F269">
        <v>18.029146000000001</v>
      </c>
      <c r="G269">
        <v>17.769089000000001</v>
      </c>
      <c r="H269">
        <v>17.631011999999998</v>
      </c>
      <c r="I269">
        <v>18.491695</v>
      </c>
      <c r="J269">
        <v>19.086718000000001</v>
      </c>
      <c r="K269">
        <v>18.715015000000001</v>
      </c>
      <c r="L269">
        <v>19.13796</v>
      </c>
      <c r="M269">
        <v>17.86626</v>
      </c>
      <c r="N269">
        <v>18.290392000000001</v>
      </c>
      <c r="O269">
        <v>19.010470999999999</v>
      </c>
      <c r="P269">
        <v>18.595210000000002</v>
      </c>
      <c r="Q269">
        <v>17.953796000000001</v>
      </c>
      <c r="R269">
        <v>18.992750000000001</v>
      </c>
      <c r="S269">
        <v>17.401582999999999</v>
      </c>
      <c r="T269">
        <v>18.939610999999999</v>
      </c>
      <c r="U269">
        <v>19.498809999999999</v>
      </c>
      <c r="V269">
        <v>19.260453999999999</v>
      </c>
      <c r="W269">
        <v>19.875118000000001</v>
      </c>
      <c r="X269">
        <v>19.479634999999998</v>
      </c>
      <c r="Y269">
        <v>19.235392000000001</v>
      </c>
      <c r="Z269">
        <v>19.344125999999999</v>
      </c>
      <c r="AA269">
        <v>19.898046000000001</v>
      </c>
      <c r="AB269">
        <v>19.210989000000001</v>
      </c>
      <c r="AC269">
        <v>18.3247</v>
      </c>
      <c r="AD269">
        <v>19.187628</v>
      </c>
      <c r="AE269">
        <v>20.906514999999999</v>
      </c>
      <c r="AF269">
        <v>19.556383</v>
      </c>
      <c r="AG269">
        <v>19.749175999999999</v>
      </c>
    </row>
    <row r="270" spans="1:33" x14ac:dyDescent="0.25">
      <c r="A270" s="1">
        <v>44321</v>
      </c>
      <c r="B270">
        <v>18.894189999999998</v>
      </c>
      <c r="C270">
        <v>18.617135999999999</v>
      </c>
      <c r="D270">
        <v>18.577435000000001</v>
      </c>
      <c r="E270">
        <v>18.595106000000001</v>
      </c>
      <c r="F270">
        <v>18.446878000000002</v>
      </c>
      <c r="G270">
        <v>18.142455999999999</v>
      </c>
      <c r="H270">
        <v>18.142447000000001</v>
      </c>
      <c r="I270">
        <v>18.944417999999999</v>
      </c>
      <c r="J270">
        <v>19.953555999999999</v>
      </c>
      <c r="K270">
        <v>19.236768999999999</v>
      </c>
      <c r="L270">
        <v>19.651361000000001</v>
      </c>
      <c r="M270">
        <v>18.25975</v>
      </c>
      <c r="N270">
        <v>18.772161000000001</v>
      </c>
      <c r="O270">
        <v>19.542325999999999</v>
      </c>
      <c r="P270">
        <v>19.117996000000002</v>
      </c>
      <c r="Q270">
        <v>18.366478000000001</v>
      </c>
      <c r="R270">
        <v>19.454232999999999</v>
      </c>
      <c r="S270">
        <v>18.488626</v>
      </c>
      <c r="T270">
        <v>19.618711000000001</v>
      </c>
      <c r="U270">
        <v>20.155619000000002</v>
      </c>
      <c r="V270">
        <v>19.901333000000001</v>
      </c>
      <c r="W270">
        <v>20.565182</v>
      </c>
      <c r="X270">
        <v>20.1584</v>
      </c>
      <c r="Y270">
        <v>20.010164</v>
      </c>
      <c r="Z270">
        <v>19.977884</v>
      </c>
      <c r="AA270">
        <v>20.494789999999998</v>
      </c>
      <c r="AB270">
        <v>19.970488</v>
      </c>
      <c r="AC270">
        <v>19.15644</v>
      </c>
      <c r="AD270">
        <v>19.669867</v>
      </c>
      <c r="AE270">
        <v>22.438421000000002</v>
      </c>
      <c r="AF270">
        <v>20.048490000000001</v>
      </c>
      <c r="AG270">
        <v>20.590154999999999</v>
      </c>
    </row>
    <row r="271" spans="1:33" x14ac:dyDescent="0.25">
      <c r="A271" s="1">
        <v>44322</v>
      </c>
      <c r="B271">
        <v>18.747858000000001</v>
      </c>
      <c r="C271">
        <v>18.370225999999999</v>
      </c>
      <c r="D271">
        <v>18.667169999999999</v>
      </c>
      <c r="E271">
        <v>18.660183</v>
      </c>
      <c r="F271">
        <v>18.044035000000001</v>
      </c>
      <c r="G271">
        <v>18.209157999999999</v>
      </c>
      <c r="H271">
        <v>18.151299999999999</v>
      </c>
      <c r="I271">
        <v>18.122745999999999</v>
      </c>
      <c r="J271">
        <v>19.850110000000001</v>
      </c>
      <c r="K271">
        <v>19.284817</v>
      </c>
      <c r="L271">
        <v>19.717001</v>
      </c>
      <c r="M271">
        <v>18.263656999999998</v>
      </c>
      <c r="N271">
        <v>18.776292999999999</v>
      </c>
      <c r="O271">
        <v>19.464448999999998</v>
      </c>
      <c r="P271">
        <v>19.251809999999999</v>
      </c>
      <c r="Q271">
        <v>18.428812000000001</v>
      </c>
      <c r="R271">
        <v>19.390968000000001</v>
      </c>
      <c r="S271">
        <v>18.018823999999999</v>
      </c>
      <c r="T271">
        <v>19.566998000000002</v>
      </c>
      <c r="U271">
        <v>20.239231</v>
      </c>
      <c r="V271">
        <v>19.702929000000001</v>
      </c>
      <c r="W271">
        <v>20.774498000000001</v>
      </c>
      <c r="X271">
        <v>19.991164999999999</v>
      </c>
      <c r="Y271">
        <v>20.093498</v>
      </c>
      <c r="Z271">
        <v>20.127531000000001</v>
      </c>
      <c r="AA271">
        <v>20.819723</v>
      </c>
      <c r="AB271">
        <v>20.12988</v>
      </c>
      <c r="AC271">
        <v>19.297073000000001</v>
      </c>
      <c r="AD271">
        <v>19.841452</v>
      </c>
      <c r="AE271">
        <v>22.287893</v>
      </c>
      <c r="AF271">
        <v>20.345427999999998</v>
      </c>
      <c r="AG271">
        <v>20.451715</v>
      </c>
    </row>
    <row r="272" spans="1:33" x14ac:dyDescent="0.25">
      <c r="A272" s="1">
        <v>44323</v>
      </c>
      <c r="B272">
        <v>18.38036</v>
      </c>
      <c r="C272">
        <v>18.272138999999999</v>
      </c>
      <c r="D272">
        <v>18.542287999999999</v>
      </c>
      <c r="E272">
        <v>18.569890000000001</v>
      </c>
      <c r="F272">
        <v>17.906752000000001</v>
      </c>
      <c r="G272">
        <v>18.065994</v>
      </c>
      <c r="H272">
        <v>18.055681</v>
      </c>
      <c r="I272">
        <v>17.33623</v>
      </c>
      <c r="J272">
        <v>19.127586000000001</v>
      </c>
      <c r="K272">
        <v>19.119420999999999</v>
      </c>
      <c r="L272">
        <v>19.651147999999999</v>
      </c>
      <c r="M272">
        <v>18.215868</v>
      </c>
      <c r="N272">
        <v>18.707484999999998</v>
      </c>
      <c r="O272">
        <v>19.409956000000001</v>
      </c>
      <c r="P272">
        <v>19.071729999999999</v>
      </c>
      <c r="Q272">
        <v>18.311078999999999</v>
      </c>
      <c r="R272">
        <v>19.370718</v>
      </c>
      <c r="S272">
        <v>16.900645999999998</v>
      </c>
      <c r="T272">
        <v>19.369129999999998</v>
      </c>
      <c r="U272">
        <v>20.152920000000002</v>
      </c>
      <c r="V272">
        <v>19.716519999999999</v>
      </c>
      <c r="W272">
        <v>21.184118000000002</v>
      </c>
      <c r="X272">
        <v>19.915506000000001</v>
      </c>
      <c r="Y272">
        <v>19.443770000000001</v>
      </c>
      <c r="Z272">
        <v>19.892161999999999</v>
      </c>
      <c r="AA272">
        <v>20.700796</v>
      </c>
      <c r="AB272">
        <v>19.605212999999999</v>
      </c>
      <c r="AC272">
        <v>18.887049999999999</v>
      </c>
      <c r="AD272">
        <v>19.848299999999998</v>
      </c>
      <c r="AE272">
        <v>20.969888999999998</v>
      </c>
      <c r="AF272">
        <v>20.415891999999999</v>
      </c>
      <c r="AG272">
        <v>20.086828000000001</v>
      </c>
    </row>
    <row r="273" spans="1:33" x14ac:dyDescent="0.25">
      <c r="A273" s="1">
        <v>44324</v>
      </c>
      <c r="B273">
        <v>18.777692999999999</v>
      </c>
      <c r="C273">
        <v>18.395890000000001</v>
      </c>
      <c r="D273">
        <v>18.511053</v>
      </c>
      <c r="E273">
        <v>18.699860000000001</v>
      </c>
      <c r="F273">
        <v>18.184571999999999</v>
      </c>
      <c r="G273">
        <v>18.143698000000001</v>
      </c>
      <c r="H273">
        <v>18.165545000000002</v>
      </c>
      <c r="I273">
        <v>17.462693999999999</v>
      </c>
      <c r="J273">
        <v>18.693086999999998</v>
      </c>
      <c r="K273">
        <v>18.989035000000001</v>
      </c>
      <c r="L273">
        <v>19.523375999999999</v>
      </c>
      <c r="M273">
        <v>18.309899999999999</v>
      </c>
      <c r="N273">
        <v>18.810383000000002</v>
      </c>
      <c r="O273">
        <v>19.296769999999999</v>
      </c>
      <c r="P273">
        <v>19.009934999999999</v>
      </c>
      <c r="Q273">
        <v>18.346052</v>
      </c>
      <c r="R273">
        <v>19.25178</v>
      </c>
      <c r="S273">
        <v>16.616489999999999</v>
      </c>
      <c r="T273">
        <v>19.170973</v>
      </c>
      <c r="U273">
        <v>19.892175999999999</v>
      </c>
      <c r="V273">
        <v>19.705772</v>
      </c>
      <c r="W273">
        <v>21.006101999999998</v>
      </c>
      <c r="X273">
        <v>20.014991999999999</v>
      </c>
      <c r="Y273">
        <v>19.313331999999999</v>
      </c>
      <c r="Z273">
        <v>19.550245</v>
      </c>
      <c r="AA273">
        <v>20.511403999999999</v>
      </c>
      <c r="AB273">
        <v>19.494888</v>
      </c>
      <c r="AC273">
        <v>18.804333</v>
      </c>
      <c r="AD273">
        <v>19.702480000000001</v>
      </c>
      <c r="AE273">
        <v>20.944292000000001</v>
      </c>
      <c r="AF273">
        <v>20.436575000000001</v>
      </c>
      <c r="AG273">
        <v>19.942243999999999</v>
      </c>
    </row>
    <row r="274" spans="1:33" x14ac:dyDescent="0.25">
      <c r="A274" s="1">
        <v>44325</v>
      </c>
      <c r="B274">
        <v>19.400514999999999</v>
      </c>
      <c r="C274">
        <v>18.700987000000001</v>
      </c>
      <c r="D274">
        <v>18.722332000000002</v>
      </c>
      <c r="E274">
        <v>19.000924999999999</v>
      </c>
      <c r="F274">
        <v>18.590509999999998</v>
      </c>
      <c r="G274">
        <v>18.383970000000001</v>
      </c>
      <c r="H274">
        <v>18.330960999999999</v>
      </c>
      <c r="I274">
        <v>18.023668000000001</v>
      </c>
      <c r="J274">
        <v>18.912296000000001</v>
      </c>
      <c r="K274">
        <v>19.136042</v>
      </c>
      <c r="L274">
        <v>19.615317999999998</v>
      </c>
      <c r="M274">
        <v>18.500800000000002</v>
      </c>
      <c r="N274">
        <v>18.931293</v>
      </c>
      <c r="O274">
        <v>19.435576999999999</v>
      </c>
      <c r="P274">
        <v>19.147648</v>
      </c>
      <c r="Q274">
        <v>18.493310000000001</v>
      </c>
      <c r="R274">
        <v>19.387632</v>
      </c>
      <c r="S274">
        <v>16.706192000000001</v>
      </c>
      <c r="T274">
        <v>19.285782000000001</v>
      </c>
      <c r="U274">
        <v>19.895288000000001</v>
      </c>
      <c r="V274">
        <v>19.965236999999998</v>
      </c>
      <c r="W274">
        <v>20.514589999999998</v>
      </c>
      <c r="X274">
        <v>20.374374</v>
      </c>
      <c r="Y274">
        <v>19.581037999999999</v>
      </c>
      <c r="Z274">
        <v>19.600828</v>
      </c>
      <c r="AA274">
        <v>20.598537</v>
      </c>
      <c r="AB274">
        <v>19.748186</v>
      </c>
      <c r="AC274">
        <v>19.124479999999998</v>
      </c>
      <c r="AD274">
        <v>19.734107999999999</v>
      </c>
      <c r="AE274">
        <v>20.975021000000002</v>
      </c>
      <c r="AF274">
        <v>20.548722999999999</v>
      </c>
      <c r="AG274">
        <v>20.105516000000001</v>
      </c>
    </row>
    <row r="275" spans="1:33" x14ac:dyDescent="0.25">
      <c r="A275" s="1">
        <v>44326</v>
      </c>
      <c r="B275">
        <v>19.828023999999999</v>
      </c>
      <c r="C275">
        <v>18.900358000000001</v>
      </c>
      <c r="D275">
        <v>18.980898</v>
      </c>
      <c r="E275">
        <v>19.268885000000001</v>
      </c>
      <c r="F275">
        <v>18.960743000000001</v>
      </c>
      <c r="G275">
        <v>18.683430000000001</v>
      </c>
      <c r="H275">
        <v>18.653030000000001</v>
      </c>
      <c r="I275">
        <v>18.502967999999999</v>
      </c>
      <c r="J275">
        <v>19.424935999999999</v>
      </c>
      <c r="K275">
        <v>19.348751</v>
      </c>
      <c r="L275">
        <v>19.764399000000001</v>
      </c>
      <c r="M275">
        <v>18.776247000000001</v>
      </c>
      <c r="N275">
        <v>19.085325000000001</v>
      </c>
      <c r="O275">
        <v>19.601922999999999</v>
      </c>
      <c r="P275">
        <v>19.356506</v>
      </c>
      <c r="Q275">
        <v>18.713906999999999</v>
      </c>
      <c r="R275">
        <v>19.535810000000001</v>
      </c>
      <c r="S275">
        <v>17.296934</v>
      </c>
      <c r="T275">
        <v>19.549327999999999</v>
      </c>
      <c r="U275">
        <v>20.124510000000001</v>
      </c>
      <c r="V275">
        <v>20.361848999999999</v>
      </c>
      <c r="W275">
        <v>20.359220000000001</v>
      </c>
      <c r="X275">
        <v>20.796596999999998</v>
      </c>
      <c r="Y275">
        <v>19.998657000000001</v>
      </c>
      <c r="Z275">
        <v>19.832598000000001</v>
      </c>
      <c r="AA275">
        <v>20.86402</v>
      </c>
      <c r="AB275">
        <v>20.163094999999998</v>
      </c>
      <c r="AC275">
        <v>19.487797</v>
      </c>
      <c r="AD275">
        <v>19.888248000000001</v>
      </c>
      <c r="AE275">
        <v>21.419708</v>
      </c>
      <c r="AF275">
        <v>20.73462</v>
      </c>
      <c r="AG275">
        <v>20.384837999999998</v>
      </c>
    </row>
    <row r="276" spans="1:33" x14ac:dyDescent="0.25">
      <c r="A276" s="1">
        <v>44327</v>
      </c>
      <c r="B276">
        <v>20.025266999999999</v>
      </c>
      <c r="C276">
        <v>19.207756</v>
      </c>
      <c r="D276">
        <v>19.240244000000001</v>
      </c>
      <c r="E276">
        <v>19.458760999999999</v>
      </c>
      <c r="F276">
        <v>19.283954999999999</v>
      </c>
      <c r="G276">
        <v>18.997655999999999</v>
      </c>
      <c r="H276">
        <v>18.842006999999999</v>
      </c>
      <c r="I276">
        <v>18.976835000000001</v>
      </c>
      <c r="J276">
        <v>20.030519999999999</v>
      </c>
      <c r="K276">
        <v>19.624559999999999</v>
      </c>
      <c r="L276">
        <v>20.028251999999998</v>
      </c>
      <c r="M276">
        <v>19.063610000000001</v>
      </c>
      <c r="N276">
        <v>19.314855999999999</v>
      </c>
      <c r="O276">
        <v>19.926120000000001</v>
      </c>
      <c r="P276">
        <v>19.621506</v>
      </c>
      <c r="Q276">
        <v>18.985582000000001</v>
      </c>
      <c r="R276">
        <v>19.794287000000001</v>
      </c>
      <c r="S276">
        <v>17.912286999999999</v>
      </c>
      <c r="T276">
        <v>19.915405</v>
      </c>
      <c r="U276">
        <v>20.502351999999998</v>
      </c>
      <c r="V276">
        <v>20.60998</v>
      </c>
      <c r="W276">
        <v>20.41779</v>
      </c>
      <c r="X276">
        <v>20.964949000000001</v>
      </c>
      <c r="Y276">
        <v>20.45326</v>
      </c>
      <c r="Z276">
        <v>20.211324999999999</v>
      </c>
      <c r="AA276">
        <v>21.181791</v>
      </c>
      <c r="AB276">
        <v>20.571932</v>
      </c>
      <c r="AC276">
        <v>19.932449999999999</v>
      </c>
      <c r="AD276">
        <v>20.12152</v>
      </c>
      <c r="AE276">
        <v>22.068574999999999</v>
      </c>
      <c r="AF276">
        <v>20.957830000000001</v>
      </c>
      <c r="AG276">
        <v>20.731228000000002</v>
      </c>
    </row>
    <row r="277" spans="1:33" x14ac:dyDescent="0.25">
      <c r="A277" s="1">
        <v>44328</v>
      </c>
      <c r="B277">
        <v>19.899137</v>
      </c>
      <c r="C277">
        <v>19.25976</v>
      </c>
      <c r="D277">
        <v>19.259052000000001</v>
      </c>
      <c r="E277">
        <v>19.418752999999999</v>
      </c>
      <c r="F277">
        <v>19.234169999999999</v>
      </c>
      <c r="G277">
        <v>19.202566000000001</v>
      </c>
      <c r="H277">
        <v>18.816544</v>
      </c>
      <c r="I277">
        <v>18.739301999999999</v>
      </c>
      <c r="J277">
        <v>20.561647000000001</v>
      </c>
      <c r="K277">
        <v>19.879332999999999</v>
      </c>
      <c r="L277">
        <v>20.317813999999998</v>
      </c>
      <c r="M277">
        <v>19.261011</v>
      </c>
      <c r="N277">
        <v>19.426752</v>
      </c>
      <c r="O277">
        <v>20.174395000000001</v>
      </c>
      <c r="P277">
        <v>19.858022999999999</v>
      </c>
      <c r="Q277">
        <v>19.147155999999999</v>
      </c>
      <c r="R277">
        <v>19.999216000000001</v>
      </c>
      <c r="S277">
        <v>18.539541</v>
      </c>
      <c r="T277">
        <v>20.167828</v>
      </c>
      <c r="U277">
        <v>20.972363000000001</v>
      </c>
      <c r="V277">
        <v>20.720406000000001</v>
      </c>
      <c r="W277">
        <v>20.961774999999999</v>
      </c>
      <c r="X277">
        <v>21.034306999999998</v>
      </c>
      <c r="Y277">
        <v>21.055336</v>
      </c>
      <c r="Z277">
        <v>20.720465000000001</v>
      </c>
      <c r="AA277">
        <v>21.616018</v>
      </c>
      <c r="AB277">
        <v>21.141068000000001</v>
      </c>
      <c r="AC277">
        <v>20.603434</v>
      </c>
      <c r="AD277">
        <v>20.400127000000001</v>
      </c>
      <c r="AE277">
        <v>21.472483</v>
      </c>
      <c r="AF277">
        <v>21.281310000000001</v>
      </c>
      <c r="AG277">
        <v>21.270226999999998</v>
      </c>
    </row>
    <row r="278" spans="1:33" x14ac:dyDescent="0.25">
      <c r="A278" s="1">
        <v>44329</v>
      </c>
      <c r="B278">
        <v>19.356452999999998</v>
      </c>
      <c r="C278">
        <v>19.143076000000001</v>
      </c>
      <c r="D278">
        <v>18.93732</v>
      </c>
      <c r="E278">
        <v>19.025606</v>
      </c>
      <c r="F278">
        <v>19.018156000000001</v>
      </c>
      <c r="G278">
        <v>19.194246</v>
      </c>
      <c r="H278">
        <v>18.617650000000001</v>
      </c>
      <c r="I278">
        <v>18.058979000000001</v>
      </c>
      <c r="J278">
        <v>20.627113000000001</v>
      </c>
      <c r="K278">
        <v>19.911358</v>
      </c>
      <c r="L278">
        <v>20.477136999999999</v>
      </c>
      <c r="M278">
        <v>19.226877000000002</v>
      </c>
      <c r="N278">
        <v>19.328028</v>
      </c>
      <c r="O278">
        <v>20.198328</v>
      </c>
      <c r="P278">
        <v>19.898247000000001</v>
      </c>
      <c r="Q278">
        <v>19.112846000000001</v>
      </c>
      <c r="R278">
        <v>20.052769999999999</v>
      </c>
      <c r="S278">
        <v>18.247934000000001</v>
      </c>
      <c r="T278">
        <v>19.999040000000001</v>
      </c>
      <c r="U278">
        <v>21.106024000000001</v>
      </c>
      <c r="V278">
        <v>20.529693999999999</v>
      </c>
      <c r="W278">
        <v>21.027916000000001</v>
      </c>
      <c r="X278">
        <v>20.873446999999999</v>
      </c>
      <c r="Y278">
        <v>21.38701</v>
      </c>
      <c r="Z278">
        <v>21.045563000000001</v>
      </c>
      <c r="AA278">
        <v>21.982119000000001</v>
      </c>
      <c r="AB278">
        <v>21.467206999999998</v>
      </c>
      <c r="AC278">
        <v>20.875934999999998</v>
      </c>
      <c r="AD278">
        <v>20.60134</v>
      </c>
      <c r="AE278">
        <v>19.472646999999998</v>
      </c>
      <c r="AF278">
        <v>21.586103000000001</v>
      </c>
      <c r="AG278">
        <v>21.708220000000001</v>
      </c>
    </row>
    <row r="279" spans="1:33" x14ac:dyDescent="0.25">
      <c r="A279" s="1">
        <v>44330</v>
      </c>
      <c r="B279">
        <v>19.064889999999998</v>
      </c>
      <c r="C279">
        <v>19.069296000000001</v>
      </c>
      <c r="D279">
        <v>18.553567999999999</v>
      </c>
      <c r="E279">
        <v>18.720495</v>
      </c>
      <c r="F279">
        <v>18.803014999999998</v>
      </c>
      <c r="G279">
        <v>19.094919999999998</v>
      </c>
      <c r="H279">
        <v>18.395600999999999</v>
      </c>
      <c r="I279">
        <v>17.817049000000001</v>
      </c>
      <c r="J279">
        <v>20.821033</v>
      </c>
      <c r="K279">
        <v>20.007095</v>
      </c>
      <c r="L279">
        <v>20.685155999999999</v>
      </c>
      <c r="M279">
        <v>19.166122000000001</v>
      </c>
      <c r="N279">
        <v>19.291499999999999</v>
      </c>
      <c r="O279">
        <v>20.367764999999999</v>
      </c>
      <c r="P279">
        <v>19.977861000000001</v>
      </c>
      <c r="Q279">
        <v>19.071307999999998</v>
      </c>
      <c r="R279">
        <v>20.223234000000001</v>
      </c>
      <c r="S279">
        <v>17.723054999999999</v>
      </c>
      <c r="T279">
        <v>19.872831000000001</v>
      </c>
      <c r="U279">
        <v>21.165813</v>
      </c>
      <c r="V279">
        <v>20.528974999999999</v>
      </c>
      <c r="W279">
        <v>21.186036999999999</v>
      </c>
      <c r="X279">
        <v>20.969963</v>
      </c>
      <c r="Y279">
        <v>21.339838</v>
      </c>
      <c r="Z279">
        <v>21.296006999999999</v>
      </c>
      <c r="AA279">
        <v>22.215895</v>
      </c>
      <c r="AB279">
        <v>21.479783999999999</v>
      </c>
      <c r="AC279">
        <v>20.595488</v>
      </c>
      <c r="AD279">
        <v>20.783940000000001</v>
      </c>
      <c r="AE279">
        <v>18.979181000000001</v>
      </c>
      <c r="AF279">
        <v>21.800439999999998</v>
      </c>
      <c r="AG279">
        <v>21.814039999999999</v>
      </c>
    </row>
    <row r="280" spans="1:33" x14ac:dyDescent="0.25">
      <c r="A280" s="1">
        <v>44331</v>
      </c>
      <c r="B280">
        <v>18.682507999999999</v>
      </c>
      <c r="C280">
        <v>18.935102000000001</v>
      </c>
      <c r="D280">
        <v>18.087389999999999</v>
      </c>
      <c r="E280">
        <v>18.396656</v>
      </c>
      <c r="F280">
        <v>18.45804</v>
      </c>
      <c r="G280">
        <v>18.938555000000001</v>
      </c>
      <c r="H280">
        <v>18.152739</v>
      </c>
      <c r="I280">
        <v>17.50065</v>
      </c>
      <c r="J280">
        <v>21.048265000000001</v>
      </c>
      <c r="K280">
        <v>20.198644999999999</v>
      </c>
      <c r="L280">
        <v>20.889227000000002</v>
      </c>
      <c r="M280">
        <v>19.081254999999999</v>
      </c>
      <c r="N280">
        <v>19.329273000000001</v>
      </c>
      <c r="O280">
        <v>20.607728999999999</v>
      </c>
      <c r="P280">
        <v>20.133396000000001</v>
      </c>
      <c r="Q280">
        <v>18.995000000000001</v>
      </c>
      <c r="R280">
        <v>20.449553999999999</v>
      </c>
      <c r="S280">
        <v>17.386175000000001</v>
      </c>
      <c r="T280">
        <v>19.773389999999999</v>
      </c>
      <c r="U280">
        <v>21.203081000000001</v>
      </c>
      <c r="V280">
        <v>20.549332</v>
      </c>
      <c r="W280">
        <v>21.089699</v>
      </c>
      <c r="X280">
        <v>21.065245000000001</v>
      </c>
      <c r="Y280">
        <v>20.81</v>
      </c>
      <c r="Z280">
        <v>21.49933</v>
      </c>
      <c r="AA280">
        <v>22.165962</v>
      </c>
      <c r="AB280">
        <v>20.994752999999999</v>
      </c>
      <c r="AC280">
        <v>19.582986999999999</v>
      </c>
      <c r="AD280">
        <v>20.973322</v>
      </c>
      <c r="AE280">
        <v>18.848804000000001</v>
      </c>
      <c r="AF280">
        <v>21.756119000000002</v>
      </c>
      <c r="AG280">
        <v>21.223344999999998</v>
      </c>
    </row>
    <row r="281" spans="1:33" x14ac:dyDescent="0.25">
      <c r="A281" s="1">
        <v>44332</v>
      </c>
      <c r="B281">
        <v>18.348365999999999</v>
      </c>
      <c r="C281">
        <v>19.030740000000002</v>
      </c>
      <c r="D281">
        <v>17.903711000000001</v>
      </c>
      <c r="E281">
        <v>18.174430000000001</v>
      </c>
      <c r="F281">
        <v>18.626685999999999</v>
      </c>
      <c r="G281">
        <v>18.947123999999999</v>
      </c>
      <c r="H281">
        <v>18.035913000000001</v>
      </c>
      <c r="I281">
        <v>17.607218</v>
      </c>
      <c r="J281">
        <v>21.204805</v>
      </c>
      <c r="K281">
        <v>20.310621000000001</v>
      </c>
      <c r="L281">
        <v>21.026361000000001</v>
      </c>
      <c r="M281">
        <v>19.029896000000001</v>
      </c>
      <c r="N281">
        <v>19.375574</v>
      </c>
      <c r="O281">
        <v>20.681508999999998</v>
      </c>
      <c r="P281">
        <v>20.234860999999999</v>
      </c>
      <c r="Q281">
        <v>19.045324000000001</v>
      </c>
      <c r="R281">
        <v>20.597918</v>
      </c>
      <c r="S281">
        <v>17.439164999999999</v>
      </c>
      <c r="T281">
        <v>19.779802</v>
      </c>
      <c r="U281">
        <v>21.224844000000001</v>
      </c>
      <c r="V281">
        <v>20.599177999999998</v>
      </c>
      <c r="W281">
        <v>21.089479999999998</v>
      </c>
      <c r="X281">
        <v>21.107458000000001</v>
      </c>
      <c r="Y281">
        <v>20.662002999999999</v>
      </c>
      <c r="Z281">
        <v>21.623621</v>
      </c>
      <c r="AA281">
        <v>22.37227</v>
      </c>
      <c r="AB281">
        <v>20.867802000000001</v>
      </c>
      <c r="AC281">
        <v>19.246493999999998</v>
      </c>
      <c r="AD281">
        <v>21.152014000000001</v>
      </c>
      <c r="AE281">
        <v>19.377790000000001</v>
      </c>
      <c r="AF281">
        <v>21.899515000000001</v>
      </c>
      <c r="AG281">
        <v>21.448034</v>
      </c>
    </row>
    <row r="282" spans="1:33" x14ac:dyDescent="0.25">
      <c r="A282" s="1">
        <v>44333</v>
      </c>
      <c r="B282">
        <v>18.069233000000001</v>
      </c>
      <c r="C282">
        <v>18.910928999999999</v>
      </c>
      <c r="D282">
        <v>17.696387999999999</v>
      </c>
      <c r="E282">
        <v>17.916029000000002</v>
      </c>
      <c r="F282">
        <v>18.457773</v>
      </c>
      <c r="G282">
        <v>18.861076000000001</v>
      </c>
      <c r="H282">
        <v>17.835329999999999</v>
      </c>
      <c r="I282">
        <v>17.222007999999999</v>
      </c>
      <c r="J282">
        <v>20.819893</v>
      </c>
      <c r="K282">
        <v>20.157734000000001</v>
      </c>
      <c r="L282">
        <v>20.890356000000001</v>
      </c>
      <c r="M282">
        <v>18.914583</v>
      </c>
      <c r="N282">
        <v>19.230701</v>
      </c>
      <c r="O282">
        <v>20.513197000000002</v>
      </c>
      <c r="P282">
        <v>20.091992999999999</v>
      </c>
      <c r="Q282">
        <v>18.944953999999999</v>
      </c>
      <c r="R282">
        <v>20.514996</v>
      </c>
      <c r="S282">
        <v>17.056007000000001</v>
      </c>
      <c r="T282">
        <v>19.603940999999999</v>
      </c>
      <c r="U282">
        <v>20.929497000000001</v>
      </c>
      <c r="V282">
        <v>20.305042</v>
      </c>
      <c r="W282">
        <v>20.845030000000001</v>
      </c>
      <c r="X282">
        <v>20.740376999999999</v>
      </c>
      <c r="Y282">
        <v>20.530439999999999</v>
      </c>
      <c r="Z282">
        <v>21.415277</v>
      </c>
      <c r="AA282">
        <v>22.505323000000001</v>
      </c>
      <c r="AB282">
        <v>20.777206</v>
      </c>
      <c r="AC282">
        <v>19.241105999999998</v>
      </c>
      <c r="AD282">
        <v>21.160565999999999</v>
      </c>
      <c r="AE282">
        <v>19.377918000000001</v>
      </c>
      <c r="AF282">
        <v>22.030439999999999</v>
      </c>
      <c r="AG282">
        <v>21.528528000000001</v>
      </c>
    </row>
    <row r="283" spans="1:33" x14ac:dyDescent="0.25">
      <c r="A283" s="1">
        <v>44334</v>
      </c>
      <c r="B283">
        <v>17.997392999999999</v>
      </c>
      <c r="C283">
        <v>18.792967000000001</v>
      </c>
      <c r="D283">
        <v>17.679527</v>
      </c>
      <c r="E283">
        <v>17.851461</v>
      </c>
      <c r="F283">
        <v>18.182901000000001</v>
      </c>
      <c r="G283">
        <v>18.770572999999999</v>
      </c>
      <c r="H283">
        <v>17.707771000000001</v>
      </c>
      <c r="I283">
        <v>17.114576</v>
      </c>
      <c r="J283">
        <v>20.431899999999999</v>
      </c>
      <c r="K283">
        <v>20.020700000000001</v>
      </c>
      <c r="L283">
        <v>20.751615999999999</v>
      </c>
      <c r="M283">
        <v>18.804789</v>
      </c>
      <c r="N283">
        <v>19.149218000000001</v>
      </c>
      <c r="O283">
        <v>20.495756</v>
      </c>
      <c r="P283">
        <v>19.939924000000001</v>
      </c>
      <c r="Q283">
        <v>18.851744</v>
      </c>
      <c r="R283">
        <v>20.480135000000001</v>
      </c>
      <c r="S283">
        <v>17.014849999999999</v>
      </c>
      <c r="T283">
        <v>19.571024000000001</v>
      </c>
      <c r="U283">
        <v>20.857271000000001</v>
      </c>
      <c r="V283">
        <v>20.390201999999999</v>
      </c>
      <c r="W283">
        <v>21.058389999999999</v>
      </c>
      <c r="X283">
        <v>20.657629</v>
      </c>
      <c r="Y283">
        <v>19.819535999999999</v>
      </c>
      <c r="Z283">
        <v>21.191731999999998</v>
      </c>
      <c r="AA283">
        <v>22.295973</v>
      </c>
      <c r="AB283">
        <v>20.094125999999999</v>
      </c>
      <c r="AC283">
        <v>18.996151000000001</v>
      </c>
      <c r="AD283">
        <v>21.103335999999999</v>
      </c>
      <c r="AE283">
        <v>19.542954999999999</v>
      </c>
      <c r="AF283">
        <v>21.997007</v>
      </c>
      <c r="AG283">
        <v>20.918520000000001</v>
      </c>
    </row>
    <row r="284" spans="1:33" x14ac:dyDescent="0.25">
      <c r="A284" s="1">
        <v>44335</v>
      </c>
      <c r="B284">
        <v>17.34056</v>
      </c>
      <c r="C284">
        <v>18.406106999999999</v>
      </c>
      <c r="D284">
        <v>17.510594999999999</v>
      </c>
      <c r="E284">
        <v>17.571950000000001</v>
      </c>
      <c r="F284">
        <v>17.532336999999998</v>
      </c>
      <c r="G284">
        <v>18.398589999999999</v>
      </c>
      <c r="H284">
        <v>17.424002000000002</v>
      </c>
      <c r="I284">
        <v>16.396447999999999</v>
      </c>
      <c r="J284">
        <v>19.059892999999999</v>
      </c>
      <c r="K284">
        <v>19.518229000000002</v>
      </c>
      <c r="L284">
        <v>20.203137999999999</v>
      </c>
      <c r="M284">
        <v>18.396356999999998</v>
      </c>
      <c r="N284">
        <v>18.795238000000001</v>
      </c>
      <c r="O284">
        <v>20.068360999999999</v>
      </c>
      <c r="P284">
        <v>19.46594</v>
      </c>
      <c r="Q284">
        <v>18.498273999999999</v>
      </c>
      <c r="R284">
        <v>20.101557</v>
      </c>
      <c r="S284">
        <v>16.237331000000001</v>
      </c>
      <c r="T284">
        <v>19.256964</v>
      </c>
      <c r="U284">
        <v>20.536557999999999</v>
      </c>
      <c r="V284">
        <v>19.904245</v>
      </c>
      <c r="W284">
        <v>21.00854</v>
      </c>
      <c r="X284">
        <v>20.27345</v>
      </c>
      <c r="Y284">
        <v>19.097055000000001</v>
      </c>
      <c r="Z284">
        <v>20.567685999999998</v>
      </c>
      <c r="AA284">
        <v>21.571833000000002</v>
      </c>
      <c r="AB284">
        <v>19.412414999999999</v>
      </c>
      <c r="AC284">
        <v>18.086410000000001</v>
      </c>
      <c r="AD284">
        <v>20.73443</v>
      </c>
      <c r="AE284">
        <v>19.027643000000001</v>
      </c>
      <c r="AF284">
        <v>21.591139999999999</v>
      </c>
      <c r="AG284">
        <v>20.069952000000001</v>
      </c>
    </row>
    <row r="285" spans="1:33" x14ac:dyDescent="0.25">
      <c r="A285" s="1">
        <v>44336</v>
      </c>
      <c r="B285">
        <v>16.490582</v>
      </c>
      <c r="C285">
        <v>18.07375</v>
      </c>
      <c r="D285">
        <v>17.334102999999999</v>
      </c>
      <c r="E285">
        <v>17.011731999999999</v>
      </c>
      <c r="F285">
        <v>17.234210000000001</v>
      </c>
      <c r="G285">
        <v>18.041052000000001</v>
      </c>
      <c r="H285">
        <v>17.021063000000002</v>
      </c>
      <c r="I285">
        <v>15.810451499999999</v>
      </c>
      <c r="J285">
        <v>17.484694999999999</v>
      </c>
      <c r="K285">
        <v>18.944326</v>
      </c>
      <c r="L285">
        <v>19.432639999999999</v>
      </c>
      <c r="M285">
        <v>18.031853000000002</v>
      </c>
      <c r="N285">
        <v>18.465157999999999</v>
      </c>
      <c r="O285">
        <v>19.539971999999999</v>
      </c>
      <c r="P285">
        <v>18.966702000000002</v>
      </c>
      <c r="Q285">
        <v>18.123971999999998</v>
      </c>
      <c r="R285">
        <v>19.649764999999999</v>
      </c>
      <c r="S285">
        <v>15.509999000000001</v>
      </c>
      <c r="T285">
        <v>18.949902999999999</v>
      </c>
      <c r="U285">
        <v>19.941275000000001</v>
      </c>
      <c r="V285">
        <v>19.83859</v>
      </c>
      <c r="W285">
        <v>20.627241000000001</v>
      </c>
      <c r="X285">
        <v>20.159271</v>
      </c>
      <c r="Y285">
        <v>18.005693000000001</v>
      </c>
      <c r="Z285">
        <v>19.482389999999999</v>
      </c>
      <c r="AA285">
        <v>20.730532</v>
      </c>
      <c r="AB285">
        <v>18.392310999999999</v>
      </c>
      <c r="AC285">
        <v>16.835417</v>
      </c>
      <c r="AD285">
        <v>20.206219999999998</v>
      </c>
      <c r="AE285">
        <v>18.195519999999998</v>
      </c>
      <c r="AF285">
        <v>20.96763</v>
      </c>
      <c r="AG285">
        <v>19.191679000000001</v>
      </c>
    </row>
    <row r="286" spans="1:33" x14ac:dyDescent="0.25">
      <c r="A286" s="1">
        <v>44337</v>
      </c>
      <c r="B286">
        <v>16.670059999999999</v>
      </c>
      <c r="C286">
        <v>17.946278</v>
      </c>
      <c r="D286">
        <v>17.290051999999999</v>
      </c>
      <c r="E286">
        <v>17.001707</v>
      </c>
      <c r="F286">
        <v>17.488173</v>
      </c>
      <c r="G286">
        <v>17.774104999999999</v>
      </c>
      <c r="H286">
        <v>16.954415999999998</v>
      </c>
      <c r="I286">
        <v>16.120255</v>
      </c>
      <c r="J286">
        <v>16.773382000000002</v>
      </c>
      <c r="K286">
        <v>18.749853000000002</v>
      </c>
      <c r="L286">
        <v>19.310905000000002</v>
      </c>
      <c r="M286">
        <v>17.843298000000001</v>
      </c>
      <c r="N286">
        <v>18.44041</v>
      </c>
      <c r="O286">
        <v>19.338111999999999</v>
      </c>
      <c r="P286">
        <v>18.711203000000001</v>
      </c>
      <c r="Q286">
        <v>17.992360999999999</v>
      </c>
      <c r="R286">
        <v>19.419129999999999</v>
      </c>
      <c r="S286">
        <v>14.8698435</v>
      </c>
      <c r="T286">
        <v>18.786363999999999</v>
      </c>
      <c r="U286">
        <v>19.379057</v>
      </c>
      <c r="V286">
        <v>19.714230000000001</v>
      </c>
      <c r="W286">
        <v>20.002316</v>
      </c>
      <c r="X286">
        <v>19.996649000000001</v>
      </c>
      <c r="Y286">
        <v>17.609176999999999</v>
      </c>
      <c r="Z286">
        <v>18.897238000000002</v>
      </c>
      <c r="AA286">
        <v>20.08709</v>
      </c>
      <c r="AB286">
        <v>18.017859000000001</v>
      </c>
      <c r="AC286">
        <v>16.230260000000001</v>
      </c>
      <c r="AD286">
        <v>19.755838000000001</v>
      </c>
      <c r="AE286">
        <v>17.999191</v>
      </c>
      <c r="AF286">
        <v>20.486875999999999</v>
      </c>
      <c r="AG286">
        <v>18.852723999999998</v>
      </c>
    </row>
    <row r="287" spans="1:33" x14ac:dyDescent="0.25">
      <c r="A287" s="1">
        <v>44338</v>
      </c>
      <c r="B287">
        <v>17.063742000000001</v>
      </c>
      <c r="C287">
        <v>18.034952000000001</v>
      </c>
      <c r="D287">
        <v>17.432459000000001</v>
      </c>
      <c r="E287">
        <v>17.205556999999999</v>
      </c>
      <c r="F287">
        <v>17.624369000000002</v>
      </c>
      <c r="G287">
        <v>17.690172</v>
      </c>
      <c r="H287">
        <v>17.115932000000001</v>
      </c>
      <c r="I287">
        <v>16.673110999999999</v>
      </c>
      <c r="J287">
        <v>17.142907999999998</v>
      </c>
      <c r="K287">
        <v>18.826644999999999</v>
      </c>
      <c r="L287">
        <v>19.444144999999999</v>
      </c>
      <c r="M287">
        <v>17.818757999999999</v>
      </c>
      <c r="N287">
        <v>18.573575999999999</v>
      </c>
      <c r="O287">
        <v>19.503661999999998</v>
      </c>
      <c r="P287">
        <v>18.731999999999999</v>
      </c>
      <c r="Q287">
        <v>17.976215</v>
      </c>
      <c r="R287">
        <v>19.545206</v>
      </c>
      <c r="S287">
        <v>15.148667</v>
      </c>
      <c r="T287">
        <v>18.998128999999999</v>
      </c>
      <c r="U287">
        <v>19.443455</v>
      </c>
      <c r="V287">
        <v>19.772860000000001</v>
      </c>
      <c r="W287">
        <v>19.838179</v>
      </c>
      <c r="X287">
        <v>19.99832</v>
      </c>
      <c r="Y287">
        <v>17.751906999999999</v>
      </c>
      <c r="Z287">
        <v>18.916615</v>
      </c>
      <c r="AA287">
        <v>19.943366999999999</v>
      </c>
      <c r="AB287">
        <v>18.176815000000001</v>
      </c>
      <c r="AC287">
        <v>16.315470000000001</v>
      </c>
      <c r="AD287">
        <v>19.679971999999999</v>
      </c>
      <c r="AE287">
        <v>18.617854999999999</v>
      </c>
      <c r="AF287">
        <v>20.334689999999998</v>
      </c>
      <c r="AG287">
        <v>18.998999000000001</v>
      </c>
    </row>
    <row r="288" spans="1:33" x14ac:dyDescent="0.25">
      <c r="A288" s="1">
        <v>44339</v>
      </c>
      <c r="B288">
        <v>17.398641999999999</v>
      </c>
      <c r="C288">
        <v>18.083227000000001</v>
      </c>
      <c r="D288">
        <v>17.507574000000002</v>
      </c>
      <c r="E288">
        <v>17.314768000000001</v>
      </c>
      <c r="F288">
        <v>17.586349999999999</v>
      </c>
      <c r="G288">
        <v>17.656027000000002</v>
      </c>
      <c r="H288">
        <v>17.15081</v>
      </c>
      <c r="I288">
        <v>16.632594999999998</v>
      </c>
      <c r="J288">
        <v>17.841360000000002</v>
      </c>
      <c r="K288">
        <v>18.94145</v>
      </c>
      <c r="L288">
        <v>19.501280000000001</v>
      </c>
      <c r="M288">
        <v>17.818370000000002</v>
      </c>
      <c r="N288">
        <v>18.68571</v>
      </c>
      <c r="O288">
        <v>19.620663</v>
      </c>
      <c r="P288">
        <v>18.862072000000001</v>
      </c>
      <c r="Q288">
        <v>17.987611999999999</v>
      </c>
      <c r="R288">
        <v>19.574860000000001</v>
      </c>
      <c r="S288">
        <v>15.529121</v>
      </c>
      <c r="T288">
        <v>19.113088999999999</v>
      </c>
      <c r="U288">
        <v>19.5838</v>
      </c>
      <c r="V288">
        <v>19.728413</v>
      </c>
      <c r="W288">
        <v>19.851444000000001</v>
      </c>
      <c r="X288">
        <v>19.934664000000001</v>
      </c>
      <c r="Y288">
        <v>18.092089000000001</v>
      </c>
      <c r="Z288">
        <v>19.122489999999999</v>
      </c>
      <c r="AA288">
        <v>19.997489999999999</v>
      </c>
      <c r="AB288">
        <v>18.505130000000001</v>
      </c>
      <c r="AC288">
        <v>16.549990000000001</v>
      </c>
      <c r="AD288">
        <v>19.733460000000001</v>
      </c>
      <c r="AE288">
        <v>19.244173</v>
      </c>
      <c r="AF288">
        <v>20.314045</v>
      </c>
      <c r="AG288">
        <v>19.280104000000001</v>
      </c>
    </row>
    <row r="289" spans="1:33" x14ac:dyDescent="0.25">
      <c r="A289" s="1">
        <v>44340</v>
      </c>
      <c r="B289">
        <v>18.037775</v>
      </c>
      <c r="C289">
        <v>18.352526000000001</v>
      </c>
      <c r="D289">
        <v>17.77901</v>
      </c>
      <c r="E289">
        <v>17.55133</v>
      </c>
      <c r="F289">
        <v>17.915334999999999</v>
      </c>
      <c r="G289">
        <v>17.83783</v>
      </c>
      <c r="H289">
        <v>17.291482999999999</v>
      </c>
      <c r="I289">
        <v>17.117564999999999</v>
      </c>
      <c r="J289">
        <v>18.846879999999999</v>
      </c>
      <c r="K289">
        <v>19.144311999999999</v>
      </c>
      <c r="L289">
        <v>19.736795000000001</v>
      </c>
      <c r="M289">
        <v>18.020254000000001</v>
      </c>
      <c r="N289">
        <v>18.834593000000002</v>
      </c>
      <c r="O289">
        <v>19.847467000000002</v>
      </c>
      <c r="P289">
        <v>19.091835</v>
      </c>
      <c r="Q289">
        <v>18.117943</v>
      </c>
      <c r="R289">
        <v>19.722635</v>
      </c>
      <c r="S289">
        <v>16.623009</v>
      </c>
      <c r="T289">
        <v>19.353117000000001</v>
      </c>
      <c r="U289">
        <v>20.060483999999999</v>
      </c>
      <c r="V289">
        <v>19.940912000000001</v>
      </c>
      <c r="W289">
        <v>20.030771000000001</v>
      </c>
      <c r="X289">
        <v>20.11985</v>
      </c>
      <c r="Y289">
        <v>18.548359999999999</v>
      </c>
      <c r="Z289">
        <v>19.653334000000001</v>
      </c>
      <c r="AA289">
        <v>20.425236000000002</v>
      </c>
      <c r="AB289">
        <v>18.903732000000002</v>
      </c>
      <c r="AC289">
        <v>17.0745</v>
      </c>
      <c r="AD289">
        <v>19.949090000000002</v>
      </c>
      <c r="AE289">
        <v>20.181114000000001</v>
      </c>
      <c r="AF289">
        <v>20.487967999999999</v>
      </c>
      <c r="AG289">
        <v>19.807905000000002</v>
      </c>
    </row>
    <row r="290" spans="1:33" x14ac:dyDescent="0.25">
      <c r="A290" s="1">
        <v>44341</v>
      </c>
      <c r="B290">
        <v>18.337060000000001</v>
      </c>
      <c r="C290">
        <v>18.486730000000001</v>
      </c>
      <c r="D290">
        <v>18.108149000000001</v>
      </c>
      <c r="E290">
        <v>17.789745</v>
      </c>
      <c r="F290">
        <v>18.150227000000001</v>
      </c>
      <c r="G290">
        <v>18.061705</v>
      </c>
      <c r="H290">
        <v>17.462752999999999</v>
      </c>
      <c r="I290">
        <v>17.585692999999999</v>
      </c>
      <c r="J290">
        <v>19.271708</v>
      </c>
      <c r="K290">
        <v>19.256799999999998</v>
      </c>
      <c r="L290">
        <v>19.861336000000001</v>
      </c>
      <c r="M290">
        <v>18.222352999999998</v>
      </c>
      <c r="N290">
        <v>18.911179000000001</v>
      </c>
      <c r="O290">
        <v>19.85079</v>
      </c>
      <c r="P290">
        <v>19.213936</v>
      </c>
      <c r="Q290">
        <v>18.26341</v>
      </c>
      <c r="R290">
        <v>19.721672000000002</v>
      </c>
      <c r="S290">
        <v>17.641587999999999</v>
      </c>
      <c r="T290">
        <v>19.496625999999999</v>
      </c>
      <c r="U290">
        <v>20.463930000000001</v>
      </c>
      <c r="V290">
        <v>20.091329999999999</v>
      </c>
      <c r="W290">
        <v>20.006347999999999</v>
      </c>
      <c r="X290">
        <v>20.307303999999998</v>
      </c>
      <c r="Y290">
        <v>19.015464999999999</v>
      </c>
      <c r="Z290">
        <v>20.086779</v>
      </c>
      <c r="AA290">
        <v>20.779074000000001</v>
      </c>
      <c r="AB290">
        <v>19.316248000000002</v>
      </c>
      <c r="AC290">
        <v>17.699656000000001</v>
      </c>
      <c r="AD290">
        <v>20.069154999999999</v>
      </c>
      <c r="AE290">
        <v>20.769835</v>
      </c>
      <c r="AF290">
        <v>20.627521999999999</v>
      </c>
      <c r="AG290">
        <v>20.044912</v>
      </c>
    </row>
    <row r="291" spans="1:33" x14ac:dyDescent="0.25">
      <c r="A291" s="1">
        <v>44342</v>
      </c>
      <c r="B291">
        <v>18.469111999999999</v>
      </c>
      <c r="C291">
        <v>18.649324</v>
      </c>
      <c r="D291">
        <v>18.262508</v>
      </c>
      <c r="E291">
        <v>17.910854</v>
      </c>
      <c r="F291">
        <v>18.342843999999999</v>
      </c>
      <c r="G291">
        <v>18.306574000000001</v>
      </c>
      <c r="H291">
        <v>17.649027</v>
      </c>
      <c r="I291">
        <v>18.078754</v>
      </c>
      <c r="J291">
        <v>19.838228000000001</v>
      </c>
      <c r="K291">
        <v>19.490162000000002</v>
      </c>
      <c r="L291">
        <v>20.134874</v>
      </c>
      <c r="M291">
        <v>18.445974</v>
      </c>
      <c r="N291">
        <v>19.101330000000001</v>
      </c>
      <c r="O291">
        <v>20.077332999999999</v>
      </c>
      <c r="P291">
        <v>19.430399000000001</v>
      </c>
      <c r="Q291">
        <v>18.465019999999999</v>
      </c>
      <c r="R291">
        <v>19.926663999999999</v>
      </c>
      <c r="S291">
        <v>18.14939</v>
      </c>
      <c r="T291">
        <v>19.724117</v>
      </c>
      <c r="U291">
        <v>20.869211</v>
      </c>
      <c r="V291">
        <v>20.273306000000002</v>
      </c>
      <c r="W291">
        <v>20.477588999999998</v>
      </c>
      <c r="X291">
        <v>20.487276000000001</v>
      </c>
      <c r="Y291">
        <v>19.342929999999999</v>
      </c>
      <c r="Z291">
        <v>20.530766</v>
      </c>
      <c r="AA291">
        <v>21.072900000000001</v>
      </c>
      <c r="AB291">
        <v>19.647997</v>
      </c>
      <c r="AC291">
        <v>18.257645</v>
      </c>
      <c r="AD291">
        <v>20.277327</v>
      </c>
      <c r="AE291">
        <v>21.344377999999999</v>
      </c>
      <c r="AF291">
        <v>20.779720000000001</v>
      </c>
      <c r="AG291">
        <v>20.310728000000001</v>
      </c>
    </row>
    <row r="292" spans="1:33" x14ac:dyDescent="0.25">
      <c r="A292" s="1">
        <v>44343</v>
      </c>
      <c r="B292">
        <v>18.284120000000001</v>
      </c>
      <c r="C292">
        <v>18.626621</v>
      </c>
      <c r="D292">
        <v>18.120259999999998</v>
      </c>
      <c r="E292">
        <v>17.806587</v>
      </c>
      <c r="F292">
        <v>18.266953000000001</v>
      </c>
      <c r="G292">
        <v>18.395647</v>
      </c>
      <c r="H292">
        <v>17.671661</v>
      </c>
      <c r="I292">
        <v>18.034952000000001</v>
      </c>
      <c r="J292">
        <v>20.266624</v>
      </c>
      <c r="K292">
        <v>19.706883999999999</v>
      </c>
      <c r="L292">
        <v>20.337713000000001</v>
      </c>
      <c r="M292">
        <v>18.522608000000002</v>
      </c>
      <c r="N292">
        <v>19.125626</v>
      </c>
      <c r="O292">
        <v>20.144966</v>
      </c>
      <c r="P292">
        <v>19.637364999999999</v>
      </c>
      <c r="Q292">
        <v>18.550194000000001</v>
      </c>
      <c r="R292">
        <v>20.010007999999999</v>
      </c>
      <c r="S292">
        <v>18.120152999999998</v>
      </c>
      <c r="T292">
        <v>19.782762999999999</v>
      </c>
      <c r="U292">
        <v>21.089462000000001</v>
      </c>
      <c r="V292">
        <v>20.23311</v>
      </c>
      <c r="W292">
        <v>20.981162999999999</v>
      </c>
      <c r="X292">
        <v>20.478505999999999</v>
      </c>
      <c r="Y292">
        <v>19.682590000000001</v>
      </c>
      <c r="Z292">
        <v>20.811074999999999</v>
      </c>
      <c r="AA292">
        <v>21.310227999999999</v>
      </c>
      <c r="AB292">
        <v>19.922830000000001</v>
      </c>
      <c r="AC292">
        <v>18.643039999999999</v>
      </c>
      <c r="AD292">
        <v>20.432790000000001</v>
      </c>
      <c r="AE292">
        <v>21.278525999999999</v>
      </c>
      <c r="AF292">
        <v>20.913215999999998</v>
      </c>
      <c r="AG292">
        <v>20.339459999999999</v>
      </c>
    </row>
    <row r="293" spans="1:33" x14ac:dyDescent="0.25">
      <c r="A293" s="1">
        <v>44344</v>
      </c>
      <c r="B293">
        <v>18.617231</v>
      </c>
      <c r="C293">
        <v>18.898347999999999</v>
      </c>
      <c r="D293">
        <v>18.276747</v>
      </c>
      <c r="E293">
        <v>18.104586000000001</v>
      </c>
      <c r="F293">
        <v>18.615713</v>
      </c>
      <c r="G293">
        <v>18.604189000000002</v>
      </c>
      <c r="H293">
        <v>17.946736999999999</v>
      </c>
      <c r="I293">
        <v>18.574148000000001</v>
      </c>
      <c r="J293">
        <v>20.885145000000001</v>
      </c>
      <c r="K293">
        <v>20.008870999999999</v>
      </c>
      <c r="L293">
        <v>20.651530000000001</v>
      </c>
      <c r="M293">
        <v>18.753499999999999</v>
      </c>
      <c r="N293">
        <v>19.307158000000001</v>
      </c>
      <c r="O293">
        <v>20.406984000000001</v>
      </c>
      <c r="P293">
        <v>19.9131</v>
      </c>
      <c r="Q293">
        <v>18.778469999999999</v>
      </c>
      <c r="R293">
        <v>20.281952</v>
      </c>
      <c r="S293">
        <v>18.640599999999999</v>
      </c>
      <c r="T293">
        <v>20.013432999999999</v>
      </c>
      <c r="U293">
        <v>21.500478999999999</v>
      </c>
      <c r="V293">
        <v>20.565807</v>
      </c>
      <c r="W293">
        <v>21.53238</v>
      </c>
      <c r="X293">
        <v>20.905828</v>
      </c>
      <c r="Y293">
        <v>20.012385999999999</v>
      </c>
      <c r="Z293">
        <v>21.21386</v>
      </c>
      <c r="AA293">
        <v>21.703313999999999</v>
      </c>
      <c r="AB293">
        <v>20.214445000000001</v>
      </c>
      <c r="AC293">
        <v>19.231114999999999</v>
      </c>
      <c r="AD293">
        <v>20.711897</v>
      </c>
      <c r="AE293">
        <v>21.992522999999998</v>
      </c>
      <c r="AF293">
        <v>21.151741000000001</v>
      </c>
      <c r="AG293">
        <v>20.759321</v>
      </c>
    </row>
    <row r="294" spans="1:33" x14ac:dyDescent="0.25">
      <c r="A294" s="1">
        <v>44345</v>
      </c>
      <c r="B294">
        <v>18.619589000000001</v>
      </c>
      <c r="C294">
        <v>19.016484999999999</v>
      </c>
      <c r="D294">
        <v>18.292168</v>
      </c>
      <c r="E294">
        <v>18.268098999999999</v>
      </c>
      <c r="F294">
        <v>18.631720000000001</v>
      </c>
      <c r="G294">
        <v>18.797270000000001</v>
      </c>
      <c r="H294">
        <v>18.058807000000002</v>
      </c>
      <c r="I294">
        <v>18.662659999999999</v>
      </c>
      <c r="J294">
        <v>21.458822000000001</v>
      </c>
      <c r="K294">
        <v>20.354514999999999</v>
      </c>
      <c r="L294">
        <v>20.983515000000001</v>
      </c>
      <c r="M294">
        <v>18.924195999999998</v>
      </c>
      <c r="N294">
        <v>19.471518</v>
      </c>
      <c r="O294">
        <v>20.677316999999999</v>
      </c>
      <c r="P294">
        <v>20.252507999999999</v>
      </c>
      <c r="Q294">
        <v>18.982869999999998</v>
      </c>
      <c r="R294">
        <v>20.560500000000001</v>
      </c>
      <c r="S294">
        <v>18.728846000000001</v>
      </c>
      <c r="T294">
        <v>20.228390000000001</v>
      </c>
      <c r="U294">
        <v>21.73272</v>
      </c>
      <c r="V294">
        <v>20.81954</v>
      </c>
      <c r="W294">
        <v>21.816808999999999</v>
      </c>
      <c r="X294">
        <v>21.266943000000001</v>
      </c>
      <c r="Y294">
        <v>20.119371000000001</v>
      </c>
      <c r="Z294">
        <v>21.592397999999999</v>
      </c>
      <c r="AA294">
        <v>22.099799999999998</v>
      </c>
      <c r="AB294">
        <v>20.332049999999999</v>
      </c>
      <c r="AC294">
        <v>19.581855999999998</v>
      </c>
      <c r="AD294">
        <v>21.038145</v>
      </c>
      <c r="AE294">
        <v>22.165026000000001</v>
      </c>
      <c r="AF294">
        <v>21.310486000000001</v>
      </c>
      <c r="AG294">
        <v>21.033583</v>
      </c>
    </row>
    <row r="295" spans="1:33" x14ac:dyDescent="0.25">
      <c r="A295" s="1">
        <v>44346</v>
      </c>
      <c r="B295">
        <v>18.79693</v>
      </c>
      <c r="C295">
        <v>19.309044</v>
      </c>
      <c r="D295">
        <v>18.423904</v>
      </c>
      <c r="E295">
        <v>18.467718000000001</v>
      </c>
      <c r="F295">
        <v>18.854655999999999</v>
      </c>
      <c r="G295">
        <v>19.008863000000002</v>
      </c>
      <c r="H295">
        <v>18.211141999999999</v>
      </c>
      <c r="I295">
        <v>18.869864</v>
      </c>
      <c r="J295">
        <v>22.065245000000001</v>
      </c>
      <c r="K295">
        <v>20.751557999999999</v>
      </c>
      <c r="L295">
        <v>21.358779999999999</v>
      </c>
      <c r="M295">
        <v>19.186298000000001</v>
      </c>
      <c r="N295">
        <v>19.802744000000001</v>
      </c>
      <c r="O295">
        <v>21.046441999999999</v>
      </c>
      <c r="P295">
        <v>20.626754999999999</v>
      </c>
      <c r="Q295">
        <v>19.233796999999999</v>
      </c>
      <c r="R295">
        <v>20.931383</v>
      </c>
      <c r="S295">
        <v>18.79908</v>
      </c>
      <c r="T295">
        <v>20.604143000000001</v>
      </c>
      <c r="U295">
        <v>22.007346999999999</v>
      </c>
      <c r="V295">
        <v>21.309809000000001</v>
      </c>
      <c r="W295">
        <v>22.260145000000001</v>
      </c>
      <c r="X295">
        <v>21.757936000000001</v>
      </c>
      <c r="Y295">
        <v>20.484345999999999</v>
      </c>
      <c r="Z295">
        <v>21.953634000000001</v>
      </c>
      <c r="AA295">
        <v>22.536256999999999</v>
      </c>
      <c r="AB295">
        <v>20.71142</v>
      </c>
      <c r="AC295">
        <v>20.000589999999999</v>
      </c>
      <c r="AD295">
        <v>21.415731000000001</v>
      </c>
      <c r="AE295">
        <v>22.491966000000001</v>
      </c>
      <c r="AF295">
        <v>21.537088000000001</v>
      </c>
      <c r="AG295">
        <v>21.622319999999998</v>
      </c>
    </row>
    <row r="296" spans="1:33" x14ac:dyDescent="0.25">
      <c r="A296" s="1">
        <v>44347</v>
      </c>
      <c r="B296">
        <v>19.559214000000001</v>
      </c>
      <c r="C296">
        <v>19.958981999999999</v>
      </c>
      <c r="D296">
        <v>19.014700000000001</v>
      </c>
      <c r="E296">
        <v>19.113098000000001</v>
      </c>
      <c r="F296">
        <v>19.595555999999998</v>
      </c>
      <c r="G296">
        <v>19.476977999999999</v>
      </c>
      <c r="H296">
        <v>18.641705000000002</v>
      </c>
      <c r="I296">
        <v>19.815044</v>
      </c>
      <c r="J296">
        <v>22.817314</v>
      </c>
      <c r="K296">
        <v>21.280407</v>
      </c>
      <c r="L296">
        <v>21.903883</v>
      </c>
      <c r="M296">
        <v>19.668226000000001</v>
      </c>
      <c r="N296">
        <v>20.373142000000001</v>
      </c>
      <c r="O296">
        <v>21.638779</v>
      </c>
      <c r="P296">
        <v>21.135563000000001</v>
      </c>
      <c r="Q296">
        <v>19.74935</v>
      </c>
      <c r="R296">
        <v>21.497522</v>
      </c>
      <c r="S296">
        <v>19.917608000000001</v>
      </c>
      <c r="T296">
        <v>21.33371</v>
      </c>
      <c r="U296">
        <v>22.660806999999998</v>
      </c>
      <c r="V296">
        <v>22.067831000000002</v>
      </c>
      <c r="W296">
        <v>22.786788999999999</v>
      </c>
      <c r="X296">
        <v>22.535316000000002</v>
      </c>
      <c r="Y296">
        <v>21.466621</v>
      </c>
      <c r="Z296">
        <v>22.548840999999999</v>
      </c>
      <c r="AA296">
        <v>23.135458</v>
      </c>
      <c r="AB296">
        <v>21.662699</v>
      </c>
      <c r="AC296">
        <v>21.020316999999999</v>
      </c>
      <c r="AD296">
        <v>21.925353999999999</v>
      </c>
      <c r="AE296">
        <v>23.620519999999999</v>
      </c>
      <c r="AF296">
        <v>21.979340000000001</v>
      </c>
      <c r="AG296">
        <v>22.705970000000001</v>
      </c>
    </row>
    <row r="297" spans="1:33" x14ac:dyDescent="0.25">
      <c r="A297" s="1">
        <v>44348</v>
      </c>
      <c r="B297">
        <v>19.66966</v>
      </c>
      <c r="C297">
        <v>20.22428</v>
      </c>
      <c r="D297">
        <v>19.395903000000001</v>
      </c>
      <c r="E297">
        <v>19.564820000000001</v>
      </c>
      <c r="F297">
        <v>19.77881</v>
      </c>
      <c r="G297">
        <v>19.768404</v>
      </c>
      <c r="H297">
        <v>18.727689999999999</v>
      </c>
      <c r="I297">
        <v>19.857834</v>
      </c>
      <c r="J297">
        <v>23.267531999999999</v>
      </c>
      <c r="K297">
        <v>21.619299999999999</v>
      </c>
      <c r="L297">
        <v>22.257667999999999</v>
      </c>
      <c r="M297">
        <v>19.92998</v>
      </c>
      <c r="N297">
        <v>20.569302</v>
      </c>
      <c r="O297">
        <v>21.939285000000002</v>
      </c>
      <c r="P297">
        <v>21.485513999999998</v>
      </c>
      <c r="Q297">
        <v>20.056083999999998</v>
      </c>
      <c r="R297">
        <v>21.824231999999999</v>
      </c>
      <c r="S297">
        <v>20.42916</v>
      </c>
      <c r="T297">
        <v>21.652709999999999</v>
      </c>
      <c r="U297">
        <v>23.091681999999999</v>
      </c>
      <c r="V297">
        <v>22.170082000000001</v>
      </c>
      <c r="W297">
        <v>23.264638999999999</v>
      </c>
      <c r="X297">
        <v>22.738647</v>
      </c>
      <c r="Y297">
        <v>22.507715000000001</v>
      </c>
      <c r="Z297">
        <v>23.067513999999999</v>
      </c>
      <c r="AA297">
        <v>23.735814999999999</v>
      </c>
      <c r="AB297">
        <v>22.710550000000001</v>
      </c>
      <c r="AC297">
        <v>22.111898</v>
      </c>
      <c r="AD297">
        <v>22.351430000000001</v>
      </c>
      <c r="AE297">
        <v>24.365570000000002</v>
      </c>
      <c r="AF297">
        <v>22.497655999999999</v>
      </c>
      <c r="AG297">
        <v>23.646830000000001</v>
      </c>
    </row>
    <row r="298" spans="1:33" x14ac:dyDescent="0.25">
      <c r="A298" s="1">
        <v>44349</v>
      </c>
      <c r="B298">
        <v>19.788015000000001</v>
      </c>
      <c r="C298">
        <v>20.363848000000001</v>
      </c>
      <c r="D298">
        <v>19.541284999999998</v>
      </c>
      <c r="E298">
        <v>19.638739999999999</v>
      </c>
      <c r="F298">
        <v>19.824529999999999</v>
      </c>
      <c r="G298">
        <v>19.950413000000001</v>
      </c>
      <c r="H298">
        <v>18.782532</v>
      </c>
      <c r="I298">
        <v>19.519708999999999</v>
      </c>
      <c r="J298">
        <v>23.228194999999999</v>
      </c>
      <c r="K298">
        <v>21.776941000000001</v>
      </c>
      <c r="L298">
        <v>22.538146999999999</v>
      </c>
      <c r="M298">
        <v>20.109514000000001</v>
      </c>
      <c r="N298">
        <v>20.728611000000001</v>
      </c>
      <c r="O298">
        <v>22.210868999999999</v>
      </c>
      <c r="P298">
        <v>21.655245000000001</v>
      </c>
      <c r="Q298">
        <v>20.227322000000001</v>
      </c>
      <c r="R298">
        <v>22.095863000000001</v>
      </c>
      <c r="S298">
        <v>19.682417000000001</v>
      </c>
      <c r="T298">
        <v>21.757570000000001</v>
      </c>
      <c r="U298">
        <v>23.237653999999999</v>
      </c>
      <c r="V298">
        <v>22.491185999999999</v>
      </c>
      <c r="W298">
        <v>23.703582999999998</v>
      </c>
      <c r="X298">
        <v>22.905745</v>
      </c>
      <c r="Y298">
        <v>23.191872</v>
      </c>
      <c r="Z298">
        <v>23.347422000000002</v>
      </c>
      <c r="AA298">
        <v>24.175253000000001</v>
      </c>
      <c r="AB298">
        <v>23.406479999999998</v>
      </c>
      <c r="AC298">
        <v>22.878515</v>
      </c>
      <c r="AD298">
        <v>22.703544999999998</v>
      </c>
      <c r="AE298">
        <v>24.374825999999999</v>
      </c>
      <c r="AF298">
        <v>22.920359000000001</v>
      </c>
      <c r="AG298">
        <v>24.203009000000002</v>
      </c>
    </row>
    <row r="299" spans="1:33" x14ac:dyDescent="0.25">
      <c r="A299" s="1">
        <v>44350</v>
      </c>
      <c r="B299">
        <v>20.352812</v>
      </c>
      <c r="C299">
        <v>20.699922999999998</v>
      </c>
      <c r="D299">
        <v>19.844946</v>
      </c>
      <c r="E299">
        <v>19.975054</v>
      </c>
      <c r="F299">
        <v>20.190149999999999</v>
      </c>
      <c r="G299">
        <v>20.167981999999999</v>
      </c>
      <c r="H299">
        <v>19.137481999999999</v>
      </c>
      <c r="I299">
        <v>19.875885</v>
      </c>
      <c r="J299">
        <v>23.510109</v>
      </c>
      <c r="K299">
        <v>22.128402999999999</v>
      </c>
      <c r="L299">
        <v>22.911743000000001</v>
      </c>
      <c r="M299">
        <v>20.387405000000001</v>
      </c>
      <c r="N299">
        <v>21.186253000000001</v>
      </c>
      <c r="O299">
        <v>22.631601</v>
      </c>
      <c r="P299">
        <v>21.984998999999998</v>
      </c>
      <c r="Q299">
        <v>20.520906</v>
      </c>
      <c r="R299">
        <v>22.482569000000002</v>
      </c>
      <c r="S299">
        <v>19.707730999999999</v>
      </c>
      <c r="T299">
        <v>22.154662999999999</v>
      </c>
      <c r="U299">
        <v>23.516100000000002</v>
      </c>
      <c r="V299">
        <v>22.973337000000001</v>
      </c>
      <c r="W299">
        <v>24.287244999999999</v>
      </c>
      <c r="X299">
        <v>23.207342000000001</v>
      </c>
      <c r="Y299">
        <v>23.578033000000001</v>
      </c>
      <c r="Z299">
        <v>23.640114000000001</v>
      </c>
      <c r="AA299">
        <v>24.589452999999999</v>
      </c>
      <c r="AB299">
        <v>23.827352999999999</v>
      </c>
      <c r="AC299">
        <v>23.363151999999999</v>
      </c>
      <c r="AD299">
        <v>23.061986999999998</v>
      </c>
      <c r="AE299">
        <v>24.246096000000001</v>
      </c>
      <c r="AF299">
        <v>23.327532000000001</v>
      </c>
      <c r="AG299">
        <v>24.657492000000001</v>
      </c>
    </row>
    <row r="300" spans="1:33" x14ac:dyDescent="0.25">
      <c r="A300" s="1">
        <v>44351</v>
      </c>
      <c r="B300">
        <v>20.917256999999999</v>
      </c>
      <c r="C300">
        <v>21.061865000000001</v>
      </c>
      <c r="D300">
        <v>20.153711000000001</v>
      </c>
      <c r="E300">
        <v>20.343142</v>
      </c>
      <c r="F300">
        <v>20.461158999999999</v>
      </c>
      <c r="G300">
        <v>20.351379999999999</v>
      </c>
      <c r="H300">
        <v>19.346283</v>
      </c>
      <c r="I300">
        <v>20.168040000000001</v>
      </c>
      <c r="J300">
        <v>23.975977</v>
      </c>
      <c r="K300">
        <v>22.461708000000002</v>
      </c>
      <c r="L300">
        <v>23.228691000000001</v>
      </c>
      <c r="M300">
        <v>20.611353000000001</v>
      </c>
      <c r="N300">
        <v>21.433249</v>
      </c>
      <c r="O300">
        <v>22.916512000000001</v>
      </c>
      <c r="P300">
        <v>22.359842</v>
      </c>
      <c r="Q300">
        <v>20.787447</v>
      </c>
      <c r="R300">
        <v>22.750208000000001</v>
      </c>
      <c r="S300">
        <v>20.534175999999999</v>
      </c>
      <c r="T300">
        <v>22.550554000000002</v>
      </c>
      <c r="U300">
        <v>24.195618</v>
      </c>
      <c r="V300">
        <v>23.216393</v>
      </c>
      <c r="W300">
        <v>24.697897000000001</v>
      </c>
      <c r="X300">
        <v>23.572846999999999</v>
      </c>
      <c r="Y300">
        <v>23.496513</v>
      </c>
      <c r="Z300">
        <v>23.942415</v>
      </c>
      <c r="AA300">
        <v>24.899671999999999</v>
      </c>
      <c r="AB300">
        <v>23.855271999999999</v>
      </c>
      <c r="AC300">
        <v>23.607583999999999</v>
      </c>
      <c r="AD300">
        <v>23.381231</v>
      </c>
      <c r="AE300">
        <v>23.737220000000001</v>
      </c>
      <c r="AF300">
        <v>23.645828000000002</v>
      </c>
      <c r="AG300">
        <v>24.495438</v>
      </c>
    </row>
    <row r="301" spans="1:33" x14ac:dyDescent="0.25">
      <c r="A301" s="1">
        <v>44352</v>
      </c>
      <c r="B301">
        <v>21.109762</v>
      </c>
      <c r="C301">
        <v>21.161149999999999</v>
      </c>
      <c r="D301">
        <v>20.272717</v>
      </c>
      <c r="E301">
        <v>20.460535</v>
      </c>
      <c r="F301">
        <v>20.45965</v>
      </c>
      <c r="G301">
        <v>20.385587999999998</v>
      </c>
      <c r="H301">
        <v>19.485334000000002</v>
      </c>
      <c r="I301">
        <v>19.82985</v>
      </c>
      <c r="J301">
        <v>24.135954000000002</v>
      </c>
      <c r="K301">
        <v>22.722372</v>
      </c>
      <c r="L301">
        <v>23.460152000000001</v>
      </c>
      <c r="M301">
        <v>20.736868000000001</v>
      </c>
      <c r="N301">
        <v>21.662614999999999</v>
      </c>
      <c r="O301">
        <v>23.176683000000001</v>
      </c>
      <c r="P301">
        <v>22.610430000000001</v>
      </c>
      <c r="Q301">
        <v>20.899715</v>
      </c>
      <c r="R301">
        <v>22.981459999999998</v>
      </c>
      <c r="S301">
        <v>20.352329999999998</v>
      </c>
      <c r="T301">
        <v>22.741463</v>
      </c>
      <c r="U301">
        <v>24.657242</v>
      </c>
      <c r="V301">
        <v>23.356390000000001</v>
      </c>
      <c r="W301">
        <v>24.859552000000001</v>
      </c>
      <c r="X301">
        <v>23.808249</v>
      </c>
      <c r="Y301">
        <v>23.365686</v>
      </c>
      <c r="Z301">
        <v>24.080113999999998</v>
      </c>
      <c r="AA301">
        <v>25.065626000000002</v>
      </c>
      <c r="AB301">
        <v>23.672628</v>
      </c>
      <c r="AC301">
        <v>23.384134</v>
      </c>
      <c r="AD301">
        <v>23.636514999999999</v>
      </c>
      <c r="AE301">
        <v>22.843596000000002</v>
      </c>
      <c r="AF301">
        <v>23.851655999999998</v>
      </c>
      <c r="AG301">
        <v>24.357904000000001</v>
      </c>
    </row>
    <row r="302" spans="1:33" x14ac:dyDescent="0.25">
      <c r="A302" s="1">
        <v>44353</v>
      </c>
      <c r="B302">
        <v>21.133569999999999</v>
      </c>
      <c r="C302">
        <v>21.227938000000002</v>
      </c>
      <c r="D302">
        <v>20.408246999999999</v>
      </c>
      <c r="E302">
        <v>20.557732000000001</v>
      </c>
      <c r="F302">
        <v>20.492352</v>
      </c>
      <c r="G302">
        <v>20.529743</v>
      </c>
      <c r="H302">
        <v>19.379802999999999</v>
      </c>
      <c r="I302">
        <v>19.802129999999998</v>
      </c>
      <c r="J302">
        <v>23.972474999999999</v>
      </c>
      <c r="K302">
        <v>22.825346</v>
      </c>
      <c r="L302">
        <v>23.497084000000001</v>
      </c>
      <c r="M302">
        <v>20.812329999999999</v>
      </c>
      <c r="N302">
        <v>21.668859999999999</v>
      </c>
      <c r="O302">
        <v>23.201612000000001</v>
      </c>
      <c r="P302">
        <v>22.767652999999999</v>
      </c>
      <c r="Q302">
        <v>20.954889999999999</v>
      </c>
      <c r="R302">
        <v>23.020150000000001</v>
      </c>
      <c r="S302">
        <v>20.480587</v>
      </c>
      <c r="T302">
        <v>22.735247000000001</v>
      </c>
      <c r="U302">
        <v>24.818586</v>
      </c>
      <c r="V302">
        <v>23.347807</v>
      </c>
      <c r="W302">
        <v>25.020973000000001</v>
      </c>
      <c r="X302">
        <v>23.874898999999999</v>
      </c>
      <c r="Y302">
        <v>23.295029</v>
      </c>
      <c r="Z302">
        <v>24.125938000000001</v>
      </c>
      <c r="AA302">
        <v>25.122537999999999</v>
      </c>
      <c r="AB302">
        <v>23.697975</v>
      </c>
      <c r="AC302">
        <v>23.146204000000001</v>
      </c>
      <c r="AD302">
        <v>23.733038000000001</v>
      </c>
      <c r="AE302">
        <v>22.769539000000002</v>
      </c>
      <c r="AF302">
        <v>24.000845000000002</v>
      </c>
      <c r="AG302">
        <v>24.290094</v>
      </c>
    </row>
    <row r="303" spans="1:33" x14ac:dyDescent="0.25">
      <c r="A303" s="1">
        <v>44354</v>
      </c>
      <c r="B303">
        <v>20.168669000000001</v>
      </c>
      <c r="C303">
        <v>20.671559999999999</v>
      </c>
      <c r="D303">
        <v>20.083036</v>
      </c>
      <c r="E303">
        <v>20.119893999999999</v>
      </c>
      <c r="F303">
        <v>19.823523000000002</v>
      </c>
      <c r="G303">
        <v>20.285028000000001</v>
      </c>
      <c r="H303">
        <v>18.944704000000002</v>
      </c>
      <c r="I303">
        <v>18.762395999999999</v>
      </c>
      <c r="J303">
        <v>22.620553999999998</v>
      </c>
      <c r="K303">
        <v>22.275133</v>
      </c>
      <c r="L303">
        <v>22.86814</v>
      </c>
      <c r="M303">
        <v>20.456161000000002</v>
      </c>
      <c r="N303">
        <v>21.112646000000002</v>
      </c>
      <c r="O303">
        <v>22.479113000000002</v>
      </c>
      <c r="P303">
        <v>22.24314</v>
      </c>
      <c r="Q303">
        <v>20.559972999999999</v>
      </c>
      <c r="R303">
        <v>22.410423000000002</v>
      </c>
      <c r="S303">
        <v>19.472956</v>
      </c>
      <c r="T303">
        <v>22.027657000000001</v>
      </c>
      <c r="U303">
        <v>24.461592</v>
      </c>
      <c r="V303">
        <v>22.635902000000002</v>
      </c>
      <c r="W303">
        <v>24.265837000000001</v>
      </c>
      <c r="X303">
        <v>23.188130999999998</v>
      </c>
      <c r="Y303">
        <v>22.427443</v>
      </c>
      <c r="Z303">
        <v>23.357536</v>
      </c>
      <c r="AA303">
        <v>24.500443000000001</v>
      </c>
      <c r="AB303">
        <v>22.864809000000001</v>
      </c>
      <c r="AC303">
        <v>21.992284999999999</v>
      </c>
      <c r="AD303">
        <v>23.262519999999999</v>
      </c>
      <c r="AE303">
        <v>21.754290000000001</v>
      </c>
      <c r="AF303">
        <v>23.664594999999998</v>
      </c>
      <c r="AG303">
        <v>23.046745000000001</v>
      </c>
    </row>
    <row r="304" spans="1:33" x14ac:dyDescent="0.25">
      <c r="A304" s="1">
        <v>44355</v>
      </c>
      <c r="B304">
        <v>18.803999000000001</v>
      </c>
      <c r="C304">
        <v>19.904160999999998</v>
      </c>
      <c r="D304">
        <v>19.302427000000002</v>
      </c>
      <c r="E304">
        <v>19.15279</v>
      </c>
      <c r="F304">
        <v>19.180674</v>
      </c>
      <c r="G304">
        <v>19.726780000000002</v>
      </c>
      <c r="H304">
        <v>18.447557</v>
      </c>
      <c r="I304">
        <v>17.541029999999999</v>
      </c>
      <c r="J304">
        <v>20.653662000000001</v>
      </c>
      <c r="K304">
        <v>21.428362</v>
      </c>
      <c r="L304">
        <v>21.915376999999999</v>
      </c>
      <c r="M304">
        <v>19.920296</v>
      </c>
      <c r="N304">
        <v>20.447095999999998</v>
      </c>
      <c r="O304">
        <v>21.718575999999999</v>
      </c>
      <c r="P304">
        <v>21.458570000000002</v>
      </c>
      <c r="Q304">
        <v>19.935569999999998</v>
      </c>
      <c r="R304">
        <v>21.720602</v>
      </c>
      <c r="S304">
        <v>17.743666000000001</v>
      </c>
      <c r="T304">
        <v>21.011486000000001</v>
      </c>
      <c r="U304">
        <v>23.434515000000001</v>
      </c>
      <c r="V304">
        <v>21.961210000000001</v>
      </c>
      <c r="W304">
        <v>23.554673999999999</v>
      </c>
      <c r="X304">
        <v>22.575665999999998</v>
      </c>
      <c r="Y304">
        <v>21.092175000000001</v>
      </c>
      <c r="Z304">
        <v>22.316416</v>
      </c>
      <c r="AA304">
        <v>23.600125999999999</v>
      </c>
      <c r="AB304">
        <v>21.515958999999999</v>
      </c>
      <c r="AC304">
        <v>20.47156</v>
      </c>
      <c r="AD304">
        <v>22.497260000000001</v>
      </c>
      <c r="AE304">
        <v>20.489833999999998</v>
      </c>
      <c r="AF304">
        <v>23.151603999999999</v>
      </c>
      <c r="AG304">
        <v>21.864889999999999</v>
      </c>
    </row>
    <row r="305" spans="1:33" x14ac:dyDescent="0.25">
      <c r="A305" s="1">
        <v>44356</v>
      </c>
      <c r="B305">
        <v>18.093933</v>
      </c>
      <c r="C305">
        <v>19.38738</v>
      </c>
      <c r="D305">
        <v>18.681702000000001</v>
      </c>
      <c r="E305">
        <v>18.444303999999999</v>
      </c>
      <c r="F305">
        <v>18.88213</v>
      </c>
      <c r="G305">
        <v>19.444033000000001</v>
      </c>
      <c r="H305">
        <v>18.1219</v>
      </c>
      <c r="I305">
        <v>17.053633000000001</v>
      </c>
      <c r="J305">
        <v>19.651693000000002</v>
      </c>
      <c r="K305">
        <v>20.846893000000001</v>
      </c>
      <c r="L305">
        <v>21.319893</v>
      </c>
      <c r="M305">
        <v>19.5473</v>
      </c>
      <c r="N305">
        <v>20.05321</v>
      </c>
      <c r="O305">
        <v>21.235104</v>
      </c>
      <c r="P305">
        <v>20.848821999999998</v>
      </c>
      <c r="Q305">
        <v>19.523468000000001</v>
      </c>
      <c r="R305">
        <v>21.252196999999999</v>
      </c>
      <c r="S305">
        <v>16.538150000000002</v>
      </c>
      <c r="T305">
        <v>20.403585</v>
      </c>
      <c r="U305">
        <v>22.36469</v>
      </c>
      <c r="V305">
        <v>21.478638</v>
      </c>
      <c r="W305">
        <v>22.542615999999999</v>
      </c>
      <c r="X305">
        <v>22.241104</v>
      </c>
      <c r="Y305">
        <v>20.344719999999999</v>
      </c>
      <c r="Z305">
        <v>21.456339</v>
      </c>
      <c r="AA305">
        <v>22.830573999999999</v>
      </c>
      <c r="AB305">
        <v>20.714656999999999</v>
      </c>
      <c r="AC305">
        <v>18.930789999999998</v>
      </c>
      <c r="AD305">
        <v>21.866036999999999</v>
      </c>
      <c r="AE305">
        <v>18.149256000000001</v>
      </c>
      <c r="AF305">
        <v>22.617384000000001</v>
      </c>
      <c r="AG305">
        <v>21.174493999999999</v>
      </c>
    </row>
    <row r="306" spans="1:33" x14ac:dyDescent="0.25">
      <c r="A306" s="1">
        <v>44357</v>
      </c>
      <c r="B306">
        <v>17.751539999999999</v>
      </c>
      <c r="C306">
        <v>19.052430999999999</v>
      </c>
      <c r="D306">
        <v>18.189688</v>
      </c>
      <c r="E306">
        <v>17.972645</v>
      </c>
      <c r="F306">
        <v>18.533148000000001</v>
      </c>
      <c r="G306">
        <v>19.093529</v>
      </c>
      <c r="H306">
        <v>17.811499000000001</v>
      </c>
      <c r="I306">
        <v>16.995232000000001</v>
      </c>
      <c r="J306">
        <v>19.179203000000001</v>
      </c>
      <c r="K306">
        <v>20.34929</v>
      </c>
      <c r="L306">
        <v>20.857332</v>
      </c>
      <c r="M306">
        <v>19.186882000000001</v>
      </c>
      <c r="N306">
        <v>19.677782000000001</v>
      </c>
      <c r="O306">
        <v>20.88353</v>
      </c>
      <c r="P306">
        <v>20.3645</v>
      </c>
      <c r="Q306">
        <v>19.188009999999998</v>
      </c>
      <c r="R306">
        <v>20.864037</v>
      </c>
      <c r="S306">
        <v>16.003602999999998</v>
      </c>
      <c r="T306">
        <v>19.935980000000001</v>
      </c>
      <c r="U306">
        <v>21.742239999999999</v>
      </c>
      <c r="V306">
        <v>21.165441999999999</v>
      </c>
      <c r="W306">
        <v>21.52167</v>
      </c>
      <c r="X306">
        <v>21.873992999999999</v>
      </c>
      <c r="Y306">
        <v>19.598707000000001</v>
      </c>
      <c r="Z306">
        <v>20.945810000000002</v>
      </c>
      <c r="AA306">
        <v>22.185449999999999</v>
      </c>
      <c r="AB306">
        <v>19.964987000000001</v>
      </c>
      <c r="AC306">
        <v>17.464971999999999</v>
      </c>
      <c r="AD306">
        <v>21.380185999999998</v>
      </c>
      <c r="AE306">
        <v>17.476616</v>
      </c>
      <c r="AF306">
        <v>22.090257999999999</v>
      </c>
      <c r="AG306">
        <v>20.745415000000001</v>
      </c>
    </row>
    <row r="307" spans="1:33" x14ac:dyDescent="0.25">
      <c r="A307" s="1">
        <v>44358</v>
      </c>
      <c r="B307">
        <v>17.889585</v>
      </c>
      <c r="C307">
        <v>19.056421</v>
      </c>
      <c r="D307">
        <v>18.016748</v>
      </c>
      <c r="E307">
        <v>17.867277000000001</v>
      </c>
      <c r="F307">
        <v>18.510399</v>
      </c>
      <c r="G307">
        <v>18.884191999999999</v>
      </c>
      <c r="H307">
        <v>17.747534000000002</v>
      </c>
      <c r="I307">
        <v>17.38683</v>
      </c>
      <c r="J307">
        <v>19.225854999999999</v>
      </c>
      <c r="K307">
        <v>20.048667999999999</v>
      </c>
      <c r="L307">
        <v>20.620200000000001</v>
      </c>
      <c r="M307">
        <v>18.974878</v>
      </c>
      <c r="N307">
        <v>19.396550999999999</v>
      </c>
      <c r="O307">
        <v>20.662894999999999</v>
      </c>
      <c r="P307">
        <v>20.046393999999999</v>
      </c>
      <c r="Q307">
        <v>18.972691999999999</v>
      </c>
      <c r="R307">
        <v>20.616657</v>
      </c>
      <c r="S307">
        <v>16.278279999999999</v>
      </c>
      <c r="T307">
        <v>19.770841999999998</v>
      </c>
      <c r="U307">
        <v>21.561522</v>
      </c>
      <c r="V307">
        <v>20.928761999999999</v>
      </c>
      <c r="W307">
        <v>21.242177999999999</v>
      </c>
      <c r="X307">
        <v>21.653185000000001</v>
      </c>
      <c r="Y307">
        <v>19.559805000000001</v>
      </c>
      <c r="Z307">
        <v>20.762149999999998</v>
      </c>
      <c r="AA307">
        <v>21.959403999999999</v>
      </c>
      <c r="AB307">
        <v>19.8935</v>
      </c>
      <c r="AC307">
        <v>16.735426</v>
      </c>
      <c r="AD307">
        <v>21.066186999999999</v>
      </c>
      <c r="AE307">
        <v>17.470089999999999</v>
      </c>
      <c r="AF307">
        <v>21.746344000000001</v>
      </c>
      <c r="AG307">
        <v>20.791613000000002</v>
      </c>
    </row>
    <row r="308" spans="1:33" x14ac:dyDescent="0.25">
      <c r="A308" s="1">
        <v>44359</v>
      </c>
      <c r="B308">
        <v>18.797352</v>
      </c>
      <c r="C308">
        <v>19.581233999999998</v>
      </c>
      <c r="D308">
        <v>18.325571</v>
      </c>
      <c r="E308">
        <v>18.382677000000001</v>
      </c>
      <c r="F308">
        <v>19.106010000000001</v>
      </c>
      <c r="G308">
        <v>19.049240000000001</v>
      </c>
      <c r="H308">
        <v>18.110886000000001</v>
      </c>
      <c r="I308">
        <v>18.751259000000001</v>
      </c>
      <c r="J308">
        <v>20.188030000000001</v>
      </c>
      <c r="K308">
        <v>20.257196</v>
      </c>
      <c r="L308">
        <v>20.907087000000001</v>
      </c>
      <c r="M308">
        <v>19.194769000000001</v>
      </c>
      <c r="N308">
        <v>19.611801</v>
      </c>
      <c r="O308">
        <v>20.933354999999999</v>
      </c>
      <c r="P308">
        <v>20.174389999999999</v>
      </c>
      <c r="Q308">
        <v>19.16038</v>
      </c>
      <c r="R308">
        <v>20.823587</v>
      </c>
      <c r="S308">
        <v>17.512566</v>
      </c>
      <c r="T308">
        <v>20.158707</v>
      </c>
      <c r="U308">
        <v>21.860140000000001</v>
      </c>
      <c r="V308">
        <v>21.108968999999998</v>
      </c>
      <c r="W308">
        <v>21.506643</v>
      </c>
      <c r="X308">
        <v>21.711039</v>
      </c>
      <c r="Y308">
        <v>20.176641</v>
      </c>
      <c r="Z308">
        <v>21.081254999999999</v>
      </c>
      <c r="AA308">
        <v>22.218025000000001</v>
      </c>
      <c r="AB308">
        <v>20.432531000000001</v>
      </c>
      <c r="AC308">
        <v>17.434699999999999</v>
      </c>
      <c r="AD308">
        <v>21.183674</v>
      </c>
      <c r="AE308">
        <v>18.499659000000001</v>
      </c>
      <c r="AF308">
        <v>21.655211999999999</v>
      </c>
      <c r="AG308">
        <v>21.560575</v>
      </c>
    </row>
    <row r="309" spans="1:33" x14ac:dyDescent="0.25">
      <c r="A309" s="1">
        <v>44360</v>
      </c>
      <c r="B309">
        <v>19.587015000000001</v>
      </c>
      <c r="C309">
        <v>20.156488</v>
      </c>
      <c r="D309">
        <v>18.875153000000001</v>
      </c>
      <c r="E309">
        <v>19.096094000000001</v>
      </c>
      <c r="F309">
        <v>19.651886000000001</v>
      </c>
      <c r="G309">
        <v>19.430399000000001</v>
      </c>
      <c r="H309">
        <v>18.611032000000002</v>
      </c>
      <c r="I309">
        <v>19.987597000000001</v>
      </c>
      <c r="J309">
        <v>21.303823000000001</v>
      </c>
      <c r="K309">
        <v>20.669695000000001</v>
      </c>
      <c r="L309">
        <v>21.29617</v>
      </c>
      <c r="M309">
        <v>19.564506999999999</v>
      </c>
      <c r="N309">
        <v>19.970815999999999</v>
      </c>
      <c r="O309">
        <v>21.200883999999999</v>
      </c>
      <c r="P309">
        <v>20.573647000000001</v>
      </c>
      <c r="Q309">
        <v>19.549741999999998</v>
      </c>
      <c r="R309">
        <v>21.087008000000001</v>
      </c>
      <c r="S309">
        <v>19.175806000000001</v>
      </c>
      <c r="T309">
        <v>20.703776999999999</v>
      </c>
      <c r="U309">
        <v>22.291948000000001</v>
      </c>
      <c r="V309">
        <v>21.373991</v>
      </c>
      <c r="W309">
        <v>22.045677000000001</v>
      </c>
      <c r="X309">
        <v>21.900445999999999</v>
      </c>
      <c r="Y309">
        <v>21.065408999999999</v>
      </c>
      <c r="Z309">
        <v>21.651748999999999</v>
      </c>
      <c r="AA309">
        <v>22.785941999999999</v>
      </c>
      <c r="AB309">
        <v>21.251501000000001</v>
      </c>
      <c r="AC309">
        <v>18.860621999999999</v>
      </c>
      <c r="AD309">
        <v>21.494534999999999</v>
      </c>
      <c r="AE309">
        <v>19.31945</v>
      </c>
      <c r="AF309">
        <v>21.772337</v>
      </c>
      <c r="AG309">
        <v>22.248906999999999</v>
      </c>
    </row>
    <row r="310" spans="1:33" x14ac:dyDescent="0.25">
      <c r="A310" s="1">
        <v>44361</v>
      </c>
      <c r="B310">
        <v>19.990473000000001</v>
      </c>
      <c r="C310">
        <v>20.585225999999999</v>
      </c>
      <c r="D310">
        <v>19.303108000000002</v>
      </c>
      <c r="E310">
        <v>19.607530000000001</v>
      </c>
      <c r="F310">
        <v>19.946975999999999</v>
      </c>
      <c r="G310">
        <v>19.830378</v>
      </c>
      <c r="H310">
        <v>19.060300000000002</v>
      </c>
      <c r="I310">
        <v>20.761002999999999</v>
      </c>
      <c r="J310">
        <v>21.695374000000001</v>
      </c>
      <c r="K310">
        <v>21.003613999999999</v>
      </c>
      <c r="L310">
        <v>21.586694999999999</v>
      </c>
      <c r="M310">
        <v>19.924451999999999</v>
      </c>
      <c r="N310">
        <v>20.383016999999999</v>
      </c>
      <c r="O310">
        <v>21.449724</v>
      </c>
      <c r="P310">
        <v>20.896753</v>
      </c>
      <c r="Q310">
        <v>19.938921000000001</v>
      </c>
      <c r="R310">
        <v>21.341774000000001</v>
      </c>
      <c r="S310">
        <v>19.976247999999998</v>
      </c>
      <c r="T310">
        <v>21.156645000000001</v>
      </c>
      <c r="U310">
        <v>22.535547000000001</v>
      </c>
      <c r="V310">
        <v>21.714642999999999</v>
      </c>
      <c r="W310">
        <v>22.473649999999999</v>
      </c>
      <c r="X310">
        <v>22.167826000000002</v>
      </c>
      <c r="Y310">
        <v>21.648363</v>
      </c>
      <c r="Z310">
        <v>22.124697000000001</v>
      </c>
      <c r="AA310">
        <v>23.120111000000001</v>
      </c>
      <c r="AB310">
        <v>21.812270000000002</v>
      </c>
      <c r="AC310">
        <v>20.155539000000001</v>
      </c>
      <c r="AD310">
        <v>21.793531000000002</v>
      </c>
      <c r="AE310">
        <v>19.603414999999998</v>
      </c>
      <c r="AF310">
        <v>21.694510999999999</v>
      </c>
      <c r="AG310">
        <v>22.721247000000002</v>
      </c>
    </row>
    <row r="311" spans="1:33" x14ac:dyDescent="0.25">
      <c r="A311" s="1">
        <v>44362</v>
      </c>
      <c r="B311">
        <v>19.678293</v>
      </c>
      <c r="C311">
        <v>20.514654</v>
      </c>
      <c r="D311">
        <v>19.348185999999998</v>
      </c>
      <c r="E311">
        <v>19.632916999999999</v>
      </c>
      <c r="F311">
        <v>19.718195000000001</v>
      </c>
      <c r="G311">
        <v>19.916681000000001</v>
      </c>
      <c r="H311">
        <v>19.158327</v>
      </c>
      <c r="I311">
        <v>20.330152999999999</v>
      </c>
      <c r="J311">
        <v>21.239218000000001</v>
      </c>
      <c r="K311">
        <v>20.962288000000001</v>
      </c>
      <c r="L311">
        <v>21.585923999999999</v>
      </c>
      <c r="M311">
        <v>19.960989999999999</v>
      </c>
      <c r="N311">
        <v>20.393201999999999</v>
      </c>
      <c r="O311">
        <v>21.488337000000001</v>
      </c>
      <c r="P311">
        <v>20.905624</v>
      </c>
      <c r="Q311">
        <v>19.965703999999999</v>
      </c>
      <c r="R311">
        <v>21.390630000000002</v>
      </c>
      <c r="S311">
        <v>19.76153</v>
      </c>
      <c r="T311">
        <v>21.289176999999999</v>
      </c>
      <c r="U311">
        <v>22.560704999999999</v>
      </c>
      <c r="V311">
        <v>21.819939999999999</v>
      </c>
      <c r="W311">
        <v>22.920173999999999</v>
      </c>
      <c r="X311">
        <v>22.272545000000001</v>
      </c>
      <c r="Y311">
        <v>21.592061999999999</v>
      </c>
      <c r="Z311">
        <v>22.215256</v>
      </c>
      <c r="AA311">
        <v>23.072481</v>
      </c>
      <c r="AB311">
        <v>21.804483000000001</v>
      </c>
      <c r="AC311">
        <v>20.240210000000001</v>
      </c>
      <c r="AD311">
        <v>21.879111999999999</v>
      </c>
      <c r="AE311">
        <v>19.074549000000001</v>
      </c>
      <c r="AF311">
        <v>21.461708000000002</v>
      </c>
      <c r="AG311">
        <v>22.661055000000001</v>
      </c>
    </row>
    <row r="312" spans="1:33" x14ac:dyDescent="0.25">
      <c r="A312" s="1">
        <v>44363</v>
      </c>
      <c r="B312">
        <v>20.423836000000001</v>
      </c>
      <c r="C312">
        <v>20.940287000000001</v>
      </c>
      <c r="D312">
        <v>19.813337000000001</v>
      </c>
      <c r="E312">
        <v>20.113222</v>
      </c>
      <c r="F312">
        <v>20.252409</v>
      </c>
      <c r="G312">
        <v>20.196037</v>
      </c>
      <c r="H312">
        <v>19.552655999999999</v>
      </c>
      <c r="I312">
        <v>20.832530999999999</v>
      </c>
      <c r="J312">
        <v>21.750768999999998</v>
      </c>
      <c r="K312">
        <v>21.333901999999998</v>
      </c>
      <c r="L312">
        <v>21.96377</v>
      </c>
      <c r="M312">
        <v>20.282087000000001</v>
      </c>
      <c r="N312">
        <v>20.871199000000001</v>
      </c>
      <c r="O312">
        <v>21.875198000000001</v>
      </c>
      <c r="P312">
        <v>21.213039999999999</v>
      </c>
      <c r="Q312">
        <v>20.314129000000001</v>
      </c>
      <c r="R312">
        <v>21.779782999999998</v>
      </c>
      <c r="S312">
        <v>20.271543999999999</v>
      </c>
      <c r="T312">
        <v>21.818697</v>
      </c>
      <c r="U312">
        <v>23.090467</v>
      </c>
      <c r="V312">
        <v>22.522183999999999</v>
      </c>
      <c r="W312">
        <v>23.316126000000001</v>
      </c>
      <c r="X312">
        <v>22.821081</v>
      </c>
      <c r="Y312">
        <v>21.959702</v>
      </c>
      <c r="Z312">
        <v>22.602705</v>
      </c>
      <c r="AA312">
        <v>23.284852999999998</v>
      </c>
      <c r="AB312">
        <v>22.200354000000001</v>
      </c>
      <c r="AC312">
        <v>20.704575999999999</v>
      </c>
      <c r="AD312">
        <v>22.181463000000001</v>
      </c>
      <c r="AE312">
        <v>18.804510000000001</v>
      </c>
      <c r="AF312">
        <v>21.463842</v>
      </c>
      <c r="AG312">
        <v>23.071954999999999</v>
      </c>
    </row>
    <row r="313" spans="1:33" x14ac:dyDescent="0.25">
      <c r="A313" s="1">
        <v>44364</v>
      </c>
      <c r="B313">
        <v>21.368631000000001</v>
      </c>
      <c r="C313">
        <v>21.67961</v>
      </c>
      <c r="D313">
        <v>20.564577</v>
      </c>
      <c r="E313">
        <v>20.927519</v>
      </c>
      <c r="F313">
        <v>20.944714999999999</v>
      </c>
      <c r="G313">
        <v>20.656106999999999</v>
      </c>
      <c r="H313">
        <v>20.171413000000001</v>
      </c>
      <c r="I313">
        <v>21.835816999999999</v>
      </c>
      <c r="J313">
        <v>22.725843000000001</v>
      </c>
      <c r="K313">
        <v>21.895026999999999</v>
      </c>
      <c r="L313">
        <v>22.519531000000001</v>
      </c>
      <c r="M313">
        <v>20.781220000000001</v>
      </c>
      <c r="N313">
        <v>21.447748000000001</v>
      </c>
      <c r="O313">
        <v>22.488913</v>
      </c>
      <c r="P313">
        <v>21.742204999999998</v>
      </c>
      <c r="Q313">
        <v>20.836195</v>
      </c>
      <c r="R313">
        <v>22.315076999999999</v>
      </c>
      <c r="S313">
        <v>21.423211999999999</v>
      </c>
      <c r="T313">
        <v>22.546707000000001</v>
      </c>
      <c r="U313">
        <v>23.729609</v>
      </c>
      <c r="V313">
        <v>22.98038</v>
      </c>
      <c r="W313">
        <v>23.753966999999999</v>
      </c>
      <c r="X313">
        <v>23.371359000000002</v>
      </c>
      <c r="Y313">
        <v>22.786676</v>
      </c>
      <c r="Z313">
        <v>23.308707999999999</v>
      </c>
      <c r="AA313">
        <v>23.819068999999999</v>
      </c>
      <c r="AB313">
        <v>22.944593000000001</v>
      </c>
      <c r="AC313">
        <v>22.054452999999999</v>
      </c>
      <c r="AD313">
        <v>22.666428</v>
      </c>
      <c r="AE313">
        <v>18.840181000000001</v>
      </c>
      <c r="AF313">
        <v>21.895546</v>
      </c>
      <c r="AG313">
        <v>23.733613999999999</v>
      </c>
    </row>
    <row r="314" spans="1:33" x14ac:dyDescent="0.25">
      <c r="A314" s="1">
        <v>44365</v>
      </c>
      <c r="B314">
        <v>22.242182</v>
      </c>
      <c r="C314">
        <v>22.45899</v>
      </c>
      <c r="D314">
        <v>21.360669999999999</v>
      </c>
      <c r="E314">
        <v>21.783072000000001</v>
      </c>
      <c r="F314">
        <v>21.497011000000001</v>
      </c>
      <c r="G314">
        <v>21.114878000000001</v>
      </c>
      <c r="H314">
        <v>20.767493999999999</v>
      </c>
      <c r="I314">
        <v>22.678246999999999</v>
      </c>
      <c r="J314">
        <v>23.753511</v>
      </c>
      <c r="K314">
        <v>22.520838000000001</v>
      </c>
      <c r="L314">
        <v>23.149450000000002</v>
      </c>
      <c r="M314">
        <v>21.272390000000001</v>
      </c>
      <c r="N314">
        <v>22.026696999999999</v>
      </c>
      <c r="O314">
        <v>23.085153999999999</v>
      </c>
      <c r="P314">
        <v>22.349817000000002</v>
      </c>
      <c r="Q314">
        <v>21.328405</v>
      </c>
      <c r="R314">
        <v>22.871037999999999</v>
      </c>
      <c r="S314">
        <v>22.838653999999998</v>
      </c>
      <c r="T314">
        <v>23.293482000000001</v>
      </c>
      <c r="U314">
        <v>24.265799000000001</v>
      </c>
      <c r="V314">
        <v>23.606977000000001</v>
      </c>
      <c r="W314">
        <v>24.380472000000001</v>
      </c>
      <c r="X314">
        <v>24.050348</v>
      </c>
      <c r="Y314">
        <v>23.646125999999999</v>
      </c>
      <c r="Z314">
        <v>23.993029</v>
      </c>
      <c r="AA314">
        <v>24.448046000000001</v>
      </c>
      <c r="AB314">
        <v>23.847715000000001</v>
      </c>
      <c r="AC314">
        <v>23.167784000000001</v>
      </c>
      <c r="AD314">
        <v>23.243814</v>
      </c>
      <c r="AE314">
        <v>19.485638000000002</v>
      </c>
      <c r="AF314">
        <v>22.492159000000001</v>
      </c>
      <c r="AG314">
        <v>24.466985999999999</v>
      </c>
    </row>
    <row r="315" spans="1:33" x14ac:dyDescent="0.25">
      <c r="A315" s="1">
        <v>44366</v>
      </c>
      <c r="B315">
        <v>22.539840000000002</v>
      </c>
      <c r="C315">
        <v>22.702020000000001</v>
      </c>
      <c r="D315">
        <v>21.797256000000001</v>
      </c>
      <c r="E315">
        <v>22.177026999999999</v>
      </c>
      <c r="F315">
        <v>21.512955000000002</v>
      </c>
      <c r="G315">
        <v>21.366841999999998</v>
      </c>
      <c r="H315">
        <v>20.936758000000001</v>
      </c>
      <c r="I315">
        <v>22.434014999999999</v>
      </c>
      <c r="J315">
        <v>24.287369000000002</v>
      </c>
      <c r="K315">
        <v>22.961123000000001</v>
      </c>
      <c r="L315">
        <v>23.618072999999999</v>
      </c>
      <c r="M315">
        <v>21.537806</v>
      </c>
      <c r="N315">
        <v>22.277304000000001</v>
      </c>
      <c r="O315">
        <v>23.460744999999999</v>
      </c>
      <c r="P315">
        <v>22.804855</v>
      </c>
      <c r="Q315">
        <v>21.609794999999998</v>
      </c>
      <c r="R315">
        <v>23.259619000000001</v>
      </c>
      <c r="S315">
        <v>22.954428</v>
      </c>
      <c r="T315">
        <v>23.569344000000001</v>
      </c>
      <c r="U315">
        <v>24.664567999999999</v>
      </c>
      <c r="V315">
        <v>23.902763</v>
      </c>
      <c r="W315">
        <v>24.850028999999999</v>
      </c>
      <c r="X315">
        <v>24.407506999999999</v>
      </c>
      <c r="Y315">
        <v>24.594405999999999</v>
      </c>
      <c r="Z315">
        <v>24.568353999999999</v>
      </c>
      <c r="AA315">
        <v>25.011042</v>
      </c>
      <c r="AB315">
        <v>24.768187999999999</v>
      </c>
      <c r="AC315">
        <v>24.297888</v>
      </c>
      <c r="AD315">
        <v>23.728518000000001</v>
      </c>
      <c r="AE315">
        <v>19.932462999999998</v>
      </c>
      <c r="AF315">
        <v>23.082326999999999</v>
      </c>
      <c r="AG315">
        <v>25.102927999999999</v>
      </c>
    </row>
    <row r="316" spans="1:33" x14ac:dyDescent="0.25">
      <c r="A316" s="1">
        <v>44367</v>
      </c>
      <c r="B316">
        <v>22.109161</v>
      </c>
      <c r="C316">
        <v>22.346803999999999</v>
      </c>
      <c r="D316">
        <v>21.627996</v>
      </c>
      <c r="E316">
        <v>21.812311000000001</v>
      </c>
      <c r="F316">
        <v>21.239180000000001</v>
      </c>
      <c r="G316">
        <v>21.306175</v>
      </c>
      <c r="H316">
        <v>20.782204</v>
      </c>
      <c r="I316">
        <v>21.097548</v>
      </c>
      <c r="J316">
        <v>23.817519999999998</v>
      </c>
      <c r="K316">
        <v>23.013472</v>
      </c>
      <c r="L316">
        <v>23.674795</v>
      </c>
      <c r="M316">
        <v>21.528969</v>
      </c>
      <c r="N316">
        <v>22.174543</v>
      </c>
      <c r="O316">
        <v>23.531092000000001</v>
      </c>
      <c r="P316">
        <v>22.892464</v>
      </c>
      <c r="Q316">
        <v>21.595022</v>
      </c>
      <c r="R316">
        <v>23.357755999999998</v>
      </c>
      <c r="S316">
        <v>21.868600000000001</v>
      </c>
      <c r="T316">
        <v>23.364840000000001</v>
      </c>
      <c r="U316">
        <v>24.737259999999999</v>
      </c>
      <c r="V316">
        <v>23.766054</v>
      </c>
      <c r="W316">
        <v>24.982469999999999</v>
      </c>
      <c r="X316">
        <v>24.205598999999999</v>
      </c>
      <c r="Y316">
        <v>25.281507000000001</v>
      </c>
      <c r="Z316">
        <v>24.83342</v>
      </c>
      <c r="AA316">
        <v>25.370104000000001</v>
      </c>
      <c r="AB316">
        <v>25.348196000000002</v>
      </c>
      <c r="AC316">
        <v>25.001000999999999</v>
      </c>
      <c r="AD316">
        <v>23.948516999999999</v>
      </c>
      <c r="AE316">
        <v>20.246320000000001</v>
      </c>
      <c r="AF316">
        <v>23.556892000000001</v>
      </c>
      <c r="AG316">
        <v>25.538996000000001</v>
      </c>
    </row>
    <row r="317" spans="1:33" x14ac:dyDescent="0.25">
      <c r="A317" s="1">
        <v>44368</v>
      </c>
      <c r="B317">
        <v>21.453092999999999</v>
      </c>
      <c r="C317">
        <v>21.900476000000001</v>
      </c>
      <c r="D317">
        <v>21.152235000000001</v>
      </c>
      <c r="E317">
        <v>21.119495000000001</v>
      </c>
      <c r="F317">
        <v>21.026205000000001</v>
      </c>
      <c r="G317">
        <v>21.147182000000001</v>
      </c>
      <c r="H317">
        <v>20.521372</v>
      </c>
      <c r="I317">
        <v>20.513819999999999</v>
      </c>
      <c r="J317">
        <v>23.123685999999999</v>
      </c>
      <c r="K317">
        <v>22.860033000000001</v>
      </c>
      <c r="L317">
        <v>23.455551</v>
      </c>
      <c r="M317">
        <v>21.368803</v>
      </c>
      <c r="N317">
        <v>21.960927999999999</v>
      </c>
      <c r="O317">
        <v>23.323087999999998</v>
      </c>
      <c r="P317">
        <v>22.775044999999999</v>
      </c>
      <c r="Q317">
        <v>21.405787</v>
      </c>
      <c r="R317">
        <v>23.172173999999998</v>
      </c>
      <c r="S317">
        <v>20.881921999999999</v>
      </c>
      <c r="T317">
        <v>22.863737</v>
      </c>
      <c r="U317">
        <v>24.655106</v>
      </c>
      <c r="V317">
        <v>23.294585999999999</v>
      </c>
      <c r="W317">
        <v>25.007273000000001</v>
      </c>
      <c r="X317">
        <v>23.684705999999998</v>
      </c>
      <c r="Y317">
        <v>25.652885000000001</v>
      </c>
      <c r="Z317">
        <v>24.512362</v>
      </c>
      <c r="AA317">
        <v>25.488752000000002</v>
      </c>
      <c r="AB317">
        <v>25.651426000000001</v>
      </c>
      <c r="AC317">
        <v>24.90738</v>
      </c>
      <c r="AD317">
        <v>23.817266</v>
      </c>
      <c r="AE317">
        <v>20.085428</v>
      </c>
      <c r="AF317">
        <v>23.990922999999999</v>
      </c>
      <c r="AG317">
        <v>25.652792000000002</v>
      </c>
    </row>
    <row r="318" spans="1:33" x14ac:dyDescent="0.25">
      <c r="A318" s="1">
        <v>44369</v>
      </c>
      <c r="B318">
        <v>20.993531999999998</v>
      </c>
      <c r="C318">
        <v>21.6829</v>
      </c>
      <c r="D318">
        <v>20.814629</v>
      </c>
      <c r="E318">
        <v>20.60201</v>
      </c>
      <c r="F318">
        <v>20.978275</v>
      </c>
      <c r="G318">
        <v>21.101295</v>
      </c>
      <c r="H318">
        <v>20.349964</v>
      </c>
      <c r="I318">
        <v>20.514671</v>
      </c>
      <c r="J318">
        <v>22.723710000000001</v>
      </c>
      <c r="K318">
        <v>22.720293000000002</v>
      </c>
      <c r="L318">
        <v>23.293993</v>
      </c>
      <c r="M318">
        <v>21.267399999999999</v>
      </c>
      <c r="N318">
        <v>21.818977</v>
      </c>
      <c r="O318">
        <v>23.275772</v>
      </c>
      <c r="P318">
        <v>22.670349999999999</v>
      </c>
      <c r="Q318">
        <v>21.272874999999999</v>
      </c>
      <c r="R318">
        <v>23.100279</v>
      </c>
      <c r="S318">
        <v>20.470130000000001</v>
      </c>
      <c r="T318">
        <v>22.591784000000001</v>
      </c>
      <c r="U318">
        <v>24.693193000000001</v>
      </c>
      <c r="V318">
        <v>23.129358</v>
      </c>
      <c r="W318">
        <v>24.714834</v>
      </c>
      <c r="X318">
        <v>23.538740000000001</v>
      </c>
      <c r="Y318">
        <v>25.586652999999998</v>
      </c>
      <c r="Z318">
        <v>24.272383000000001</v>
      </c>
      <c r="AA318">
        <v>25.407730000000001</v>
      </c>
      <c r="AB318">
        <v>25.608622</v>
      </c>
      <c r="AC318">
        <v>24.311644000000001</v>
      </c>
      <c r="AD318">
        <v>23.700372999999999</v>
      </c>
      <c r="AE318">
        <v>19.549534000000001</v>
      </c>
      <c r="AF318">
        <v>24.361688999999998</v>
      </c>
      <c r="AG318">
        <v>25.490943999999999</v>
      </c>
    </row>
    <row r="319" spans="1:33" x14ac:dyDescent="0.25">
      <c r="A319" s="1">
        <v>44370</v>
      </c>
      <c r="B319">
        <v>20.553132999999999</v>
      </c>
      <c r="C319">
        <v>21.550041</v>
      </c>
      <c r="D319">
        <v>20.487138999999999</v>
      </c>
      <c r="E319">
        <v>20.213647999999999</v>
      </c>
      <c r="F319">
        <v>20.886824000000001</v>
      </c>
      <c r="G319">
        <v>21.024522999999999</v>
      </c>
      <c r="H319">
        <v>20.229464</v>
      </c>
      <c r="I319">
        <v>20.485444999999999</v>
      </c>
      <c r="J319">
        <v>22.505362000000002</v>
      </c>
      <c r="K319">
        <v>22.706947</v>
      </c>
      <c r="L319">
        <v>23.081410999999999</v>
      </c>
      <c r="M319">
        <v>21.171399999999998</v>
      </c>
      <c r="N319">
        <v>21.641076999999999</v>
      </c>
      <c r="O319">
        <v>23.120139999999999</v>
      </c>
      <c r="P319">
        <v>22.537362999999999</v>
      </c>
      <c r="Q319">
        <v>21.148084999999998</v>
      </c>
      <c r="R319">
        <v>22.935849999999999</v>
      </c>
      <c r="S319">
        <v>20.240670999999999</v>
      </c>
      <c r="T319">
        <v>22.333244000000001</v>
      </c>
      <c r="U319">
        <v>24.436028</v>
      </c>
      <c r="V319">
        <v>22.977041</v>
      </c>
      <c r="W319">
        <v>24.27262</v>
      </c>
      <c r="X319">
        <v>23.473381</v>
      </c>
      <c r="Y319">
        <v>25.45861</v>
      </c>
      <c r="Z319">
        <v>24.19304</v>
      </c>
      <c r="AA319">
        <v>25.299738000000001</v>
      </c>
      <c r="AB319">
        <v>25.487299</v>
      </c>
      <c r="AC319">
        <v>23.878473</v>
      </c>
      <c r="AD319">
        <v>23.533104000000002</v>
      </c>
      <c r="AE319">
        <v>19.327864000000002</v>
      </c>
      <c r="AF319">
        <v>24.623062000000001</v>
      </c>
      <c r="AG319">
        <v>25.287203000000002</v>
      </c>
    </row>
    <row r="320" spans="1:33" x14ac:dyDescent="0.25">
      <c r="A320" s="1">
        <v>44371</v>
      </c>
      <c r="B320">
        <v>20.279104</v>
      </c>
      <c r="C320">
        <v>21.424703999999998</v>
      </c>
      <c r="D320">
        <v>20.256170000000001</v>
      </c>
      <c r="E320">
        <v>20.026405</v>
      </c>
      <c r="F320">
        <v>20.817633000000001</v>
      </c>
      <c r="G320">
        <v>20.982438999999999</v>
      </c>
      <c r="H320">
        <v>20.201141</v>
      </c>
      <c r="I320">
        <v>20.323336000000001</v>
      </c>
      <c r="J320">
        <v>22.454619999999998</v>
      </c>
      <c r="K320">
        <v>22.667435000000001</v>
      </c>
      <c r="L320">
        <v>22.923660000000002</v>
      </c>
      <c r="M320">
        <v>21.100224000000001</v>
      </c>
      <c r="N320">
        <v>21.467085000000001</v>
      </c>
      <c r="O320">
        <v>22.922761999999999</v>
      </c>
      <c r="P320">
        <v>22.423131999999999</v>
      </c>
      <c r="Q320">
        <v>21.072431999999999</v>
      </c>
      <c r="R320">
        <v>22.762121</v>
      </c>
      <c r="S320">
        <v>20.094923000000001</v>
      </c>
      <c r="T320">
        <v>22.111826000000001</v>
      </c>
      <c r="U320">
        <v>24.006632</v>
      </c>
      <c r="V320">
        <v>22.806266999999998</v>
      </c>
      <c r="W320">
        <v>23.898294</v>
      </c>
      <c r="X320">
        <v>23.294896999999999</v>
      </c>
      <c r="Y320">
        <v>25.094698000000001</v>
      </c>
      <c r="Z320">
        <v>24.073235</v>
      </c>
      <c r="AA320">
        <v>25.343176</v>
      </c>
      <c r="AB320">
        <v>25.185648</v>
      </c>
      <c r="AC320">
        <v>23.492308000000001</v>
      </c>
      <c r="AD320">
        <v>23.399467000000001</v>
      </c>
      <c r="AE320">
        <v>19.332747000000001</v>
      </c>
      <c r="AF320">
        <v>24.895123999999999</v>
      </c>
      <c r="AG320">
        <v>25.114601</v>
      </c>
    </row>
    <row r="321" spans="1:33" x14ac:dyDescent="0.25">
      <c r="A321" s="1">
        <v>44372</v>
      </c>
      <c r="B321">
        <v>20.098579999999998</v>
      </c>
      <c r="C321">
        <v>21.305423999999999</v>
      </c>
      <c r="D321">
        <v>20.010262999999998</v>
      </c>
      <c r="E321">
        <v>19.858381000000001</v>
      </c>
      <c r="F321">
        <v>20.715025000000001</v>
      </c>
      <c r="G321">
        <v>20.892454000000001</v>
      </c>
      <c r="H321">
        <v>20.164515000000002</v>
      </c>
      <c r="I321">
        <v>20.078274</v>
      </c>
      <c r="J321">
        <v>22.496880999999998</v>
      </c>
      <c r="K321">
        <v>22.605156000000001</v>
      </c>
      <c r="L321">
        <v>22.831627000000001</v>
      </c>
      <c r="M321">
        <v>20.995191999999999</v>
      </c>
      <c r="N321">
        <v>21.284168000000001</v>
      </c>
      <c r="O321">
        <v>22.806764999999999</v>
      </c>
      <c r="P321">
        <v>22.286608000000001</v>
      </c>
      <c r="Q321">
        <v>20.973005000000001</v>
      </c>
      <c r="R321">
        <v>22.659230999999998</v>
      </c>
      <c r="S321">
        <v>19.805579999999999</v>
      </c>
      <c r="T321">
        <v>21.862563999999999</v>
      </c>
      <c r="U321">
        <v>23.723897999999998</v>
      </c>
      <c r="V321">
        <v>22.494309999999999</v>
      </c>
      <c r="W321">
        <v>23.775031999999999</v>
      </c>
      <c r="X321">
        <v>22.951097000000001</v>
      </c>
      <c r="Y321">
        <v>24.787489000000001</v>
      </c>
      <c r="Z321">
        <v>23.866571</v>
      </c>
      <c r="AA321">
        <v>25.421854</v>
      </c>
      <c r="AB321">
        <v>24.921227999999999</v>
      </c>
      <c r="AC321">
        <v>23.179237000000001</v>
      </c>
      <c r="AD321">
        <v>23.270807000000001</v>
      </c>
      <c r="AE321">
        <v>19.348516</v>
      </c>
      <c r="AF321">
        <v>25.146308999999999</v>
      </c>
      <c r="AG321">
        <v>25.116372999999999</v>
      </c>
    </row>
    <row r="322" spans="1:33" x14ac:dyDescent="0.25">
      <c r="A322" s="1">
        <v>44373</v>
      </c>
      <c r="B322">
        <v>20.349903000000001</v>
      </c>
      <c r="C322">
        <v>21.469263000000002</v>
      </c>
      <c r="D322">
        <v>20.040289000000001</v>
      </c>
      <c r="E322">
        <v>20.037195000000001</v>
      </c>
      <c r="F322">
        <v>20.929213000000001</v>
      </c>
      <c r="G322">
        <v>20.990364</v>
      </c>
      <c r="H322">
        <v>20.305821999999999</v>
      </c>
      <c r="I322">
        <v>20.408003000000001</v>
      </c>
      <c r="J322">
        <v>23.075548000000001</v>
      </c>
      <c r="K322">
        <v>22.728292</v>
      </c>
      <c r="L322">
        <v>23.081265999999999</v>
      </c>
      <c r="M322">
        <v>21.131564999999998</v>
      </c>
      <c r="N322">
        <v>21.408719999999999</v>
      </c>
      <c r="O322">
        <v>23.041222000000001</v>
      </c>
      <c r="P322">
        <v>22.405462</v>
      </c>
      <c r="Q322">
        <v>21.086859</v>
      </c>
      <c r="R322">
        <v>22.857724999999999</v>
      </c>
      <c r="S322">
        <v>20.272034000000001</v>
      </c>
      <c r="T322">
        <v>21.999998000000001</v>
      </c>
      <c r="U322">
        <v>23.928408000000001</v>
      </c>
      <c r="V322">
        <v>22.613264000000001</v>
      </c>
      <c r="W322">
        <v>24.005576999999999</v>
      </c>
      <c r="X322">
        <v>23.053816000000001</v>
      </c>
      <c r="Y322">
        <v>24.750471000000001</v>
      </c>
      <c r="Z322">
        <v>24.035395000000001</v>
      </c>
      <c r="AA322">
        <v>25.726921000000001</v>
      </c>
      <c r="AB322">
        <v>24.939475999999999</v>
      </c>
      <c r="AC322">
        <v>23.100125999999999</v>
      </c>
      <c r="AD322">
        <v>23.457799999999999</v>
      </c>
      <c r="AE322">
        <v>19.822966000000001</v>
      </c>
      <c r="AF322">
        <v>25.447695</v>
      </c>
      <c r="AG322">
        <v>25.468810000000001</v>
      </c>
    </row>
    <row r="323" spans="1:33" x14ac:dyDescent="0.25">
      <c r="A323" s="1">
        <v>44374</v>
      </c>
      <c r="B323">
        <v>20.536370000000002</v>
      </c>
      <c r="C323">
        <v>21.65709</v>
      </c>
      <c r="D323">
        <v>20.152287999999999</v>
      </c>
      <c r="E323">
        <v>20.281849999999999</v>
      </c>
      <c r="F323">
        <v>21.09646</v>
      </c>
      <c r="G323">
        <v>21.182005</v>
      </c>
      <c r="H323">
        <v>20.418911000000001</v>
      </c>
      <c r="I323">
        <v>20.663694</v>
      </c>
      <c r="J323">
        <v>23.78463</v>
      </c>
      <c r="K323">
        <v>22.942892000000001</v>
      </c>
      <c r="L323">
        <v>23.524847000000001</v>
      </c>
      <c r="M323">
        <v>21.328802</v>
      </c>
      <c r="N323">
        <v>21.564589999999999</v>
      </c>
      <c r="O323">
        <v>23.383278000000001</v>
      </c>
      <c r="P323">
        <v>22.636927</v>
      </c>
      <c r="Q323">
        <v>21.294447000000002</v>
      </c>
      <c r="R323">
        <v>23.160515</v>
      </c>
      <c r="S323">
        <v>20.822431999999999</v>
      </c>
      <c r="T323">
        <v>22.22655</v>
      </c>
      <c r="U323">
        <v>24.235382000000001</v>
      </c>
      <c r="V323">
        <v>22.79101</v>
      </c>
      <c r="W323">
        <v>24.213919000000001</v>
      </c>
      <c r="X323">
        <v>23.250050999999999</v>
      </c>
      <c r="Y323">
        <v>24.740364</v>
      </c>
      <c r="Z323">
        <v>24.412168999999999</v>
      </c>
      <c r="AA323">
        <v>26.112494000000002</v>
      </c>
      <c r="AB323">
        <v>24.982137999999999</v>
      </c>
      <c r="AC323">
        <v>23.320150000000002</v>
      </c>
      <c r="AD323">
        <v>23.797049000000001</v>
      </c>
      <c r="AE323">
        <v>20.07949</v>
      </c>
      <c r="AF323">
        <v>25.689705</v>
      </c>
      <c r="AG323">
        <v>25.532242</v>
      </c>
    </row>
    <row r="324" spans="1:33" x14ac:dyDescent="0.25">
      <c r="A324" s="1">
        <v>44375</v>
      </c>
      <c r="B324">
        <v>20.794955999999999</v>
      </c>
      <c r="C324">
        <v>21.718641000000002</v>
      </c>
      <c r="D324">
        <v>20.272945</v>
      </c>
      <c r="E324">
        <v>20.526160000000001</v>
      </c>
      <c r="F324">
        <v>21.163329999999998</v>
      </c>
      <c r="G324">
        <v>21.308260000000001</v>
      </c>
      <c r="H324">
        <v>20.551447</v>
      </c>
      <c r="I324">
        <v>20.851229</v>
      </c>
      <c r="J324">
        <v>23.842081</v>
      </c>
      <c r="K324">
        <v>23.022819999999999</v>
      </c>
      <c r="L324">
        <v>23.615805000000002</v>
      </c>
      <c r="M324">
        <v>21.441744</v>
      </c>
      <c r="N324">
        <v>21.658735</v>
      </c>
      <c r="O324">
        <v>23.39744</v>
      </c>
      <c r="P324">
        <v>22.713638</v>
      </c>
      <c r="Q324">
        <v>21.400293000000001</v>
      </c>
      <c r="R324">
        <v>23.256529</v>
      </c>
      <c r="S324">
        <v>21.053259000000001</v>
      </c>
      <c r="T324">
        <v>22.413930000000001</v>
      </c>
      <c r="U324">
        <v>24.284220000000001</v>
      </c>
      <c r="V324">
        <v>22.861595000000001</v>
      </c>
      <c r="W324">
        <v>24.466674999999999</v>
      </c>
      <c r="X324">
        <v>23.321344</v>
      </c>
      <c r="Y324">
        <v>24.420808999999998</v>
      </c>
      <c r="Z324">
        <v>24.435994999999998</v>
      </c>
      <c r="AA324">
        <v>26.351386999999999</v>
      </c>
      <c r="AB324">
        <v>24.728377999999999</v>
      </c>
      <c r="AC324">
        <v>23.304877999999999</v>
      </c>
      <c r="AD324">
        <v>23.965689000000001</v>
      </c>
      <c r="AE324">
        <v>20.16168</v>
      </c>
      <c r="AF324">
        <v>25.76079</v>
      </c>
      <c r="AG324">
        <v>25.354654</v>
      </c>
    </row>
    <row r="325" spans="1:33" x14ac:dyDescent="0.25">
      <c r="A325" s="1">
        <v>44376</v>
      </c>
      <c r="B325">
        <v>21.128285999999999</v>
      </c>
      <c r="C325">
        <v>21.929801999999999</v>
      </c>
      <c r="D325">
        <v>20.486889999999999</v>
      </c>
      <c r="E325">
        <v>20.832346000000001</v>
      </c>
      <c r="F325">
        <v>21.358582999999999</v>
      </c>
      <c r="G325">
        <v>21.494520000000001</v>
      </c>
      <c r="H325">
        <v>20.723486000000001</v>
      </c>
      <c r="I325">
        <v>21.101835000000001</v>
      </c>
      <c r="J325">
        <v>24.143547000000002</v>
      </c>
      <c r="K325">
        <v>23.179403000000001</v>
      </c>
      <c r="L325">
        <v>23.897359999999999</v>
      </c>
      <c r="M325">
        <v>21.635508000000002</v>
      </c>
      <c r="N325">
        <v>21.862870999999998</v>
      </c>
      <c r="O325">
        <v>23.723671</v>
      </c>
      <c r="P325">
        <v>22.875048</v>
      </c>
      <c r="Q325">
        <v>21.598562000000001</v>
      </c>
      <c r="R325">
        <v>23.553823000000001</v>
      </c>
      <c r="S325">
        <v>21.262513999999999</v>
      </c>
      <c r="T325">
        <v>22.691452000000002</v>
      </c>
      <c r="U325">
        <v>24.791893000000002</v>
      </c>
      <c r="V325">
        <v>23.271184999999999</v>
      </c>
      <c r="W325">
        <v>24.709892</v>
      </c>
      <c r="X325">
        <v>23.775991000000001</v>
      </c>
      <c r="Y325">
        <v>24.147148000000001</v>
      </c>
      <c r="Z325">
        <v>24.541086</v>
      </c>
      <c r="AA325">
        <v>26.516302</v>
      </c>
      <c r="AB325">
        <v>24.501397999999998</v>
      </c>
      <c r="AC325">
        <v>23.354616</v>
      </c>
      <c r="AD325">
        <v>24.230619999999998</v>
      </c>
      <c r="AE325">
        <v>19.976203999999999</v>
      </c>
      <c r="AF325">
        <v>25.752196999999999</v>
      </c>
      <c r="AG325">
        <v>25.388684999999999</v>
      </c>
    </row>
    <row r="326" spans="1:33" x14ac:dyDescent="0.25">
      <c r="A326" s="1">
        <v>44377</v>
      </c>
      <c r="B326">
        <v>21.548642999999998</v>
      </c>
      <c r="C326">
        <v>22.206026000000001</v>
      </c>
      <c r="D326">
        <v>20.807473999999999</v>
      </c>
      <c r="E326">
        <v>21.172293</v>
      </c>
      <c r="F326">
        <v>21.6617</v>
      </c>
      <c r="G326">
        <v>21.778691999999999</v>
      </c>
      <c r="H326">
        <v>20.984919000000001</v>
      </c>
      <c r="I326">
        <v>21.415624999999999</v>
      </c>
      <c r="J326">
        <v>24.758469999999999</v>
      </c>
      <c r="K326">
        <v>23.481031000000002</v>
      </c>
      <c r="L326">
        <v>24.365729999999999</v>
      </c>
      <c r="M326">
        <v>21.907183</v>
      </c>
      <c r="N326">
        <v>22.29335</v>
      </c>
      <c r="O326">
        <v>24.103987</v>
      </c>
      <c r="P326">
        <v>23.201108999999999</v>
      </c>
      <c r="Q326">
        <v>21.93159</v>
      </c>
      <c r="R326">
        <v>23.954687</v>
      </c>
      <c r="S326">
        <v>21.732025</v>
      </c>
      <c r="T326">
        <v>23.165479999999999</v>
      </c>
      <c r="U326">
        <v>25.126657000000002</v>
      </c>
      <c r="V326">
        <v>24.080919999999999</v>
      </c>
      <c r="W326">
        <v>24.766584000000002</v>
      </c>
      <c r="X326">
        <v>24.590775000000001</v>
      </c>
      <c r="Y326">
        <v>24.289664999999999</v>
      </c>
      <c r="Z326">
        <v>24.941068999999999</v>
      </c>
      <c r="AA326">
        <v>26.859938</v>
      </c>
      <c r="AB326">
        <v>24.648599999999998</v>
      </c>
      <c r="AC326">
        <v>23.90081</v>
      </c>
      <c r="AD326">
        <v>24.611656</v>
      </c>
      <c r="AE326">
        <v>19.793721999999999</v>
      </c>
      <c r="AF326">
        <v>25.77009</v>
      </c>
      <c r="AG326">
        <v>25.581603999999999</v>
      </c>
    </row>
    <row r="327" spans="1:33" x14ac:dyDescent="0.25">
      <c r="A327" s="1">
        <v>44378</v>
      </c>
      <c r="B327">
        <v>21.619705</v>
      </c>
      <c r="C327">
        <v>22.254149999999999</v>
      </c>
      <c r="D327">
        <v>20.977056999999999</v>
      </c>
      <c r="E327">
        <v>21.293393999999999</v>
      </c>
      <c r="F327">
        <v>21.654654000000001</v>
      </c>
      <c r="G327">
        <v>21.862814</v>
      </c>
      <c r="H327">
        <v>21.061098000000001</v>
      </c>
      <c r="I327">
        <v>21.200869000000001</v>
      </c>
      <c r="J327">
        <v>24.893142999999998</v>
      </c>
      <c r="K327">
        <v>23.696024000000001</v>
      </c>
      <c r="L327">
        <v>24.633275999999999</v>
      </c>
      <c r="M327">
        <v>22.021661999999999</v>
      </c>
      <c r="N327">
        <v>22.52373</v>
      </c>
      <c r="O327">
        <v>24.336378</v>
      </c>
      <c r="P327">
        <v>23.404402000000001</v>
      </c>
      <c r="Q327">
        <v>22.095894000000001</v>
      </c>
      <c r="R327">
        <v>24.198</v>
      </c>
      <c r="S327">
        <v>21.285813999999998</v>
      </c>
      <c r="T327">
        <v>23.395796000000001</v>
      </c>
      <c r="U327">
        <v>25.122187</v>
      </c>
      <c r="V327">
        <v>24.385117999999999</v>
      </c>
      <c r="W327">
        <v>24.720147999999998</v>
      </c>
      <c r="X327">
        <v>24.654724000000002</v>
      </c>
      <c r="Y327">
        <v>24.386437999999998</v>
      </c>
      <c r="Z327">
        <v>25.176469999999998</v>
      </c>
      <c r="AA327">
        <v>27.110185999999999</v>
      </c>
      <c r="AB327">
        <v>24.837976000000001</v>
      </c>
      <c r="AC327">
        <v>24.457419999999999</v>
      </c>
      <c r="AD327">
        <v>24.890198000000002</v>
      </c>
      <c r="AE327">
        <v>19.616108000000001</v>
      </c>
      <c r="AF327">
        <v>25.766562</v>
      </c>
      <c r="AG327">
        <v>25.778185000000001</v>
      </c>
    </row>
    <row r="328" spans="1:33" x14ac:dyDescent="0.25">
      <c r="A328" s="1">
        <v>44379</v>
      </c>
      <c r="B328">
        <v>21.845849999999999</v>
      </c>
      <c r="C328">
        <v>22.321000000000002</v>
      </c>
      <c r="D328">
        <v>21.10736</v>
      </c>
      <c r="E328">
        <v>21.421852000000001</v>
      </c>
      <c r="F328">
        <v>21.790341999999999</v>
      </c>
      <c r="G328">
        <v>21.888237</v>
      </c>
      <c r="H328">
        <v>21.101116000000001</v>
      </c>
      <c r="I328">
        <v>21.081274000000001</v>
      </c>
      <c r="J328">
        <v>24.771666</v>
      </c>
      <c r="K328">
        <v>23.847414000000001</v>
      </c>
      <c r="L328">
        <v>24.748716000000002</v>
      </c>
      <c r="M328">
        <v>22.114882000000001</v>
      </c>
      <c r="N328">
        <v>22.715399000000001</v>
      </c>
      <c r="O328">
        <v>24.482530000000001</v>
      </c>
      <c r="P328">
        <v>23.567667</v>
      </c>
      <c r="Q328">
        <v>22.191269999999999</v>
      </c>
      <c r="R328">
        <v>24.343298000000001</v>
      </c>
      <c r="S328">
        <v>21.145679999999999</v>
      </c>
      <c r="T328">
        <v>23.526176</v>
      </c>
      <c r="U328">
        <v>24.914732000000001</v>
      </c>
      <c r="V328">
        <v>24.378602999999998</v>
      </c>
      <c r="W328">
        <v>24.808502000000001</v>
      </c>
      <c r="X328">
        <v>24.563134999999999</v>
      </c>
      <c r="Y328">
        <v>24.725577999999999</v>
      </c>
      <c r="Z328">
        <v>25.241350000000001</v>
      </c>
      <c r="AA328">
        <v>27.211957999999999</v>
      </c>
      <c r="AB328">
        <v>25.195976000000002</v>
      </c>
      <c r="AC328">
        <v>25.049612</v>
      </c>
      <c r="AD328">
        <v>25.055137999999999</v>
      </c>
      <c r="AE328">
        <v>19.791746</v>
      </c>
      <c r="AF328">
        <v>25.803647999999999</v>
      </c>
      <c r="AG328">
        <v>26.229246</v>
      </c>
    </row>
    <row r="329" spans="1:33" x14ac:dyDescent="0.25">
      <c r="A329" s="1">
        <v>44380</v>
      </c>
      <c r="B329">
        <v>21.740767999999999</v>
      </c>
      <c r="C329">
        <v>22.202570000000001</v>
      </c>
      <c r="D329">
        <v>21.108595000000001</v>
      </c>
      <c r="E329">
        <v>21.376944999999999</v>
      </c>
      <c r="F329">
        <v>21.724909</v>
      </c>
      <c r="G329">
        <v>21.797882000000001</v>
      </c>
      <c r="H329">
        <v>21.003988</v>
      </c>
      <c r="I329">
        <v>20.638186000000001</v>
      </c>
      <c r="J329">
        <v>24.336760000000002</v>
      </c>
      <c r="K329">
        <v>23.838094999999999</v>
      </c>
      <c r="L329">
        <v>24.578551999999998</v>
      </c>
      <c r="M329">
        <v>22.058769999999999</v>
      </c>
      <c r="N329">
        <v>22.597719999999999</v>
      </c>
      <c r="O329">
        <v>24.393201999999999</v>
      </c>
      <c r="P329">
        <v>23.559486</v>
      </c>
      <c r="Q329">
        <v>22.126846</v>
      </c>
      <c r="R329">
        <v>24.248756</v>
      </c>
      <c r="S329">
        <v>20.891684000000001</v>
      </c>
      <c r="T329">
        <v>23.341524</v>
      </c>
      <c r="U329">
        <v>24.67661</v>
      </c>
      <c r="V329">
        <v>23.934968999999999</v>
      </c>
      <c r="W329">
        <v>24.720644</v>
      </c>
      <c r="X329">
        <v>24.270085999999999</v>
      </c>
      <c r="Y329">
        <v>25.046811999999999</v>
      </c>
      <c r="Z329">
        <v>25.107620000000001</v>
      </c>
      <c r="AA329">
        <v>27.223852000000001</v>
      </c>
      <c r="AB329">
        <v>25.757988000000001</v>
      </c>
      <c r="AC329">
        <v>25.183070000000001</v>
      </c>
      <c r="AD329">
        <v>25.005490999999999</v>
      </c>
      <c r="AE329">
        <v>19.679247</v>
      </c>
      <c r="AF329">
        <v>25.864325000000001</v>
      </c>
      <c r="AG329">
        <v>26.647549999999999</v>
      </c>
    </row>
    <row r="330" spans="1:33" x14ac:dyDescent="0.25">
      <c r="A330" s="1">
        <v>44381</v>
      </c>
      <c r="B330">
        <v>21.598580999999999</v>
      </c>
      <c r="C330">
        <v>22.02262</v>
      </c>
      <c r="D330">
        <v>21.064513999999999</v>
      </c>
      <c r="E330">
        <v>21.292631</v>
      </c>
      <c r="F330">
        <v>21.600859</v>
      </c>
      <c r="G330">
        <v>21.674734000000001</v>
      </c>
      <c r="H330">
        <v>20.820332000000001</v>
      </c>
      <c r="I330">
        <v>20.250910000000001</v>
      </c>
      <c r="J330">
        <v>23.810037999999999</v>
      </c>
      <c r="K330">
        <v>23.736197000000001</v>
      </c>
      <c r="L330">
        <v>24.309629999999999</v>
      </c>
      <c r="M330">
        <v>21.96041</v>
      </c>
      <c r="N330">
        <v>22.358795000000001</v>
      </c>
      <c r="O330">
        <v>24.174264999999998</v>
      </c>
      <c r="P330">
        <v>23.431244</v>
      </c>
      <c r="Q330">
        <v>21.980855999999999</v>
      </c>
      <c r="R330">
        <v>24.009504</v>
      </c>
      <c r="S330">
        <v>20.661822999999998</v>
      </c>
      <c r="T330">
        <v>23.021585000000002</v>
      </c>
      <c r="U330">
        <v>24.573530000000002</v>
      </c>
      <c r="V330">
        <v>23.629874999999998</v>
      </c>
      <c r="W330">
        <v>24.716528</v>
      </c>
      <c r="X330">
        <v>24.043526</v>
      </c>
      <c r="Y330">
        <v>25.442446</v>
      </c>
      <c r="Z330">
        <v>24.888833999999999</v>
      </c>
      <c r="AA330">
        <v>27.154</v>
      </c>
      <c r="AB330">
        <v>25.991613000000001</v>
      </c>
      <c r="AC330">
        <v>24.958615999999999</v>
      </c>
      <c r="AD330">
        <v>24.807465000000001</v>
      </c>
      <c r="AE330">
        <v>19.754663000000001</v>
      </c>
      <c r="AF330">
        <v>25.915627000000001</v>
      </c>
      <c r="AG330">
        <v>26.953209000000001</v>
      </c>
    </row>
    <row r="331" spans="1:33" x14ac:dyDescent="0.25">
      <c r="A331" s="1">
        <v>44382</v>
      </c>
      <c r="B331">
        <v>21.495896999999999</v>
      </c>
      <c r="C331">
        <v>21.869463</v>
      </c>
      <c r="D331">
        <v>20.965357000000001</v>
      </c>
      <c r="E331">
        <v>21.151657</v>
      </c>
      <c r="F331">
        <v>21.480882999999999</v>
      </c>
      <c r="G331">
        <v>21.57077</v>
      </c>
      <c r="H331">
        <v>20.651319999999998</v>
      </c>
      <c r="I331">
        <v>20.015104000000001</v>
      </c>
      <c r="J331">
        <v>23.338923000000001</v>
      </c>
      <c r="K331">
        <v>23.580614000000001</v>
      </c>
      <c r="L331">
        <v>23.925419999999999</v>
      </c>
      <c r="M331">
        <v>21.785077999999999</v>
      </c>
      <c r="N331">
        <v>22.108927000000001</v>
      </c>
      <c r="O331">
        <v>23.846005999999999</v>
      </c>
      <c r="P331">
        <v>23.240883</v>
      </c>
      <c r="Q331">
        <v>21.798041999999999</v>
      </c>
      <c r="R331">
        <v>23.703796000000001</v>
      </c>
      <c r="S331">
        <v>20.429680000000001</v>
      </c>
      <c r="T331">
        <v>22.672411</v>
      </c>
      <c r="U331">
        <v>24.489082</v>
      </c>
      <c r="V331">
        <v>23.342402</v>
      </c>
      <c r="W331">
        <v>24.675412999999999</v>
      </c>
      <c r="X331">
        <v>23.798013999999998</v>
      </c>
      <c r="Y331">
        <v>25.516808000000001</v>
      </c>
      <c r="Z331">
        <v>24.634229999999999</v>
      </c>
      <c r="AA331">
        <v>27.016031000000002</v>
      </c>
      <c r="AB331">
        <v>26.010701999999998</v>
      </c>
      <c r="AC331">
        <v>24.534752000000001</v>
      </c>
      <c r="AD331">
        <v>24.507062999999999</v>
      </c>
      <c r="AE331">
        <v>19.887789000000001</v>
      </c>
      <c r="AF331">
        <v>25.965820000000001</v>
      </c>
      <c r="AG331">
        <v>26.881271000000002</v>
      </c>
    </row>
    <row r="332" spans="1:33" x14ac:dyDescent="0.25">
      <c r="A332" s="1">
        <v>44383</v>
      </c>
      <c r="B332">
        <v>21.201708</v>
      </c>
      <c r="C332">
        <v>21.642616</v>
      </c>
      <c r="D332">
        <v>20.690268</v>
      </c>
      <c r="E332">
        <v>20.827421000000001</v>
      </c>
      <c r="F332">
        <v>21.228687000000001</v>
      </c>
      <c r="G332">
        <v>21.429863000000001</v>
      </c>
      <c r="H332">
        <v>20.469835</v>
      </c>
      <c r="I332">
        <v>19.707381999999999</v>
      </c>
      <c r="J332">
        <v>23.149194999999999</v>
      </c>
      <c r="K332">
        <v>23.407095000000002</v>
      </c>
      <c r="L332">
        <v>23.669718</v>
      </c>
      <c r="M332">
        <v>21.627694999999999</v>
      </c>
      <c r="N332">
        <v>21.848948</v>
      </c>
      <c r="O332">
        <v>23.57601</v>
      </c>
      <c r="P332">
        <v>23.040452999999999</v>
      </c>
      <c r="Q332">
        <v>21.593332</v>
      </c>
      <c r="R332">
        <v>23.432694999999999</v>
      </c>
      <c r="S332">
        <v>20.020900000000001</v>
      </c>
      <c r="T332">
        <v>22.300965999999999</v>
      </c>
      <c r="U332">
        <v>24.449686</v>
      </c>
      <c r="V332">
        <v>23.046610000000001</v>
      </c>
      <c r="W332">
        <v>24.648437999999999</v>
      </c>
      <c r="X332">
        <v>23.561356</v>
      </c>
      <c r="Y332">
        <v>25.0977</v>
      </c>
      <c r="Z332">
        <v>24.364096</v>
      </c>
      <c r="AA332">
        <v>26.879028000000002</v>
      </c>
      <c r="AB332">
        <v>25.578035</v>
      </c>
      <c r="AC332">
        <v>23.667551</v>
      </c>
      <c r="AD332">
        <v>24.272112</v>
      </c>
      <c r="AE332">
        <v>19.591737999999999</v>
      </c>
      <c r="AF332">
        <v>26.030381999999999</v>
      </c>
      <c r="AG332">
        <v>26.384287</v>
      </c>
    </row>
    <row r="333" spans="1:33" x14ac:dyDescent="0.25">
      <c r="A333" s="1">
        <v>44384</v>
      </c>
      <c r="B333">
        <v>21.123638</v>
      </c>
      <c r="C333">
        <v>21.515947000000001</v>
      </c>
      <c r="D333">
        <v>20.474117</v>
      </c>
      <c r="E333">
        <v>20.603590000000001</v>
      </c>
      <c r="F333">
        <v>21.065543999999999</v>
      </c>
      <c r="G333">
        <v>21.306239999999999</v>
      </c>
      <c r="H333">
        <v>20.374773000000001</v>
      </c>
      <c r="I333">
        <v>19.756363</v>
      </c>
      <c r="J333">
        <v>23.430094</v>
      </c>
      <c r="K333">
        <v>23.389132</v>
      </c>
      <c r="L333">
        <v>23.650953000000001</v>
      </c>
      <c r="M333">
        <v>21.510786</v>
      </c>
      <c r="N333">
        <v>21.719080000000002</v>
      </c>
      <c r="O333">
        <v>23.537565000000001</v>
      </c>
      <c r="P333">
        <v>23.002050000000001</v>
      </c>
      <c r="Q333">
        <v>21.434044</v>
      </c>
      <c r="R333">
        <v>23.387442</v>
      </c>
      <c r="S333">
        <v>19.852423000000002</v>
      </c>
      <c r="T333">
        <v>22.115334000000001</v>
      </c>
      <c r="U333">
        <v>24.519041000000001</v>
      </c>
      <c r="V333">
        <v>22.971723999999998</v>
      </c>
      <c r="W333">
        <v>24.649560000000001</v>
      </c>
      <c r="X333">
        <v>23.549645999999999</v>
      </c>
      <c r="Y333">
        <v>24.101645000000001</v>
      </c>
      <c r="Z333">
        <v>24.215955999999998</v>
      </c>
      <c r="AA333">
        <v>26.665358000000001</v>
      </c>
      <c r="AB333">
        <v>24.582992999999998</v>
      </c>
      <c r="AC333">
        <v>22.572372000000001</v>
      </c>
      <c r="AD333">
        <v>24.172492999999999</v>
      </c>
      <c r="AE333">
        <v>19.24962</v>
      </c>
      <c r="AF333">
        <v>25.862912999999999</v>
      </c>
      <c r="AG333">
        <v>25.361435</v>
      </c>
    </row>
    <row r="334" spans="1:33" x14ac:dyDescent="0.25">
      <c r="A334" s="1">
        <v>44385</v>
      </c>
      <c r="B334">
        <v>21.362587000000001</v>
      </c>
      <c r="C334">
        <v>21.725290000000001</v>
      </c>
      <c r="D334">
        <v>20.511838999999998</v>
      </c>
      <c r="E334">
        <v>20.666822</v>
      </c>
      <c r="F334">
        <v>21.309449999999998</v>
      </c>
      <c r="G334">
        <v>21.386216999999998</v>
      </c>
      <c r="H334">
        <v>20.411549000000001</v>
      </c>
      <c r="I334">
        <v>20.283186000000001</v>
      </c>
      <c r="J334">
        <v>23.962710000000001</v>
      </c>
      <c r="K334">
        <v>23.549368000000001</v>
      </c>
      <c r="L334">
        <v>23.831769999999999</v>
      </c>
      <c r="M334">
        <v>21.614180000000001</v>
      </c>
      <c r="N334">
        <v>21.86844</v>
      </c>
      <c r="O334">
        <v>23.759419999999999</v>
      </c>
      <c r="P334">
        <v>23.115248000000001</v>
      </c>
      <c r="Q334">
        <v>21.50788</v>
      </c>
      <c r="R334">
        <v>23.566053</v>
      </c>
      <c r="S334">
        <v>20.081607999999999</v>
      </c>
      <c r="T334">
        <v>22.325647</v>
      </c>
      <c r="U334">
        <v>24.623182</v>
      </c>
      <c r="V334">
        <v>23.291457999999999</v>
      </c>
      <c r="W334">
        <v>24.596802</v>
      </c>
      <c r="X334">
        <v>23.874634</v>
      </c>
      <c r="Y334">
        <v>23.920845</v>
      </c>
      <c r="Z334">
        <v>24.389130000000002</v>
      </c>
      <c r="AA334">
        <v>26.817495000000001</v>
      </c>
      <c r="AB334">
        <v>24.390411</v>
      </c>
      <c r="AC334">
        <v>22.519373000000002</v>
      </c>
      <c r="AD334">
        <v>24.27037</v>
      </c>
      <c r="AE334">
        <v>19.293015</v>
      </c>
      <c r="AF334">
        <v>25.866056</v>
      </c>
      <c r="AG334">
        <v>25.388338000000001</v>
      </c>
    </row>
    <row r="335" spans="1:33" x14ac:dyDescent="0.25">
      <c r="A335" s="1">
        <v>44386</v>
      </c>
      <c r="B335">
        <v>21.766527</v>
      </c>
      <c r="C335">
        <v>22.36326</v>
      </c>
      <c r="D335">
        <v>20.924726</v>
      </c>
      <c r="E335">
        <v>21.077580000000001</v>
      </c>
      <c r="F335">
        <v>21.932317999999999</v>
      </c>
      <c r="G335">
        <v>21.744413000000002</v>
      </c>
      <c r="H335">
        <v>20.728570000000001</v>
      </c>
      <c r="I335">
        <v>21.457197000000001</v>
      </c>
      <c r="J335">
        <v>24.770430000000001</v>
      </c>
      <c r="K335">
        <v>23.907973999999999</v>
      </c>
      <c r="L335">
        <v>24.323951999999998</v>
      </c>
      <c r="M335">
        <v>21.991236000000001</v>
      </c>
      <c r="N335">
        <v>22.350565</v>
      </c>
      <c r="O335">
        <v>24.264396999999999</v>
      </c>
      <c r="P335">
        <v>23.491918999999999</v>
      </c>
      <c r="Q335">
        <v>21.88533</v>
      </c>
      <c r="R335">
        <v>24.006406999999999</v>
      </c>
      <c r="S335">
        <v>21.329014000000001</v>
      </c>
      <c r="T335">
        <v>22.978705999999999</v>
      </c>
      <c r="U335">
        <v>24.882586</v>
      </c>
      <c r="V335">
        <v>23.947209999999998</v>
      </c>
      <c r="W335">
        <v>24.764081999999998</v>
      </c>
      <c r="X335">
        <v>24.488150000000001</v>
      </c>
      <c r="Y335">
        <v>24.774480000000001</v>
      </c>
      <c r="Z335">
        <v>24.964639999999999</v>
      </c>
      <c r="AA335">
        <v>27.213926000000001</v>
      </c>
      <c r="AB335">
        <v>25.17897</v>
      </c>
      <c r="AC335">
        <v>23.376982000000002</v>
      </c>
      <c r="AD335">
        <v>24.643875000000001</v>
      </c>
      <c r="AE335">
        <v>19.589098</v>
      </c>
      <c r="AF335">
        <v>26.051193000000001</v>
      </c>
      <c r="AG335">
        <v>26.230103</v>
      </c>
    </row>
    <row r="336" spans="1:33" x14ac:dyDescent="0.25">
      <c r="A336" s="1">
        <v>44387</v>
      </c>
      <c r="B336">
        <v>22.267600000000002</v>
      </c>
      <c r="C336">
        <v>22.900490000000001</v>
      </c>
      <c r="D336">
        <v>21.338456999999998</v>
      </c>
      <c r="E336">
        <v>21.601738000000001</v>
      </c>
      <c r="F336">
        <v>22.330416</v>
      </c>
      <c r="G336">
        <v>22.090094000000001</v>
      </c>
      <c r="H336">
        <v>21.046782</v>
      </c>
      <c r="I336">
        <v>22.100698000000001</v>
      </c>
      <c r="J336">
        <v>25.534051999999999</v>
      </c>
      <c r="K336">
        <v>24.233067999999999</v>
      </c>
      <c r="L336">
        <v>24.828108</v>
      </c>
      <c r="M336">
        <v>22.347474999999999</v>
      </c>
      <c r="N336">
        <v>22.697141999999999</v>
      </c>
      <c r="O336">
        <v>24.733381000000001</v>
      </c>
      <c r="P336">
        <v>23.873366999999998</v>
      </c>
      <c r="Q336">
        <v>22.235610000000001</v>
      </c>
      <c r="R336">
        <v>24.444548000000001</v>
      </c>
      <c r="S336">
        <v>22.600363000000002</v>
      </c>
      <c r="T336">
        <v>23.595580999999999</v>
      </c>
      <c r="U336">
        <v>25.145009999999999</v>
      </c>
      <c r="V336">
        <v>24.439579999999999</v>
      </c>
      <c r="W336">
        <v>25.187180000000001</v>
      </c>
      <c r="X336">
        <v>24.936926</v>
      </c>
      <c r="Y336">
        <v>25.68403</v>
      </c>
      <c r="Z336">
        <v>25.599845999999999</v>
      </c>
      <c r="AA336">
        <v>27.673356999999999</v>
      </c>
      <c r="AB336">
        <v>26.054880000000001</v>
      </c>
      <c r="AC336">
        <v>24.393145000000001</v>
      </c>
      <c r="AD336">
        <v>25.078108</v>
      </c>
      <c r="AE336">
        <v>20.112648</v>
      </c>
      <c r="AF336">
        <v>26.293890000000001</v>
      </c>
      <c r="AG336">
        <v>26.979863999999999</v>
      </c>
    </row>
    <row r="337" spans="1:33" x14ac:dyDescent="0.25">
      <c r="A337" s="1">
        <v>44388</v>
      </c>
      <c r="B337">
        <v>22.376783</v>
      </c>
      <c r="C337">
        <v>23.224036999999999</v>
      </c>
      <c r="D337">
        <v>21.628579999999999</v>
      </c>
      <c r="E337">
        <v>21.878900000000002</v>
      </c>
      <c r="F337">
        <v>22.513242999999999</v>
      </c>
      <c r="G337">
        <v>22.447900000000001</v>
      </c>
      <c r="H337">
        <v>21.283881999999998</v>
      </c>
      <c r="I337">
        <v>22.309100000000001</v>
      </c>
      <c r="J337">
        <v>25.883811999999999</v>
      </c>
      <c r="K337">
        <v>24.492453000000001</v>
      </c>
      <c r="L337">
        <v>25.186440999999999</v>
      </c>
      <c r="M337">
        <v>22.682905000000002</v>
      </c>
      <c r="N337">
        <v>22.996735000000001</v>
      </c>
      <c r="O337">
        <v>25.030334</v>
      </c>
      <c r="P337">
        <v>24.167428999999998</v>
      </c>
      <c r="Q337">
        <v>22.587752999999999</v>
      </c>
      <c r="R337">
        <v>24.727242</v>
      </c>
      <c r="S337">
        <v>23.197745999999999</v>
      </c>
      <c r="T337">
        <v>23.980699999999999</v>
      </c>
      <c r="U337">
        <v>25.549500999999999</v>
      </c>
      <c r="V337">
        <v>24.647653999999999</v>
      </c>
      <c r="W337">
        <v>25.713823000000001</v>
      </c>
      <c r="X337">
        <v>25.155698999999998</v>
      </c>
      <c r="Y337">
        <v>26.133865</v>
      </c>
      <c r="Z337">
        <v>26.122482000000002</v>
      </c>
      <c r="AA337">
        <v>28.038519999999998</v>
      </c>
      <c r="AB337">
        <v>26.491700000000002</v>
      </c>
      <c r="AC337">
        <v>25.016984999999998</v>
      </c>
      <c r="AD337">
        <v>25.456121</v>
      </c>
      <c r="AE337">
        <v>20.346713999999999</v>
      </c>
      <c r="AF337">
        <v>26.511340000000001</v>
      </c>
      <c r="AG337">
        <v>27.298449000000002</v>
      </c>
    </row>
    <row r="338" spans="1:33" x14ac:dyDescent="0.25">
      <c r="A338" s="1">
        <v>44389</v>
      </c>
      <c r="B338">
        <v>21.855550000000001</v>
      </c>
      <c r="C338">
        <v>23.044280000000001</v>
      </c>
      <c r="D338">
        <v>21.420815999999999</v>
      </c>
      <c r="E338">
        <v>21.574193999999999</v>
      </c>
      <c r="F338">
        <v>22.143339999999998</v>
      </c>
      <c r="G338">
        <v>22.463411000000001</v>
      </c>
      <c r="H338">
        <v>21.111633000000001</v>
      </c>
      <c r="I338">
        <v>21.628029999999999</v>
      </c>
      <c r="J338">
        <v>25.729690000000002</v>
      </c>
      <c r="K338">
        <v>24.544577</v>
      </c>
      <c r="L338">
        <v>25.246904000000001</v>
      </c>
      <c r="M338">
        <v>22.634277000000001</v>
      </c>
      <c r="N338">
        <v>22.870697</v>
      </c>
      <c r="O338">
        <v>25.013117000000001</v>
      </c>
      <c r="P338">
        <v>24.216336999999999</v>
      </c>
      <c r="Q338">
        <v>22.58258</v>
      </c>
      <c r="R338">
        <v>24.767242</v>
      </c>
      <c r="S338">
        <v>22.155923999999999</v>
      </c>
      <c r="T338">
        <v>23.744119999999999</v>
      </c>
      <c r="U338">
        <v>25.619185999999999</v>
      </c>
      <c r="V338">
        <v>24.28773</v>
      </c>
      <c r="W338">
        <v>25.690892999999999</v>
      </c>
      <c r="X338">
        <v>24.774162</v>
      </c>
      <c r="Y338">
        <v>26.070309999999999</v>
      </c>
      <c r="Z338">
        <v>26.194227000000001</v>
      </c>
      <c r="AA338">
        <v>28.172003</v>
      </c>
      <c r="AB338">
        <v>26.483512999999999</v>
      </c>
      <c r="AC338">
        <v>24.674135</v>
      </c>
      <c r="AD338">
        <v>25.585982999999999</v>
      </c>
      <c r="AE338">
        <v>20.069513000000001</v>
      </c>
      <c r="AF338">
        <v>26.584624999999999</v>
      </c>
      <c r="AG338">
        <v>27.133002999999999</v>
      </c>
    </row>
    <row r="339" spans="1:33" x14ac:dyDescent="0.25">
      <c r="A339" s="1">
        <v>44390</v>
      </c>
      <c r="B339">
        <v>21.494713000000001</v>
      </c>
      <c r="C339">
        <v>22.641957999999999</v>
      </c>
      <c r="D339">
        <v>21.090405000000001</v>
      </c>
      <c r="E339">
        <v>21.360413000000001</v>
      </c>
      <c r="F339">
        <v>21.761824000000001</v>
      </c>
      <c r="G339">
        <v>22.313614000000001</v>
      </c>
      <c r="H339">
        <v>20.813478</v>
      </c>
      <c r="I339">
        <v>20.895330000000001</v>
      </c>
      <c r="J339">
        <v>25.25123</v>
      </c>
      <c r="K339">
        <v>24.440859</v>
      </c>
      <c r="L339">
        <v>25.128138</v>
      </c>
      <c r="M339">
        <v>22.447012000000001</v>
      </c>
      <c r="N339">
        <v>22.679113000000001</v>
      </c>
      <c r="O339">
        <v>24.870156999999999</v>
      </c>
      <c r="P339">
        <v>24.053660000000001</v>
      </c>
      <c r="Q339">
        <v>22.418917</v>
      </c>
      <c r="R339">
        <v>24.681228999999998</v>
      </c>
      <c r="S339">
        <v>20.960443000000001</v>
      </c>
      <c r="T339">
        <v>23.348611999999999</v>
      </c>
      <c r="U339">
        <v>25.383257</v>
      </c>
      <c r="V339">
        <v>23.978414999999998</v>
      </c>
      <c r="W339">
        <v>25.18496</v>
      </c>
      <c r="X339">
        <v>24.481743000000002</v>
      </c>
      <c r="Y339">
        <v>25.786629999999999</v>
      </c>
      <c r="Z339">
        <v>25.914456999999999</v>
      </c>
      <c r="AA339">
        <v>28.170991999999998</v>
      </c>
      <c r="AB339">
        <v>26.246752000000001</v>
      </c>
      <c r="AC339">
        <v>24.242401000000001</v>
      </c>
      <c r="AD339">
        <v>25.577964999999999</v>
      </c>
      <c r="AE339">
        <v>19.66452</v>
      </c>
      <c r="AF339">
        <v>26.549233999999998</v>
      </c>
      <c r="AG339">
        <v>26.949476000000001</v>
      </c>
    </row>
    <row r="340" spans="1:33" x14ac:dyDescent="0.25">
      <c r="A340" s="1">
        <v>44391</v>
      </c>
      <c r="B340">
        <v>21.066607000000001</v>
      </c>
      <c r="C340">
        <v>22.299192000000001</v>
      </c>
      <c r="D340">
        <v>20.811955999999999</v>
      </c>
      <c r="E340">
        <v>21.047979999999999</v>
      </c>
      <c r="F340">
        <v>21.573837000000001</v>
      </c>
      <c r="G340">
        <v>22.109725999999998</v>
      </c>
      <c r="H340">
        <v>20.526941000000001</v>
      </c>
      <c r="I340">
        <v>20.305933</v>
      </c>
      <c r="J340">
        <v>24.542497999999998</v>
      </c>
      <c r="K340">
        <v>24.294046000000002</v>
      </c>
      <c r="L340">
        <v>24.877061999999999</v>
      </c>
      <c r="M340">
        <v>22.237546999999999</v>
      </c>
      <c r="N340">
        <v>22.500852999999999</v>
      </c>
      <c r="O340">
        <v>24.643888</v>
      </c>
      <c r="P340">
        <v>23.859480000000001</v>
      </c>
      <c r="Q340">
        <v>22.235367</v>
      </c>
      <c r="R340">
        <v>24.544198999999999</v>
      </c>
      <c r="S340">
        <v>20.157412000000001</v>
      </c>
      <c r="T340">
        <v>23.052855999999998</v>
      </c>
      <c r="U340">
        <v>24.831802</v>
      </c>
      <c r="V340">
        <v>23.794616999999999</v>
      </c>
      <c r="W340">
        <v>24.425650000000001</v>
      </c>
      <c r="X340">
        <v>24.296437999999998</v>
      </c>
      <c r="Y340">
        <v>25.697886</v>
      </c>
      <c r="Z340">
        <v>25.541429999999998</v>
      </c>
      <c r="AA340">
        <v>27.985382000000001</v>
      </c>
      <c r="AB340">
        <v>26.180067000000001</v>
      </c>
      <c r="AC340">
        <v>24.221299999999999</v>
      </c>
      <c r="AD340">
        <v>25.438063</v>
      </c>
      <c r="AE340">
        <v>19.432858</v>
      </c>
      <c r="AF340">
        <v>26.465927000000001</v>
      </c>
      <c r="AG340">
        <v>26.954353000000001</v>
      </c>
    </row>
    <row r="341" spans="1:33" x14ac:dyDescent="0.25">
      <c r="A341" s="1">
        <v>44392</v>
      </c>
      <c r="B341">
        <v>20.988610000000001</v>
      </c>
      <c r="C341">
        <v>22.096582000000001</v>
      </c>
      <c r="D341">
        <v>20.642340000000001</v>
      </c>
      <c r="E341">
        <v>20.911470000000001</v>
      </c>
      <c r="F341">
        <v>21.473420999999998</v>
      </c>
      <c r="G341">
        <v>21.970495</v>
      </c>
      <c r="H341">
        <v>20.35145</v>
      </c>
      <c r="I341">
        <v>20.197346</v>
      </c>
      <c r="J341">
        <v>24.201363000000001</v>
      </c>
      <c r="K341">
        <v>24.201674000000001</v>
      </c>
      <c r="L341">
        <v>24.828142</v>
      </c>
      <c r="M341">
        <v>22.093406999999999</v>
      </c>
      <c r="N341">
        <v>22.369532</v>
      </c>
      <c r="O341">
        <v>24.643068</v>
      </c>
      <c r="P341">
        <v>23.750897999999999</v>
      </c>
      <c r="Q341">
        <v>22.12707</v>
      </c>
      <c r="R341">
        <v>24.553553000000001</v>
      </c>
      <c r="S341">
        <v>19.892002000000002</v>
      </c>
      <c r="T341">
        <v>22.860769999999999</v>
      </c>
      <c r="U341">
        <v>24.248405000000002</v>
      </c>
      <c r="V341">
        <v>23.634202999999999</v>
      </c>
      <c r="W341">
        <v>23.894361</v>
      </c>
      <c r="X341">
        <v>24.172668000000002</v>
      </c>
      <c r="Y341">
        <v>25.483937999999998</v>
      </c>
      <c r="Z341">
        <v>25.255980999999998</v>
      </c>
      <c r="AA341">
        <v>27.659711999999999</v>
      </c>
      <c r="AB341">
        <v>26.013739999999999</v>
      </c>
      <c r="AC341">
        <v>24.338778000000001</v>
      </c>
      <c r="AD341">
        <v>25.362898000000001</v>
      </c>
      <c r="AE341">
        <v>19.142845000000001</v>
      </c>
      <c r="AF341">
        <v>26.371023000000001</v>
      </c>
      <c r="AG341">
        <v>26.689668999999999</v>
      </c>
    </row>
    <row r="342" spans="1:33" x14ac:dyDescent="0.25">
      <c r="A342" s="1">
        <v>44393</v>
      </c>
      <c r="B342">
        <v>21.093537999999999</v>
      </c>
      <c r="C342">
        <v>22.002960000000002</v>
      </c>
      <c r="D342">
        <v>20.57987</v>
      </c>
      <c r="E342">
        <v>20.864363000000001</v>
      </c>
      <c r="F342">
        <v>21.392160000000001</v>
      </c>
      <c r="G342">
        <v>21.827359999999999</v>
      </c>
      <c r="H342">
        <v>20.379078</v>
      </c>
      <c r="I342">
        <v>20.206925999999999</v>
      </c>
      <c r="J342">
        <v>24.120812999999998</v>
      </c>
      <c r="K342">
        <v>24.176760000000002</v>
      </c>
      <c r="L342">
        <v>24.832346000000001</v>
      </c>
      <c r="M342">
        <v>22.000793000000002</v>
      </c>
      <c r="N342">
        <v>22.348763000000002</v>
      </c>
      <c r="O342">
        <v>24.657242</v>
      </c>
      <c r="P342">
        <v>23.736886999999999</v>
      </c>
      <c r="Q342">
        <v>22.084786999999999</v>
      </c>
      <c r="R342">
        <v>24.599976999999999</v>
      </c>
      <c r="S342">
        <v>19.567976000000002</v>
      </c>
      <c r="T342">
        <v>22.760397000000001</v>
      </c>
      <c r="U342">
        <v>23.752707999999998</v>
      </c>
      <c r="V342">
        <v>23.617066999999999</v>
      </c>
      <c r="W342">
        <v>23.583963000000001</v>
      </c>
      <c r="X342">
        <v>24.074553000000002</v>
      </c>
      <c r="Y342">
        <v>25.007200000000001</v>
      </c>
      <c r="Z342">
        <v>24.888186000000001</v>
      </c>
      <c r="AA342">
        <v>27.41675</v>
      </c>
      <c r="AB342">
        <v>25.615670999999999</v>
      </c>
      <c r="AC342">
        <v>24.092566999999999</v>
      </c>
      <c r="AD342">
        <v>25.341408000000001</v>
      </c>
      <c r="AE342">
        <v>18.98556</v>
      </c>
      <c r="AF342">
        <v>26.209413999999999</v>
      </c>
      <c r="AG342">
        <v>26.356169000000001</v>
      </c>
    </row>
    <row r="343" spans="1:33" x14ac:dyDescent="0.25">
      <c r="A343" s="1">
        <v>44394</v>
      </c>
      <c r="B343">
        <v>21.575018</v>
      </c>
      <c r="C343">
        <v>22.345708999999999</v>
      </c>
      <c r="D343">
        <v>20.782744999999998</v>
      </c>
      <c r="E343">
        <v>21.130147999999998</v>
      </c>
      <c r="F343">
        <v>21.803688000000001</v>
      </c>
      <c r="G343">
        <v>21.881354999999999</v>
      </c>
      <c r="H343">
        <v>20.547564000000001</v>
      </c>
      <c r="I343">
        <v>20.914444</v>
      </c>
      <c r="J343">
        <v>24.447389999999999</v>
      </c>
      <c r="K343">
        <v>24.348058999999999</v>
      </c>
      <c r="L343">
        <v>25.065332000000001</v>
      </c>
      <c r="M343">
        <v>22.167577999999999</v>
      </c>
      <c r="N343">
        <v>22.657509999999998</v>
      </c>
      <c r="O343">
        <v>24.904938000000001</v>
      </c>
      <c r="P343">
        <v>23.936342</v>
      </c>
      <c r="Q343">
        <v>22.248404000000001</v>
      </c>
      <c r="R343">
        <v>24.818922000000001</v>
      </c>
      <c r="S343">
        <v>20.079423999999999</v>
      </c>
      <c r="T343">
        <v>23.041636</v>
      </c>
      <c r="U343">
        <v>23.739176</v>
      </c>
      <c r="V343">
        <v>23.747284000000001</v>
      </c>
      <c r="W343">
        <v>23.630676000000001</v>
      </c>
      <c r="X343">
        <v>24.045743999999999</v>
      </c>
      <c r="Y343">
        <v>25.029019999999999</v>
      </c>
      <c r="Z343">
        <v>25.084945999999999</v>
      </c>
      <c r="AA343">
        <v>27.346872000000001</v>
      </c>
      <c r="AB343">
        <v>25.656378</v>
      </c>
      <c r="AC343">
        <v>24.278471</v>
      </c>
      <c r="AD343">
        <v>25.478902999999999</v>
      </c>
      <c r="AE343">
        <v>19.183502000000001</v>
      </c>
      <c r="AF343">
        <v>26.12799</v>
      </c>
      <c r="AG343">
        <v>26.516767999999999</v>
      </c>
    </row>
    <row r="344" spans="1:33" x14ac:dyDescent="0.25">
      <c r="A344" s="1">
        <v>44395</v>
      </c>
      <c r="B344">
        <v>21.912666000000002</v>
      </c>
      <c r="C344">
        <v>22.636434999999999</v>
      </c>
      <c r="D344">
        <v>21.041264000000002</v>
      </c>
      <c r="E344">
        <v>21.366430000000001</v>
      </c>
      <c r="F344">
        <v>22.005731999999998</v>
      </c>
      <c r="G344">
        <v>21.942603999999999</v>
      </c>
      <c r="H344">
        <v>20.66658</v>
      </c>
      <c r="I344">
        <v>21.204115000000002</v>
      </c>
      <c r="J344">
        <v>24.636955</v>
      </c>
      <c r="K344">
        <v>24.500689000000001</v>
      </c>
      <c r="L344">
        <v>25.208670000000001</v>
      </c>
      <c r="M344">
        <v>22.295202</v>
      </c>
      <c r="N344">
        <v>22.854845000000001</v>
      </c>
      <c r="O344">
        <v>25.029164999999999</v>
      </c>
      <c r="P344">
        <v>24.117667999999998</v>
      </c>
      <c r="Q344">
        <v>22.360527000000001</v>
      </c>
      <c r="R344">
        <v>24.930776999999999</v>
      </c>
      <c r="S344">
        <v>20.654637999999998</v>
      </c>
      <c r="T344">
        <v>23.297111999999998</v>
      </c>
      <c r="U344">
        <v>23.832052000000001</v>
      </c>
      <c r="V344">
        <v>23.851133000000001</v>
      </c>
      <c r="W344">
        <v>23.984031999999999</v>
      </c>
      <c r="X344">
        <v>24.097290000000001</v>
      </c>
      <c r="Y344">
        <v>25.472366000000001</v>
      </c>
      <c r="Z344">
        <v>25.331121</v>
      </c>
      <c r="AA344">
        <v>27.356843999999999</v>
      </c>
      <c r="AB344">
        <v>26.170463999999999</v>
      </c>
      <c r="AC344">
        <v>24.397749000000001</v>
      </c>
      <c r="AD344">
        <v>25.572835999999999</v>
      </c>
      <c r="AE344">
        <v>19.227395999999999</v>
      </c>
      <c r="AF344">
        <v>26.13767</v>
      </c>
      <c r="AG344">
        <v>26.877973999999998</v>
      </c>
    </row>
    <row r="345" spans="1:33" x14ac:dyDescent="0.25">
      <c r="A345" s="1">
        <v>44396</v>
      </c>
      <c r="B345">
        <v>22.120564999999999</v>
      </c>
      <c r="C345">
        <v>22.825747</v>
      </c>
      <c r="D345">
        <v>21.290489999999998</v>
      </c>
      <c r="E345">
        <v>21.510777999999998</v>
      </c>
      <c r="F345">
        <v>22.16131</v>
      </c>
      <c r="G345">
        <v>22.017575999999998</v>
      </c>
      <c r="H345">
        <v>20.731135999999999</v>
      </c>
      <c r="I345">
        <v>21.247444000000002</v>
      </c>
      <c r="J345">
        <v>24.855629</v>
      </c>
      <c r="K345">
        <v>24.617556</v>
      </c>
      <c r="L345">
        <v>25.322512</v>
      </c>
      <c r="M345">
        <v>22.375859999999999</v>
      </c>
      <c r="N345">
        <v>22.935887999999998</v>
      </c>
      <c r="O345">
        <v>25.187643000000001</v>
      </c>
      <c r="P345">
        <v>24.289991000000001</v>
      </c>
      <c r="Q345">
        <v>22.416090000000001</v>
      </c>
      <c r="R345">
        <v>25.073378000000002</v>
      </c>
      <c r="S345">
        <v>21.223966999999998</v>
      </c>
      <c r="T345">
        <v>23.481138000000001</v>
      </c>
      <c r="U345">
        <v>24.182511999999999</v>
      </c>
      <c r="V345">
        <v>24.035791</v>
      </c>
      <c r="W345">
        <v>24.333914</v>
      </c>
      <c r="X345">
        <v>24.282522</v>
      </c>
      <c r="Y345">
        <v>26.008734</v>
      </c>
      <c r="Z345">
        <v>25.581810000000001</v>
      </c>
      <c r="AA345">
        <v>27.512664999999998</v>
      </c>
      <c r="AB345">
        <v>26.601469000000002</v>
      </c>
      <c r="AC345">
        <v>24.894822999999999</v>
      </c>
      <c r="AD345">
        <v>25.675972000000002</v>
      </c>
      <c r="AE345">
        <v>19.463287000000001</v>
      </c>
      <c r="AF345">
        <v>26.22053</v>
      </c>
      <c r="AG345">
        <v>27.248777</v>
      </c>
    </row>
    <row r="346" spans="1:33" x14ac:dyDescent="0.25">
      <c r="A346" s="1">
        <v>44397</v>
      </c>
      <c r="B346">
        <v>22.104980000000001</v>
      </c>
      <c r="C346">
        <v>22.815622000000001</v>
      </c>
      <c r="D346">
        <v>21.382055000000001</v>
      </c>
      <c r="E346">
        <v>21.484643999999999</v>
      </c>
      <c r="F346">
        <v>22.146011000000001</v>
      </c>
      <c r="G346">
        <v>22.112753000000001</v>
      </c>
      <c r="H346">
        <v>20.785488000000001</v>
      </c>
      <c r="I346">
        <v>21.351724999999998</v>
      </c>
      <c r="J346">
        <v>25.152079000000001</v>
      </c>
      <c r="K346">
        <v>24.760940000000002</v>
      </c>
      <c r="L346">
        <v>25.406659999999999</v>
      </c>
      <c r="M346">
        <v>22.416685000000001</v>
      </c>
      <c r="N346">
        <v>23.01126</v>
      </c>
      <c r="O346">
        <v>25.204428</v>
      </c>
      <c r="P346">
        <v>24.411966</v>
      </c>
      <c r="Q346">
        <v>22.47363</v>
      </c>
      <c r="R346">
        <v>25.091484000000001</v>
      </c>
      <c r="S346">
        <v>21.338975999999999</v>
      </c>
      <c r="T346">
        <v>23.500488000000001</v>
      </c>
      <c r="U346">
        <v>24.393705000000001</v>
      </c>
      <c r="V346">
        <v>24.064371000000001</v>
      </c>
      <c r="W346">
        <v>24.493438999999999</v>
      </c>
      <c r="X346">
        <v>24.345715999999999</v>
      </c>
      <c r="Y346">
        <v>26.105246000000001</v>
      </c>
      <c r="Z346">
        <v>25.697008</v>
      </c>
      <c r="AA346">
        <v>27.646232999999999</v>
      </c>
      <c r="AB346">
        <v>26.584022999999998</v>
      </c>
      <c r="AC346">
        <v>24.873992999999999</v>
      </c>
      <c r="AD346">
        <v>25.74146</v>
      </c>
      <c r="AE346">
        <v>19.387377000000001</v>
      </c>
      <c r="AF346">
        <v>26.280249999999999</v>
      </c>
      <c r="AG346">
        <v>27.051369000000001</v>
      </c>
    </row>
    <row r="347" spans="1:33" x14ac:dyDescent="0.25">
      <c r="A347" s="1">
        <v>44398</v>
      </c>
      <c r="B347">
        <v>21.930527000000001</v>
      </c>
      <c r="C347">
        <v>22.734044999999998</v>
      </c>
      <c r="D347">
        <v>21.273764</v>
      </c>
      <c r="E347">
        <v>21.335111999999999</v>
      </c>
      <c r="F347">
        <v>21.966149999999999</v>
      </c>
      <c r="G347">
        <v>22.099610999999999</v>
      </c>
      <c r="H347">
        <v>20.66281</v>
      </c>
      <c r="I347">
        <v>21.096883999999999</v>
      </c>
      <c r="J347">
        <v>25.06823</v>
      </c>
      <c r="K347">
        <v>24.761444000000001</v>
      </c>
      <c r="L347">
        <v>25.238823</v>
      </c>
      <c r="M347">
        <v>22.373536999999999</v>
      </c>
      <c r="N347">
        <v>22.893616000000002</v>
      </c>
      <c r="O347">
        <v>25.008192000000001</v>
      </c>
      <c r="P347">
        <v>24.374659000000001</v>
      </c>
      <c r="Q347">
        <v>22.394711999999998</v>
      </c>
      <c r="R347">
        <v>24.913397</v>
      </c>
      <c r="S347">
        <v>21.123004999999999</v>
      </c>
      <c r="T347">
        <v>23.32311</v>
      </c>
      <c r="U347">
        <v>24.398146000000001</v>
      </c>
      <c r="V347">
        <v>23.937543999999999</v>
      </c>
      <c r="W347">
        <v>24.363745000000002</v>
      </c>
      <c r="X347">
        <v>24.259180000000001</v>
      </c>
      <c r="Y347">
        <v>25.342206999999998</v>
      </c>
      <c r="Z347">
        <v>25.552347000000001</v>
      </c>
      <c r="AA347">
        <v>27.496737</v>
      </c>
      <c r="AB347">
        <v>25.759706000000001</v>
      </c>
      <c r="AC347">
        <v>24.095984000000001</v>
      </c>
      <c r="AD347">
        <v>25.604979</v>
      </c>
      <c r="AE347">
        <v>19.120531</v>
      </c>
      <c r="AF347">
        <v>26.154866999999999</v>
      </c>
      <c r="AG347">
        <v>26.146056999999999</v>
      </c>
    </row>
    <row r="348" spans="1:33" x14ac:dyDescent="0.25">
      <c r="A348" s="1">
        <v>44399</v>
      </c>
      <c r="B348">
        <v>21.72296</v>
      </c>
      <c r="C348">
        <v>22.770354999999999</v>
      </c>
      <c r="D348">
        <v>21.206347000000001</v>
      </c>
      <c r="E348">
        <v>21.177778</v>
      </c>
      <c r="F348">
        <v>21.998276000000001</v>
      </c>
      <c r="G348">
        <v>22.118888999999999</v>
      </c>
      <c r="H348">
        <v>20.659697999999999</v>
      </c>
      <c r="I348">
        <v>21.172915</v>
      </c>
      <c r="J348">
        <v>25.019452999999999</v>
      </c>
      <c r="K348">
        <v>24.801123</v>
      </c>
      <c r="L348">
        <v>25.165687999999999</v>
      </c>
      <c r="M348">
        <v>22.388186000000001</v>
      </c>
      <c r="N348">
        <v>22.885546000000001</v>
      </c>
      <c r="O348">
        <v>24.929894999999998</v>
      </c>
      <c r="P348">
        <v>24.327300000000001</v>
      </c>
      <c r="Q348">
        <v>22.379231999999998</v>
      </c>
      <c r="R348">
        <v>24.842988999999999</v>
      </c>
      <c r="S348">
        <v>21.086939999999998</v>
      </c>
      <c r="T348">
        <v>23.284752000000001</v>
      </c>
      <c r="U348">
        <v>24.279688</v>
      </c>
      <c r="V348">
        <v>23.943954000000002</v>
      </c>
      <c r="W348">
        <v>24.09816</v>
      </c>
      <c r="X348">
        <v>24.26455</v>
      </c>
      <c r="Y348">
        <v>25.015701</v>
      </c>
      <c r="Z348">
        <v>25.459053000000001</v>
      </c>
      <c r="AA348">
        <v>27.480596999999999</v>
      </c>
      <c r="AB348">
        <v>25.394981000000001</v>
      </c>
      <c r="AC348">
        <v>23.490666999999998</v>
      </c>
      <c r="AD348">
        <v>25.517517000000002</v>
      </c>
      <c r="AE348">
        <v>18.922049000000001</v>
      </c>
      <c r="AF348">
        <v>26.134353999999998</v>
      </c>
      <c r="AG348">
        <v>26.033899999999999</v>
      </c>
    </row>
    <row r="349" spans="1:33" x14ac:dyDescent="0.25">
      <c r="A349" s="1">
        <v>44400</v>
      </c>
      <c r="B349">
        <v>21.451073000000001</v>
      </c>
      <c r="C349">
        <v>22.796082999999999</v>
      </c>
      <c r="D349">
        <v>21.127966000000001</v>
      </c>
      <c r="E349">
        <v>21.088035999999999</v>
      </c>
      <c r="F349">
        <v>22.020012000000001</v>
      </c>
      <c r="G349">
        <v>22.161401999999999</v>
      </c>
      <c r="H349">
        <v>20.680685</v>
      </c>
      <c r="I349">
        <v>21.376196</v>
      </c>
      <c r="J349">
        <v>24.978235000000002</v>
      </c>
      <c r="K349">
        <v>24.864815</v>
      </c>
      <c r="L349">
        <v>25.154419000000001</v>
      </c>
      <c r="M349">
        <v>22.423994</v>
      </c>
      <c r="N349">
        <v>22.939889999999998</v>
      </c>
      <c r="O349">
        <v>24.959398</v>
      </c>
      <c r="P349">
        <v>24.358892000000001</v>
      </c>
      <c r="Q349">
        <v>22.412813</v>
      </c>
      <c r="R349">
        <v>24.875145</v>
      </c>
      <c r="S349">
        <v>20.99325</v>
      </c>
      <c r="T349">
        <v>23.294930999999998</v>
      </c>
      <c r="U349">
        <v>24.054214000000002</v>
      </c>
      <c r="V349">
        <v>24.017206000000002</v>
      </c>
      <c r="W349">
        <v>23.839172000000001</v>
      </c>
      <c r="X349">
        <v>24.314117</v>
      </c>
      <c r="Y349">
        <v>25.106375</v>
      </c>
      <c r="Z349">
        <v>25.463605999999999</v>
      </c>
      <c r="AA349">
        <v>27.467644</v>
      </c>
      <c r="AB349">
        <v>25.503564999999998</v>
      </c>
      <c r="AC349">
        <v>23.30423</v>
      </c>
      <c r="AD349">
        <v>25.50149</v>
      </c>
      <c r="AE349">
        <v>18.987943999999999</v>
      </c>
      <c r="AF349">
        <v>26.131772999999999</v>
      </c>
      <c r="AG349">
        <v>26.268951000000001</v>
      </c>
    </row>
    <row r="350" spans="1:33" x14ac:dyDescent="0.25">
      <c r="A350" s="1">
        <v>44401</v>
      </c>
      <c r="B350">
        <v>21.229922999999999</v>
      </c>
      <c r="C350">
        <v>22.753588000000001</v>
      </c>
      <c r="D350">
        <v>21.019276000000001</v>
      </c>
      <c r="E350">
        <v>21.011606</v>
      </c>
      <c r="F350">
        <v>21.940065000000001</v>
      </c>
      <c r="G350">
        <v>22.154219000000001</v>
      </c>
      <c r="H350">
        <v>20.533308000000002</v>
      </c>
      <c r="I350">
        <v>21.134134</v>
      </c>
      <c r="J350">
        <v>24.957277000000001</v>
      </c>
      <c r="K350">
        <v>24.855295000000002</v>
      </c>
      <c r="L350">
        <v>25.138254</v>
      </c>
      <c r="M350">
        <v>22.377058000000002</v>
      </c>
      <c r="N350">
        <v>22.825523</v>
      </c>
      <c r="O350">
        <v>24.931723000000002</v>
      </c>
      <c r="P350">
        <v>24.314675999999999</v>
      </c>
      <c r="Q350">
        <v>22.385206</v>
      </c>
      <c r="R350">
        <v>24.857863999999999</v>
      </c>
      <c r="S350">
        <v>20.966670000000001</v>
      </c>
      <c r="T350">
        <v>23.226984000000002</v>
      </c>
      <c r="U350">
        <v>23.954118999999999</v>
      </c>
      <c r="V350">
        <v>23.892289999999999</v>
      </c>
      <c r="W350">
        <v>23.928567999999999</v>
      </c>
      <c r="X350">
        <v>24.206053000000001</v>
      </c>
      <c r="Y350">
        <v>25.586984999999999</v>
      </c>
      <c r="Z350">
        <v>25.456865000000001</v>
      </c>
      <c r="AA350">
        <v>27.501329999999999</v>
      </c>
      <c r="AB350">
        <v>25.994644000000001</v>
      </c>
      <c r="AC350">
        <v>23.616488</v>
      </c>
      <c r="AD350">
        <v>25.455694000000001</v>
      </c>
      <c r="AE350">
        <v>19.219023</v>
      </c>
      <c r="AF350">
        <v>26.179649999999999</v>
      </c>
      <c r="AG350">
        <v>26.716314000000001</v>
      </c>
    </row>
    <row r="351" spans="1:33" x14ac:dyDescent="0.25">
      <c r="A351" s="1">
        <v>44402</v>
      </c>
      <c r="B351">
        <v>20.978598000000002</v>
      </c>
      <c r="C351">
        <v>22.437881000000001</v>
      </c>
      <c r="D351">
        <v>20.81832</v>
      </c>
      <c r="E351">
        <v>20.840971</v>
      </c>
      <c r="F351">
        <v>21.641770999999999</v>
      </c>
      <c r="G351">
        <v>21.990570000000002</v>
      </c>
      <c r="H351">
        <v>20.339842000000001</v>
      </c>
      <c r="I351">
        <v>20.671087</v>
      </c>
      <c r="J351">
        <v>24.394655</v>
      </c>
      <c r="K351">
        <v>24.638601000000001</v>
      </c>
      <c r="L351">
        <v>24.822395</v>
      </c>
      <c r="M351">
        <v>22.169846</v>
      </c>
      <c r="N351">
        <v>22.54194</v>
      </c>
      <c r="O351">
        <v>24.628865999999999</v>
      </c>
      <c r="P351">
        <v>24.053008999999999</v>
      </c>
      <c r="Q351">
        <v>22.196335000000001</v>
      </c>
      <c r="R351">
        <v>24.585840000000001</v>
      </c>
      <c r="S351">
        <v>20.722394999999999</v>
      </c>
      <c r="T351">
        <v>22.922530999999999</v>
      </c>
      <c r="U351">
        <v>23.938347</v>
      </c>
      <c r="V351">
        <v>23.450377</v>
      </c>
      <c r="W351">
        <v>23.945131</v>
      </c>
      <c r="X351">
        <v>23.769613</v>
      </c>
      <c r="Y351">
        <v>25.900891999999999</v>
      </c>
      <c r="Z351">
        <v>25.177047999999999</v>
      </c>
      <c r="AA351">
        <v>27.47156</v>
      </c>
      <c r="AB351">
        <v>26.291505999999998</v>
      </c>
      <c r="AC351">
        <v>23.987096999999999</v>
      </c>
      <c r="AD351">
        <v>25.22503</v>
      </c>
      <c r="AE351">
        <v>19.421509</v>
      </c>
      <c r="AF351">
        <v>26.218988</v>
      </c>
      <c r="AG351">
        <v>27.059652</v>
      </c>
    </row>
    <row r="352" spans="1:33" x14ac:dyDescent="0.25">
      <c r="A352" s="1">
        <v>44403</v>
      </c>
      <c r="B352">
        <v>20.449179999999998</v>
      </c>
      <c r="C352">
        <v>22.075261999999999</v>
      </c>
      <c r="D352">
        <v>20.470217000000002</v>
      </c>
      <c r="E352">
        <v>20.500895</v>
      </c>
      <c r="F352">
        <v>21.394120000000001</v>
      </c>
      <c r="G352">
        <v>21.799025</v>
      </c>
      <c r="H352">
        <v>20.113937</v>
      </c>
      <c r="I352">
        <v>20.277975000000001</v>
      </c>
      <c r="J352">
        <v>23.978096000000001</v>
      </c>
      <c r="K352">
        <v>24.35106</v>
      </c>
      <c r="L352">
        <v>24.496534</v>
      </c>
      <c r="M352">
        <v>21.952621000000001</v>
      </c>
      <c r="N352">
        <v>22.252922000000002</v>
      </c>
      <c r="O352">
        <v>24.292051000000001</v>
      </c>
      <c r="P352">
        <v>23.762535</v>
      </c>
      <c r="Q352">
        <v>21.981034999999999</v>
      </c>
      <c r="R352">
        <v>24.292511000000001</v>
      </c>
      <c r="S352">
        <v>20.211207999999999</v>
      </c>
      <c r="T352">
        <v>22.536390000000001</v>
      </c>
      <c r="U352">
        <v>23.776152</v>
      </c>
      <c r="V352">
        <v>23.04157</v>
      </c>
      <c r="W352">
        <v>23.780366999999998</v>
      </c>
      <c r="X352">
        <v>23.340263</v>
      </c>
      <c r="Y352">
        <v>25.94136</v>
      </c>
      <c r="Z352">
        <v>24.732686999999999</v>
      </c>
      <c r="AA352">
        <v>27.2988</v>
      </c>
      <c r="AB352">
        <v>26.350549999999998</v>
      </c>
      <c r="AC352">
        <v>24.034859999999998</v>
      </c>
      <c r="AD352">
        <v>24.957540000000002</v>
      </c>
      <c r="AE352">
        <v>19.345918999999999</v>
      </c>
      <c r="AF352">
        <v>26.170134000000001</v>
      </c>
      <c r="AG352">
        <v>27.122461000000001</v>
      </c>
    </row>
    <row r="353" spans="1:33" x14ac:dyDescent="0.25">
      <c r="A353" s="1">
        <v>44404</v>
      </c>
      <c r="B353">
        <v>20.511445999999999</v>
      </c>
      <c r="C353">
        <v>22.098127000000002</v>
      </c>
      <c r="D353">
        <v>20.307780999999999</v>
      </c>
      <c r="E353">
        <v>20.38719</v>
      </c>
      <c r="F353">
        <v>21.481919999999999</v>
      </c>
      <c r="G353">
        <v>21.772359999999999</v>
      </c>
      <c r="H353">
        <v>20.12847</v>
      </c>
      <c r="I353">
        <v>20.38654</v>
      </c>
      <c r="J353">
        <v>23.952797</v>
      </c>
      <c r="K353">
        <v>24.247070000000001</v>
      </c>
      <c r="L353">
        <v>24.539055000000001</v>
      </c>
      <c r="M353">
        <v>21.963418999999998</v>
      </c>
      <c r="N353">
        <v>22.251899999999999</v>
      </c>
      <c r="O353">
        <v>24.378762999999999</v>
      </c>
      <c r="P353">
        <v>23.719885000000001</v>
      </c>
      <c r="Q353">
        <v>21.941520000000001</v>
      </c>
      <c r="R353">
        <v>24.378775000000001</v>
      </c>
      <c r="S353">
        <v>20.303259000000001</v>
      </c>
      <c r="T353">
        <v>22.563448000000001</v>
      </c>
      <c r="U353">
        <v>23.897459000000001</v>
      </c>
      <c r="V353">
        <v>23.287516</v>
      </c>
      <c r="W353">
        <v>23.808479999999999</v>
      </c>
      <c r="X353">
        <v>23.59638</v>
      </c>
      <c r="Y353">
        <v>26.054987000000001</v>
      </c>
      <c r="Z353">
        <v>24.644537</v>
      </c>
      <c r="AA353">
        <v>27.165098</v>
      </c>
      <c r="AB353">
        <v>26.478567000000002</v>
      </c>
      <c r="AC353">
        <v>24.136568</v>
      </c>
      <c r="AD353">
        <v>24.995186</v>
      </c>
      <c r="AE353">
        <v>19.139063</v>
      </c>
      <c r="AF353">
        <v>26.075277</v>
      </c>
      <c r="AG353">
        <v>27.07949</v>
      </c>
    </row>
    <row r="354" spans="1:33" x14ac:dyDescent="0.25">
      <c r="A354" s="1">
        <v>44405</v>
      </c>
      <c r="B354">
        <v>21.108426999999999</v>
      </c>
      <c r="C354">
        <v>22.388249999999999</v>
      </c>
      <c r="D354">
        <v>20.649317</v>
      </c>
      <c r="E354">
        <v>20.856200000000001</v>
      </c>
      <c r="F354">
        <v>21.849297</v>
      </c>
      <c r="G354">
        <v>21.919409999999999</v>
      </c>
      <c r="H354">
        <v>20.309972999999999</v>
      </c>
      <c r="I354">
        <v>21.16534</v>
      </c>
      <c r="J354">
        <v>24.204325000000001</v>
      </c>
      <c r="K354">
        <v>24.306234</v>
      </c>
      <c r="L354">
        <v>24.664694000000001</v>
      </c>
      <c r="M354">
        <v>22.123619999999999</v>
      </c>
      <c r="N354">
        <v>22.463294999999999</v>
      </c>
      <c r="O354">
        <v>24.483725</v>
      </c>
      <c r="P354">
        <v>23.8337</v>
      </c>
      <c r="Q354">
        <v>22.141953999999998</v>
      </c>
      <c r="R354">
        <v>24.475034999999998</v>
      </c>
      <c r="S354">
        <v>21.205755</v>
      </c>
      <c r="T354">
        <v>22.939444000000002</v>
      </c>
      <c r="U354">
        <v>24.086784000000002</v>
      </c>
      <c r="V354">
        <v>23.602781</v>
      </c>
      <c r="W354">
        <v>23.769929999999999</v>
      </c>
      <c r="X354">
        <v>23.930437000000001</v>
      </c>
      <c r="Y354">
        <v>26.32094</v>
      </c>
      <c r="Z354">
        <v>24.661511999999998</v>
      </c>
      <c r="AA354">
        <v>27.104545999999999</v>
      </c>
      <c r="AB354">
        <v>26.756796000000001</v>
      </c>
      <c r="AC354">
        <v>24.565428000000001</v>
      </c>
      <c r="AD354">
        <v>25.055109000000002</v>
      </c>
      <c r="AE354">
        <v>19.228982999999999</v>
      </c>
      <c r="AF354">
        <v>26.038338</v>
      </c>
      <c r="AG354">
        <v>27.100961999999999</v>
      </c>
    </row>
    <row r="355" spans="1:33" x14ac:dyDescent="0.25">
      <c r="A355" s="1">
        <v>44406</v>
      </c>
      <c r="B355">
        <v>21.436295000000001</v>
      </c>
      <c r="C355">
        <v>22.461134000000001</v>
      </c>
      <c r="D355">
        <v>20.951488000000001</v>
      </c>
      <c r="E355">
        <v>21.254079999999998</v>
      </c>
      <c r="F355">
        <v>21.907143000000001</v>
      </c>
      <c r="G355">
        <v>22.012293</v>
      </c>
      <c r="H355">
        <v>20.431557000000002</v>
      </c>
      <c r="I355">
        <v>21.226400000000002</v>
      </c>
      <c r="J355">
        <v>24.357025</v>
      </c>
      <c r="K355">
        <v>24.265585000000002</v>
      </c>
      <c r="L355">
        <v>24.655397000000001</v>
      </c>
      <c r="M355">
        <v>22.195032000000001</v>
      </c>
      <c r="N355">
        <v>22.452964999999999</v>
      </c>
      <c r="O355">
        <v>24.484922000000001</v>
      </c>
      <c r="P355">
        <v>23.78424</v>
      </c>
      <c r="Q355">
        <v>22.223343</v>
      </c>
      <c r="R355">
        <v>24.466349000000001</v>
      </c>
      <c r="S355">
        <v>21.556383</v>
      </c>
      <c r="T355">
        <v>23.065484999999999</v>
      </c>
      <c r="U355">
        <v>23.926825000000001</v>
      </c>
      <c r="V355">
        <v>23.653814000000001</v>
      </c>
      <c r="W355">
        <v>23.451426000000001</v>
      </c>
      <c r="X355">
        <v>24.079222000000001</v>
      </c>
      <c r="Y355">
        <v>26.395492999999998</v>
      </c>
      <c r="Z355">
        <v>24.753311</v>
      </c>
      <c r="AA355">
        <v>27.259274999999999</v>
      </c>
      <c r="AB355">
        <v>26.885439000000002</v>
      </c>
      <c r="AC355">
        <v>25.211217999999999</v>
      </c>
      <c r="AD355">
        <v>25.052658000000001</v>
      </c>
      <c r="AE355">
        <v>19.617397</v>
      </c>
      <c r="AF355">
        <v>26.191269999999999</v>
      </c>
      <c r="AG355">
        <v>27.310648</v>
      </c>
    </row>
    <row r="356" spans="1:33" x14ac:dyDescent="0.25">
      <c r="A356" s="1">
        <v>44407</v>
      </c>
      <c r="B356">
        <v>21.989082</v>
      </c>
      <c r="C356">
        <v>22.623749</v>
      </c>
      <c r="D356">
        <v>21.250302999999999</v>
      </c>
      <c r="E356">
        <v>21.587745999999999</v>
      </c>
      <c r="F356">
        <v>22.048304000000002</v>
      </c>
      <c r="G356">
        <v>22.103484999999999</v>
      </c>
      <c r="H356">
        <v>20.633897999999999</v>
      </c>
      <c r="I356">
        <v>21.341760000000001</v>
      </c>
      <c r="J356">
        <v>24.611916000000001</v>
      </c>
      <c r="K356">
        <v>24.274480000000001</v>
      </c>
      <c r="L356">
        <v>24.772482</v>
      </c>
      <c r="M356">
        <v>22.327570000000001</v>
      </c>
      <c r="N356">
        <v>22.568262000000001</v>
      </c>
      <c r="O356">
        <v>24.597867999999998</v>
      </c>
      <c r="P356">
        <v>23.810009999999998</v>
      </c>
      <c r="Q356">
        <v>22.347632999999998</v>
      </c>
      <c r="R356">
        <v>24.542304999999999</v>
      </c>
      <c r="S356">
        <v>21.963225999999999</v>
      </c>
      <c r="T356">
        <v>23.297419000000001</v>
      </c>
      <c r="U356">
        <v>23.667694000000001</v>
      </c>
      <c r="V356">
        <v>23.904509000000001</v>
      </c>
      <c r="W356">
        <v>23.404267999999998</v>
      </c>
      <c r="X356">
        <v>24.334854</v>
      </c>
      <c r="Y356">
        <v>26.425111999999999</v>
      </c>
      <c r="Z356">
        <v>24.916792000000001</v>
      </c>
      <c r="AA356">
        <v>27.465661999999998</v>
      </c>
      <c r="AB356">
        <v>27.009184000000001</v>
      </c>
      <c r="AC356">
        <v>25.935555999999998</v>
      </c>
      <c r="AD356">
        <v>25.163584</v>
      </c>
      <c r="AE356">
        <v>19.728434</v>
      </c>
      <c r="AF356">
        <v>26.404093</v>
      </c>
      <c r="AG356">
        <v>27.602373</v>
      </c>
    </row>
    <row r="357" spans="1:33" x14ac:dyDescent="0.25">
      <c r="A357" s="1">
        <v>44408</v>
      </c>
      <c r="B357">
        <v>21.89415</v>
      </c>
      <c r="C357">
        <v>22.467873000000001</v>
      </c>
      <c r="D357">
        <v>21.286792999999999</v>
      </c>
      <c r="E357">
        <v>21.583580000000001</v>
      </c>
      <c r="F357">
        <v>21.877500000000001</v>
      </c>
      <c r="G357">
        <v>22.074282</v>
      </c>
      <c r="H357">
        <v>20.659134000000002</v>
      </c>
      <c r="I357">
        <v>20.890940000000001</v>
      </c>
      <c r="J357">
        <v>24.363814999999999</v>
      </c>
      <c r="K357">
        <v>24.186056000000001</v>
      </c>
      <c r="L357">
        <v>24.667435000000001</v>
      </c>
      <c r="M357">
        <v>22.303000000000001</v>
      </c>
      <c r="N357">
        <v>22.494026000000002</v>
      </c>
      <c r="O357">
        <v>24.467499</v>
      </c>
      <c r="P357">
        <v>23.732862000000001</v>
      </c>
      <c r="Q357">
        <v>22.332159999999998</v>
      </c>
      <c r="R357">
        <v>24.417297000000001</v>
      </c>
      <c r="S357">
        <v>21.338114000000001</v>
      </c>
      <c r="T357">
        <v>23.158228000000001</v>
      </c>
      <c r="U357">
        <v>23.441452000000002</v>
      </c>
      <c r="V357">
        <v>23.695250999999999</v>
      </c>
      <c r="W357">
        <v>23.452324000000001</v>
      </c>
      <c r="X357">
        <v>23.973569999999999</v>
      </c>
      <c r="Y357">
        <v>26.426877999999999</v>
      </c>
      <c r="Z357">
        <v>24.840814999999999</v>
      </c>
      <c r="AA357">
        <v>27.517624000000001</v>
      </c>
      <c r="AB357">
        <v>27.1267</v>
      </c>
      <c r="AC357">
        <v>26.284414000000002</v>
      </c>
      <c r="AD357">
        <v>25.146180999999999</v>
      </c>
      <c r="AE357">
        <v>19.684605000000001</v>
      </c>
      <c r="AF357">
        <v>26.581629</v>
      </c>
      <c r="AG357">
        <v>27.752901000000001</v>
      </c>
    </row>
    <row r="358" spans="1:33" x14ac:dyDescent="0.25">
      <c r="A358" s="1">
        <v>44409</v>
      </c>
      <c r="B358">
        <v>21.794813000000001</v>
      </c>
      <c r="C358">
        <v>22.27919</v>
      </c>
      <c r="D358">
        <v>21.211061000000001</v>
      </c>
      <c r="E358">
        <v>21.479303000000002</v>
      </c>
      <c r="F358">
        <v>21.734521999999998</v>
      </c>
      <c r="G358">
        <v>21.929459000000001</v>
      </c>
      <c r="H358">
        <v>20.691390999999999</v>
      </c>
      <c r="I358">
        <v>20.502365000000001</v>
      </c>
      <c r="J358">
        <v>23.644030000000001</v>
      </c>
      <c r="K358">
        <v>23.963007000000001</v>
      </c>
      <c r="L358">
        <v>24.32798</v>
      </c>
      <c r="M358">
        <v>22.210477999999998</v>
      </c>
      <c r="N358">
        <v>22.337350000000001</v>
      </c>
      <c r="O358">
        <v>24.19774</v>
      </c>
      <c r="P358">
        <v>23.556374000000002</v>
      </c>
      <c r="Q358">
        <v>22.202376999999998</v>
      </c>
      <c r="R358">
        <v>24.140373</v>
      </c>
      <c r="S358">
        <v>20.806063000000002</v>
      </c>
      <c r="T358">
        <v>22.834848000000001</v>
      </c>
      <c r="U358">
        <v>23.398302000000001</v>
      </c>
      <c r="V358">
        <v>23.234072000000001</v>
      </c>
      <c r="W358">
        <v>23.517433</v>
      </c>
      <c r="X358">
        <v>23.385802999999999</v>
      </c>
      <c r="Y358">
        <v>26.461656999999999</v>
      </c>
      <c r="Z358">
        <v>24.616683999999999</v>
      </c>
      <c r="AA358">
        <v>27.333511000000001</v>
      </c>
      <c r="AB358">
        <v>27.194944</v>
      </c>
      <c r="AC358">
        <v>25.899048000000001</v>
      </c>
      <c r="AD358">
        <v>24.893301000000001</v>
      </c>
      <c r="AE358">
        <v>19.757062999999999</v>
      </c>
      <c r="AF358">
        <v>26.596214</v>
      </c>
      <c r="AG358">
        <v>27.789494999999999</v>
      </c>
    </row>
    <row r="359" spans="1:33" x14ac:dyDescent="0.25">
      <c r="A359" s="1">
        <v>44410</v>
      </c>
      <c r="B359">
        <v>21.594635</v>
      </c>
      <c r="C359">
        <v>22.081886000000001</v>
      </c>
      <c r="D359">
        <v>21.068276999999998</v>
      </c>
      <c r="E359">
        <v>21.312452</v>
      </c>
      <c r="F359">
        <v>21.597035999999999</v>
      </c>
      <c r="G359">
        <v>21.715001999999998</v>
      </c>
      <c r="H359">
        <v>20.638365</v>
      </c>
      <c r="I359">
        <v>20.255896</v>
      </c>
      <c r="J359">
        <v>22.996012</v>
      </c>
      <c r="K359">
        <v>23.718057999999999</v>
      </c>
      <c r="L359">
        <v>23.910019999999999</v>
      </c>
      <c r="M359">
        <v>21.988955000000001</v>
      </c>
      <c r="N359">
        <v>22.092272000000001</v>
      </c>
      <c r="O359">
        <v>23.894938</v>
      </c>
      <c r="P359">
        <v>23.324629000000002</v>
      </c>
      <c r="Q359">
        <v>21.927728999999999</v>
      </c>
      <c r="R359">
        <v>23.833649999999999</v>
      </c>
      <c r="S359">
        <v>20.282457000000001</v>
      </c>
      <c r="T359">
        <v>22.514177</v>
      </c>
      <c r="U359">
        <v>23.439444999999999</v>
      </c>
      <c r="V359">
        <v>22.960932</v>
      </c>
      <c r="W359">
        <v>23.378647000000001</v>
      </c>
      <c r="X359">
        <v>23.167176999999999</v>
      </c>
      <c r="Y359">
        <v>26.362684000000002</v>
      </c>
      <c r="Z359">
        <v>24.300673</v>
      </c>
      <c r="AA359">
        <v>27.027977</v>
      </c>
      <c r="AB359">
        <v>27.046151999999999</v>
      </c>
      <c r="AC359">
        <v>24.946290000000001</v>
      </c>
      <c r="AD359">
        <v>24.536028000000002</v>
      </c>
      <c r="AE359">
        <v>19.445377000000001</v>
      </c>
      <c r="AF359">
        <v>26.536394000000001</v>
      </c>
      <c r="AG359">
        <v>27.508783000000001</v>
      </c>
    </row>
    <row r="360" spans="1:33" x14ac:dyDescent="0.25">
      <c r="A360" s="1">
        <v>44411</v>
      </c>
      <c r="B360">
        <v>21.796135</v>
      </c>
      <c r="C360">
        <v>22.016891000000001</v>
      </c>
      <c r="D360">
        <v>21.108619999999998</v>
      </c>
      <c r="E360">
        <v>21.339303999999998</v>
      </c>
      <c r="F360">
        <v>21.605616000000001</v>
      </c>
      <c r="G360">
        <v>21.621835999999998</v>
      </c>
      <c r="H360">
        <v>20.604689</v>
      </c>
      <c r="I360">
        <v>20.247893999999999</v>
      </c>
      <c r="J360">
        <v>22.968498</v>
      </c>
      <c r="K360">
        <v>23.592538999999999</v>
      </c>
      <c r="L360">
        <v>23.770325</v>
      </c>
      <c r="M360">
        <v>21.840147000000002</v>
      </c>
      <c r="N360">
        <v>21.939634000000002</v>
      </c>
      <c r="O360">
        <v>23.750945999999999</v>
      </c>
      <c r="P360">
        <v>23.202165999999998</v>
      </c>
      <c r="Q360">
        <v>21.761710999999998</v>
      </c>
      <c r="R360">
        <v>23.684801</v>
      </c>
      <c r="S360">
        <v>20.107745999999999</v>
      </c>
      <c r="T360">
        <v>22.397580999999999</v>
      </c>
      <c r="U360">
        <v>23.401275999999999</v>
      </c>
      <c r="V360">
        <v>22.982492000000001</v>
      </c>
      <c r="W360">
        <v>23.515809999999998</v>
      </c>
      <c r="X360">
        <v>23.314675999999999</v>
      </c>
      <c r="Y360">
        <v>26.354430000000001</v>
      </c>
      <c r="Z360">
        <v>24.196693</v>
      </c>
      <c r="AA360">
        <v>26.845839999999999</v>
      </c>
      <c r="AB360">
        <v>26.931189</v>
      </c>
      <c r="AC360">
        <v>24.142804999999999</v>
      </c>
      <c r="AD360">
        <v>24.314862999999999</v>
      </c>
      <c r="AE360">
        <v>19.048459999999999</v>
      </c>
      <c r="AF360">
        <v>26.538934999999999</v>
      </c>
      <c r="AG360">
        <v>27.130056</v>
      </c>
    </row>
    <row r="361" spans="1:33" x14ac:dyDescent="0.25">
      <c r="A361" s="1">
        <v>44412</v>
      </c>
      <c r="B361">
        <v>21.576156999999998</v>
      </c>
      <c r="C361">
        <v>21.773904999999999</v>
      </c>
      <c r="D361">
        <v>21.016407000000001</v>
      </c>
      <c r="E361">
        <v>21.171457</v>
      </c>
      <c r="F361">
        <v>21.311657</v>
      </c>
      <c r="G361">
        <v>21.523674</v>
      </c>
      <c r="H361">
        <v>20.461283000000002</v>
      </c>
      <c r="I361">
        <v>19.911337</v>
      </c>
      <c r="J361">
        <v>23.071266000000001</v>
      </c>
      <c r="K361">
        <v>23.476531999999999</v>
      </c>
      <c r="L361">
        <v>23.654902</v>
      </c>
      <c r="M361">
        <v>21.696992999999999</v>
      </c>
      <c r="N361">
        <v>21.748480000000001</v>
      </c>
      <c r="O361">
        <v>23.548922000000001</v>
      </c>
      <c r="P361">
        <v>23.046522</v>
      </c>
      <c r="Q361">
        <v>21.610389999999999</v>
      </c>
      <c r="R361">
        <v>23.483511</v>
      </c>
      <c r="S361">
        <v>19.962959999999999</v>
      </c>
      <c r="T361">
        <v>22.168970000000002</v>
      </c>
      <c r="U361">
        <v>23.474823000000001</v>
      </c>
      <c r="V361">
        <v>22.785367999999998</v>
      </c>
      <c r="W361">
        <v>23.737601999999999</v>
      </c>
      <c r="X361">
        <v>23.147085000000001</v>
      </c>
      <c r="Y361">
        <v>25.845495</v>
      </c>
      <c r="Z361">
        <v>24.038834000000001</v>
      </c>
      <c r="AA361">
        <v>26.731842</v>
      </c>
      <c r="AB361">
        <v>26.333082000000001</v>
      </c>
      <c r="AC361">
        <v>23.528389000000001</v>
      </c>
      <c r="AD361">
        <v>24.104611999999999</v>
      </c>
      <c r="AE361">
        <v>18.722624</v>
      </c>
      <c r="AF361">
        <v>26.530745</v>
      </c>
      <c r="AG361">
        <v>26.630507000000001</v>
      </c>
    </row>
    <row r="362" spans="1:33" x14ac:dyDescent="0.25">
      <c r="A362" s="1">
        <v>44413</v>
      </c>
      <c r="B362">
        <v>21.206713000000001</v>
      </c>
      <c r="C362">
        <v>21.451395000000002</v>
      </c>
      <c r="D362">
        <v>20.741641999999999</v>
      </c>
      <c r="E362">
        <v>20.843343999999998</v>
      </c>
      <c r="F362">
        <v>21.034685</v>
      </c>
      <c r="G362">
        <v>21.249434000000001</v>
      </c>
      <c r="H362">
        <v>20.382276999999998</v>
      </c>
      <c r="I362">
        <v>19.697668</v>
      </c>
      <c r="J362">
        <v>22.857717999999998</v>
      </c>
      <c r="K362">
        <v>23.248837999999999</v>
      </c>
      <c r="L362">
        <v>23.357603000000001</v>
      </c>
      <c r="M362">
        <v>21.434721</v>
      </c>
      <c r="N362">
        <v>21.533304000000001</v>
      </c>
      <c r="O362">
        <v>23.284490000000002</v>
      </c>
      <c r="P362">
        <v>22.797910000000002</v>
      </c>
      <c r="Q362">
        <v>21.342623</v>
      </c>
      <c r="R362">
        <v>23.219511000000001</v>
      </c>
      <c r="S362">
        <v>19.565508000000001</v>
      </c>
      <c r="T362">
        <v>21.907349</v>
      </c>
      <c r="U362">
        <v>23.429628000000001</v>
      </c>
      <c r="V362">
        <v>22.505877000000002</v>
      </c>
      <c r="W362">
        <v>23.555672000000001</v>
      </c>
      <c r="X362">
        <v>22.83013</v>
      </c>
      <c r="Y362">
        <v>24.958300000000001</v>
      </c>
      <c r="Z362">
        <v>23.678903999999999</v>
      </c>
      <c r="AA362">
        <v>26.53227</v>
      </c>
      <c r="AB362">
        <v>25.530097999999999</v>
      </c>
      <c r="AC362">
        <v>22.514462999999999</v>
      </c>
      <c r="AD362">
        <v>23.893844999999999</v>
      </c>
      <c r="AE362">
        <v>18.774363999999998</v>
      </c>
      <c r="AF362">
        <v>26.413360000000001</v>
      </c>
      <c r="AG362">
        <v>25.953665000000001</v>
      </c>
    </row>
    <row r="363" spans="1:33" x14ac:dyDescent="0.25">
      <c r="A363" s="1">
        <v>44414</v>
      </c>
      <c r="B363">
        <v>21.090267000000001</v>
      </c>
      <c r="C363">
        <v>21.471101999999998</v>
      </c>
      <c r="D363">
        <v>20.613824999999999</v>
      </c>
      <c r="E363">
        <v>20.706548999999999</v>
      </c>
      <c r="F363">
        <v>21.07039</v>
      </c>
      <c r="G363">
        <v>21.220162999999999</v>
      </c>
      <c r="H363">
        <v>20.416128</v>
      </c>
      <c r="I363">
        <v>19.938528000000002</v>
      </c>
      <c r="J363">
        <v>22.889068999999999</v>
      </c>
      <c r="K363">
        <v>23.139990000000001</v>
      </c>
      <c r="L363">
        <v>23.305748000000001</v>
      </c>
      <c r="M363">
        <v>21.389364</v>
      </c>
      <c r="N363">
        <v>21.539262999999998</v>
      </c>
      <c r="O363">
        <v>23.259985</v>
      </c>
      <c r="P363">
        <v>22.72653</v>
      </c>
      <c r="Q363">
        <v>21.280987</v>
      </c>
      <c r="R363">
        <v>23.191534000000001</v>
      </c>
      <c r="S363">
        <v>19.637207</v>
      </c>
      <c r="T363">
        <v>21.887419999999999</v>
      </c>
      <c r="U363">
        <v>23.42737</v>
      </c>
      <c r="V363">
        <v>22.642469999999999</v>
      </c>
      <c r="W363">
        <v>23.432123000000001</v>
      </c>
      <c r="X363">
        <v>23.018145000000001</v>
      </c>
      <c r="Y363">
        <v>24.372055</v>
      </c>
      <c r="Z363">
        <v>23.566711000000002</v>
      </c>
      <c r="AA363">
        <v>26.245294999999999</v>
      </c>
      <c r="AB363">
        <v>24.977823000000001</v>
      </c>
      <c r="AC363">
        <v>21.456296999999999</v>
      </c>
      <c r="AD363">
        <v>23.796661</v>
      </c>
      <c r="AE363">
        <v>18.472116</v>
      </c>
      <c r="AF363">
        <v>26.041466</v>
      </c>
      <c r="AG363">
        <v>25.549942000000001</v>
      </c>
    </row>
    <row r="364" spans="1:33" x14ac:dyDescent="0.25">
      <c r="A364" s="1">
        <v>44415</v>
      </c>
      <c r="B364">
        <v>21.107051999999999</v>
      </c>
      <c r="C364">
        <v>21.655200000000001</v>
      </c>
      <c r="D364">
        <v>20.677706000000001</v>
      </c>
      <c r="E364">
        <v>20.743040000000001</v>
      </c>
      <c r="F364">
        <v>21.24775</v>
      </c>
      <c r="G364">
        <v>21.286047</v>
      </c>
      <c r="H364">
        <v>20.470317999999999</v>
      </c>
      <c r="I364">
        <v>20.451699999999999</v>
      </c>
      <c r="J364">
        <v>23.202826000000002</v>
      </c>
      <c r="K364">
        <v>23.246024999999999</v>
      </c>
      <c r="L364">
        <v>23.423463999999999</v>
      </c>
      <c r="M364">
        <v>21.441020000000002</v>
      </c>
      <c r="N364">
        <v>21.663260000000001</v>
      </c>
      <c r="O364">
        <v>23.337022999999999</v>
      </c>
      <c r="P364">
        <v>22.770240000000001</v>
      </c>
      <c r="Q364">
        <v>21.386482000000001</v>
      </c>
      <c r="R364">
        <v>23.255393999999999</v>
      </c>
      <c r="S364">
        <v>20.016787000000001</v>
      </c>
      <c r="T364">
        <v>22.064734000000001</v>
      </c>
      <c r="U364">
        <v>23.372789999999998</v>
      </c>
      <c r="V364">
        <v>22.763902999999999</v>
      </c>
      <c r="W364">
        <v>23.186616999999998</v>
      </c>
      <c r="X364">
        <v>23.113792</v>
      </c>
      <c r="Y364">
        <v>24.533287000000001</v>
      </c>
      <c r="Z364">
        <v>23.633545000000002</v>
      </c>
      <c r="AA364">
        <v>26.096733</v>
      </c>
      <c r="AB364">
        <v>25.080362000000001</v>
      </c>
      <c r="AC364">
        <v>21.202725999999998</v>
      </c>
      <c r="AD364">
        <v>23.76445</v>
      </c>
      <c r="AE364">
        <v>17.807528000000001</v>
      </c>
      <c r="AF364">
        <v>25.706458999999999</v>
      </c>
      <c r="AG364">
        <v>25.488153000000001</v>
      </c>
    </row>
    <row r="365" spans="1:33" x14ac:dyDescent="0.25">
      <c r="A365" s="1">
        <v>44416</v>
      </c>
      <c r="B365">
        <v>21.00761</v>
      </c>
      <c r="C365">
        <v>21.699432000000002</v>
      </c>
      <c r="D365">
        <v>20.635283000000001</v>
      </c>
      <c r="E365">
        <v>20.731524</v>
      </c>
      <c r="F365">
        <v>21.237310000000001</v>
      </c>
      <c r="G365">
        <v>21.308413000000002</v>
      </c>
      <c r="H365">
        <v>20.435296999999998</v>
      </c>
      <c r="I365">
        <v>20.439267999999998</v>
      </c>
      <c r="J365">
        <v>23.432112</v>
      </c>
      <c r="K365">
        <v>23.305595</v>
      </c>
      <c r="L365">
        <v>23.514745999999999</v>
      </c>
      <c r="M365">
        <v>21.450060000000001</v>
      </c>
      <c r="N365">
        <v>21.673891000000001</v>
      </c>
      <c r="O365">
        <v>23.418348000000002</v>
      </c>
      <c r="P365">
        <v>22.803953</v>
      </c>
      <c r="Q365">
        <v>21.394967999999999</v>
      </c>
      <c r="R365">
        <v>23.302316999999999</v>
      </c>
      <c r="S365">
        <v>20.217227999999999</v>
      </c>
      <c r="T365">
        <v>22.134636</v>
      </c>
      <c r="U365">
        <v>23.179499</v>
      </c>
      <c r="V365">
        <v>22.817101999999998</v>
      </c>
      <c r="W365">
        <v>22.979315</v>
      </c>
      <c r="X365">
        <v>23.17015</v>
      </c>
      <c r="Y365">
        <v>24.904741000000001</v>
      </c>
      <c r="Z365">
        <v>23.849914999999999</v>
      </c>
      <c r="AA365">
        <v>26.175232000000001</v>
      </c>
      <c r="AB365">
        <v>25.416077000000001</v>
      </c>
      <c r="AC365">
        <v>21.700372999999999</v>
      </c>
      <c r="AD365">
        <v>23.823516999999999</v>
      </c>
      <c r="AE365">
        <v>18.168644</v>
      </c>
      <c r="AF365">
        <v>25.570063000000001</v>
      </c>
      <c r="AG365">
        <v>25.747675000000001</v>
      </c>
    </row>
    <row r="366" spans="1:33" x14ac:dyDescent="0.25">
      <c r="A366" s="1">
        <v>44417</v>
      </c>
      <c r="B366">
        <v>21.189330000000002</v>
      </c>
      <c r="C366">
        <v>21.842323</v>
      </c>
      <c r="D366">
        <v>20.647942</v>
      </c>
      <c r="E366">
        <v>20.801805000000002</v>
      </c>
      <c r="F366">
        <v>21.317139999999998</v>
      </c>
      <c r="G366">
        <v>21.391953000000001</v>
      </c>
      <c r="H366">
        <v>20.438745000000001</v>
      </c>
      <c r="I366">
        <v>20.61768</v>
      </c>
      <c r="J366">
        <v>23.779305000000001</v>
      </c>
      <c r="K366">
        <v>23.427099999999999</v>
      </c>
      <c r="L366">
        <v>23.742958000000002</v>
      </c>
      <c r="M366">
        <v>21.546157999999998</v>
      </c>
      <c r="N366">
        <v>21.811154999999999</v>
      </c>
      <c r="O366">
        <v>23.639029000000001</v>
      </c>
      <c r="P366">
        <v>22.952963</v>
      </c>
      <c r="Q366">
        <v>21.489415999999999</v>
      </c>
      <c r="R366">
        <v>23.486564999999999</v>
      </c>
      <c r="S366">
        <v>20.452407999999998</v>
      </c>
      <c r="T366">
        <v>22.274781999999998</v>
      </c>
      <c r="U366">
        <v>23.074327</v>
      </c>
      <c r="V366">
        <v>22.980291000000001</v>
      </c>
      <c r="W366">
        <v>22.972300000000001</v>
      </c>
      <c r="X366">
        <v>23.341726000000001</v>
      </c>
      <c r="Y366">
        <v>25.188005</v>
      </c>
      <c r="Z366">
        <v>24.189419999999998</v>
      </c>
      <c r="AA366">
        <v>26.357430999999998</v>
      </c>
      <c r="AB366">
        <v>25.670148999999999</v>
      </c>
      <c r="AC366">
        <v>22.506758000000001</v>
      </c>
      <c r="AD366">
        <v>24.035612</v>
      </c>
      <c r="AE366">
        <v>18.788589999999999</v>
      </c>
      <c r="AF366">
        <v>25.441911999999999</v>
      </c>
      <c r="AG366">
        <v>26.090440000000001</v>
      </c>
    </row>
    <row r="367" spans="1:33" x14ac:dyDescent="0.25">
      <c r="A367" s="1">
        <v>44418</v>
      </c>
      <c r="B367">
        <v>21.276070000000001</v>
      </c>
      <c r="C367">
        <v>21.958024999999999</v>
      </c>
      <c r="D367">
        <v>20.719591000000001</v>
      </c>
      <c r="E367">
        <v>20.920252000000001</v>
      </c>
      <c r="F367">
        <v>21.358370000000001</v>
      </c>
      <c r="G367">
        <v>21.445540999999999</v>
      </c>
      <c r="H367">
        <v>20.450579000000001</v>
      </c>
      <c r="I367">
        <v>20.704930999999998</v>
      </c>
      <c r="J367">
        <v>23.711382</v>
      </c>
      <c r="K367">
        <v>23.470611999999999</v>
      </c>
      <c r="L367">
        <v>23.810130000000001</v>
      </c>
      <c r="M367">
        <v>21.58277</v>
      </c>
      <c r="N367">
        <v>21.836120000000001</v>
      </c>
      <c r="O367">
        <v>23.722152999999999</v>
      </c>
      <c r="P367">
        <v>23.026651000000001</v>
      </c>
      <c r="Q367">
        <v>21.536843999999999</v>
      </c>
      <c r="R367">
        <v>23.583390000000001</v>
      </c>
      <c r="S367">
        <v>20.666456</v>
      </c>
      <c r="T367">
        <v>22.382273000000001</v>
      </c>
      <c r="U367">
        <v>23.108741999999999</v>
      </c>
      <c r="V367">
        <v>22.992056000000002</v>
      </c>
      <c r="W367">
        <v>22.945077999999999</v>
      </c>
      <c r="X367">
        <v>23.29363</v>
      </c>
      <c r="Y367">
        <v>25.567007</v>
      </c>
      <c r="Z367">
        <v>24.342490000000002</v>
      </c>
      <c r="AA367">
        <v>26.408740000000002</v>
      </c>
      <c r="AB367">
        <v>25.992056000000002</v>
      </c>
      <c r="AC367">
        <v>23.150069999999999</v>
      </c>
      <c r="AD367">
        <v>24.146726999999998</v>
      </c>
      <c r="AE367">
        <v>18.895233000000001</v>
      </c>
      <c r="AF367">
        <v>25.282263</v>
      </c>
      <c r="AG367">
        <v>26.280214000000001</v>
      </c>
    </row>
    <row r="368" spans="1:33" x14ac:dyDescent="0.25">
      <c r="A368" s="1">
        <v>44419</v>
      </c>
      <c r="B368">
        <v>21.512388000000001</v>
      </c>
      <c r="C368">
        <v>22.111916000000001</v>
      </c>
      <c r="D368">
        <v>20.901888</v>
      </c>
      <c r="E368">
        <v>21.152075</v>
      </c>
      <c r="F368">
        <v>21.500364000000001</v>
      </c>
      <c r="G368">
        <v>21.549437999999999</v>
      </c>
      <c r="H368">
        <v>20.535426999999999</v>
      </c>
      <c r="I368">
        <v>21.031372000000001</v>
      </c>
      <c r="J368">
        <v>23.664812000000001</v>
      </c>
      <c r="K368">
        <v>23.487058999999999</v>
      </c>
      <c r="L368">
        <v>23.900686</v>
      </c>
      <c r="M368">
        <v>21.684158</v>
      </c>
      <c r="N368">
        <v>21.931235999999998</v>
      </c>
      <c r="O368">
        <v>23.789017000000001</v>
      </c>
      <c r="P368">
        <v>23.098257</v>
      </c>
      <c r="Q368">
        <v>21.638159999999999</v>
      </c>
      <c r="R368">
        <v>23.667183000000001</v>
      </c>
      <c r="S368">
        <v>21.102088999999999</v>
      </c>
      <c r="T368">
        <v>22.56006</v>
      </c>
      <c r="U368">
        <v>23.147110000000001</v>
      </c>
      <c r="V368">
        <v>23.062624</v>
      </c>
      <c r="W368">
        <v>22.963165</v>
      </c>
      <c r="X368">
        <v>23.335256999999999</v>
      </c>
      <c r="Y368">
        <v>25.892288000000001</v>
      </c>
      <c r="Z368">
        <v>24.461012</v>
      </c>
      <c r="AA368">
        <v>26.449179000000001</v>
      </c>
      <c r="AB368">
        <v>26.288122000000001</v>
      </c>
      <c r="AC368">
        <v>23.850767000000001</v>
      </c>
      <c r="AD368">
        <v>24.223103999999999</v>
      </c>
      <c r="AE368">
        <v>19.024236999999999</v>
      </c>
      <c r="AF368">
        <v>25.171282000000001</v>
      </c>
      <c r="AG368">
        <v>26.45656</v>
      </c>
    </row>
    <row r="369" spans="1:33" x14ac:dyDescent="0.25">
      <c r="A369" s="1">
        <v>44420</v>
      </c>
      <c r="B369">
        <v>21.564080000000001</v>
      </c>
      <c r="C369">
        <v>22.061575000000001</v>
      </c>
      <c r="D369">
        <v>20.965865999999998</v>
      </c>
      <c r="E369">
        <v>21.230682000000002</v>
      </c>
      <c r="F369">
        <v>21.502602</v>
      </c>
      <c r="G369">
        <v>21.632169999999999</v>
      </c>
      <c r="H369">
        <v>20.626885999999999</v>
      </c>
      <c r="I369">
        <v>20.998025999999999</v>
      </c>
      <c r="J369">
        <v>23.691088000000001</v>
      </c>
      <c r="K369">
        <v>23.431844999999999</v>
      </c>
      <c r="L369">
        <v>23.858720000000002</v>
      </c>
      <c r="M369">
        <v>21.755193999999999</v>
      </c>
      <c r="N369">
        <v>21.946881999999999</v>
      </c>
      <c r="O369">
        <v>23.677301</v>
      </c>
      <c r="P369">
        <v>23.09271</v>
      </c>
      <c r="Q369">
        <v>21.703104</v>
      </c>
      <c r="R369">
        <v>23.608131</v>
      </c>
      <c r="S369">
        <v>21.106525000000001</v>
      </c>
      <c r="T369">
        <v>22.583152999999999</v>
      </c>
      <c r="U369">
        <v>23.079094000000001</v>
      </c>
      <c r="V369">
        <v>22.994776000000002</v>
      </c>
      <c r="W369">
        <v>23.074570000000001</v>
      </c>
      <c r="X369">
        <v>23.249656999999999</v>
      </c>
      <c r="Y369">
        <v>25.697400999999999</v>
      </c>
      <c r="Z369">
        <v>24.327352999999999</v>
      </c>
      <c r="AA369">
        <v>26.482831999999998</v>
      </c>
      <c r="AB369">
        <v>26.156233</v>
      </c>
      <c r="AC369">
        <v>24.212954</v>
      </c>
      <c r="AD369">
        <v>24.209783999999999</v>
      </c>
      <c r="AE369">
        <v>19.027842</v>
      </c>
      <c r="AF369">
        <v>25.112767999999999</v>
      </c>
      <c r="AG369">
        <v>26.467894000000001</v>
      </c>
    </row>
    <row r="370" spans="1:33" x14ac:dyDescent="0.25">
      <c r="A370" s="1">
        <v>44421</v>
      </c>
      <c r="B370">
        <v>21.597801</v>
      </c>
      <c r="C370">
        <v>22.045822000000001</v>
      </c>
      <c r="D370">
        <v>20.985098000000001</v>
      </c>
      <c r="E370">
        <v>21.253584</v>
      </c>
      <c r="F370">
        <v>21.544969999999999</v>
      </c>
      <c r="G370">
        <v>21.671104</v>
      </c>
      <c r="H370">
        <v>20.75403</v>
      </c>
      <c r="I370">
        <v>20.966996999999999</v>
      </c>
      <c r="J370">
        <v>23.917036</v>
      </c>
      <c r="K370">
        <v>23.443090000000002</v>
      </c>
      <c r="L370">
        <v>23.933454999999999</v>
      </c>
      <c r="M370">
        <v>21.822296000000001</v>
      </c>
      <c r="N370">
        <v>22.013544</v>
      </c>
      <c r="O370">
        <v>23.709700000000002</v>
      </c>
      <c r="P370">
        <v>23.139849000000002</v>
      </c>
      <c r="Q370">
        <v>21.769310000000001</v>
      </c>
      <c r="R370">
        <v>23.656687000000002</v>
      </c>
      <c r="S370">
        <v>20.817250999999999</v>
      </c>
      <c r="T370">
        <v>22.50254</v>
      </c>
      <c r="U370">
        <v>23.138162999999999</v>
      </c>
      <c r="V370">
        <v>22.876066000000002</v>
      </c>
      <c r="W370">
        <v>23.22043</v>
      </c>
      <c r="X370">
        <v>23.090285999999999</v>
      </c>
      <c r="Y370">
        <v>25.104136</v>
      </c>
      <c r="Z370">
        <v>24.144957000000002</v>
      </c>
      <c r="AA370">
        <v>26.454719999999998</v>
      </c>
      <c r="AB370">
        <v>25.659866000000001</v>
      </c>
      <c r="AC370">
        <v>24.222525000000001</v>
      </c>
      <c r="AD370">
        <v>24.269559999999998</v>
      </c>
      <c r="AE370">
        <v>18.962</v>
      </c>
      <c r="AF370">
        <v>25.053664999999999</v>
      </c>
      <c r="AG370">
        <v>26.189551999999999</v>
      </c>
    </row>
    <row r="371" spans="1:33" x14ac:dyDescent="0.25">
      <c r="A371" s="1">
        <v>44422</v>
      </c>
      <c r="B371">
        <v>21.873999000000001</v>
      </c>
      <c r="C371">
        <v>22.240492</v>
      </c>
      <c r="D371">
        <v>21.159157</v>
      </c>
      <c r="E371">
        <v>21.430056</v>
      </c>
      <c r="F371">
        <v>21.702387000000002</v>
      </c>
      <c r="G371">
        <v>21.767769000000001</v>
      </c>
      <c r="H371">
        <v>20.966844999999999</v>
      </c>
      <c r="I371">
        <v>21.245977</v>
      </c>
      <c r="J371">
        <v>24.251000999999999</v>
      </c>
      <c r="K371">
        <v>23.531015</v>
      </c>
      <c r="L371">
        <v>24.108032000000001</v>
      </c>
      <c r="M371">
        <v>21.970627</v>
      </c>
      <c r="N371">
        <v>22.17848</v>
      </c>
      <c r="O371">
        <v>23.841791000000001</v>
      </c>
      <c r="P371">
        <v>23.235772999999998</v>
      </c>
      <c r="Q371">
        <v>21.944959999999998</v>
      </c>
      <c r="R371">
        <v>23.796806</v>
      </c>
      <c r="S371">
        <v>20.973707000000001</v>
      </c>
      <c r="T371">
        <v>22.592665</v>
      </c>
      <c r="U371">
        <v>23.51361</v>
      </c>
      <c r="V371">
        <v>22.981508000000002</v>
      </c>
      <c r="W371">
        <v>23.466588999999999</v>
      </c>
      <c r="X371">
        <v>23.237725999999999</v>
      </c>
      <c r="Y371">
        <v>24.780197000000001</v>
      </c>
      <c r="Z371">
        <v>24.200904999999999</v>
      </c>
      <c r="AA371">
        <v>26.500264999999999</v>
      </c>
      <c r="AB371">
        <v>25.420835</v>
      </c>
      <c r="AC371">
        <v>24.294968000000001</v>
      </c>
      <c r="AD371">
        <v>24.414919000000001</v>
      </c>
      <c r="AE371">
        <v>18.972981999999998</v>
      </c>
      <c r="AF371">
        <v>25.21303</v>
      </c>
      <c r="AG371">
        <v>26.236754999999999</v>
      </c>
    </row>
    <row r="372" spans="1:33" x14ac:dyDescent="0.25">
      <c r="A372" s="1">
        <v>44423</v>
      </c>
      <c r="B372">
        <v>22.055834000000001</v>
      </c>
      <c r="C372">
        <v>22.369046999999998</v>
      </c>
      <c r="D372">
        <v>21.321974000000001</v>
      </c>
      <c r="E372">
        <v>21.583466000000001</v>
      </c>
      <c r="F372">
        <v>21.808937</v>
      </c>
      <c r="G372">
        <v>21.829124</v>
      </c>
      <c r="H372">
        <v>21.061682000000001</v>
      </c>
      <c r="I372">
        <v>21.1538</v>
      </c>
      <c r="J372">
        <v>24.456171000000001</v>
      </c>
      <c r="K372">
        <v>23.662697000000001</v>
      </c>
      <c r="L372">
        <v>24.252859999999998</v>
      </c>
      <c r="M372">
        <v>22.090105000000001</v>
      </c>
      <c r="N372">
        <v>22.275503</v>
      </c>
      <c r="O372">
        <v>24.005362999999999</v>
      </c>
      <c r="P372">
        <v>23.339714000000001</v>
      </c>
      <c r="Q372">
        <v>22.054209</v>
      </c>
      <c r="R372">
        <v>23.939644000000001</v>
      </c>
      <c r="S372">
        <v>21.179069999999999</v>
      </c>
      <c r="T372">
        <v>22.728615000000001</v>
      </c>
      <c r="U372">
        <v>23.588529999999999</v>
      </c>
      <c r="V372">
        <v>23.156233</v>
      </c>
      <c r="W372">
        <v>23.344736000000001</v>
      </c>
      <c r="X372">
        <v>23.450959999999998</v>
      </c>
      <c r="Y372">
        <v>24.975770000000001</v>
      </c>
      <c r="Z372">
        <v>24.348725999999999</v>
      </c>
      <c r="AA372">
        <v>26.586614999999998</v>
      </c>
      <c r="AB372">
        <v>25.696169000000001</v>
      </c>
      <c r="AC372">
        <v>24.352888</v>
      </c>
      <c r="AD372">
        <v>24.529398</v>
      </c>
      <c r="AE372">
        <v>20.107595</v>
      </c>
      <c r="AF372">
        <v>25.429114999999999</v>
      </c>
      <c r="AG372">
        <v>26.569336</v>
      </c>
    </row>
    <row r="373" spans="1:33" x14ac:dyDescent="0.25">
      <c r="A373" s="1">
        <v>44424</v>
      </c>
      <c r="B373">
        <v>22.440159999999999</v>
      </c>
      <c r="C373">
        <v>22.652466</v>
      </c>
      <c r="D373">
        <v>21.580828</v>
      </c>
      <c r="E373">
        <v>21.798372000000001</v>
      </c>
      <c r="F373">
        <v>22.138252000000001</v>
      </c>
      <c r="G373">
        <v>21.986879999999999</v>
      </c>
      <c r="H373">
        <v>21.193655</v>
      </c>
      <c r="I373">
        <v>21.510819999999999</v>
      </c>
      <c r="J373">
        <v>24.768910999999999</v>
      </c>
      <c r="K373">
        <v>23.851011</v>
      </c>
      <c r="L373">
        <v>24.464022</v>
      </c>
      <c r="M373">
        <v>22.307144000000001</v>
      </c>
      <c r="N373">
        <v>22.490122</v>
      </c>
      <c r="O373">
        <v>24.255716</v>
      </c>
      <c r="P373">
        <v>23.546544999999998</v>
      </c>
      <c r="Q373">
        <v>22.242912</v>
      </c>
      <c r="R373">
        <v>24.151602</v>
      </c>
      <c r="S373">
        <v>21.724678000000001</v>
      </c>
      <c r="T373">
        <v>23.029242</v>
      </c>
      <c r="U373">
        <v>23.522760000000002</v>
      </c>
      <c r="V373">
        <v>23.538789999999999</v>
      </c>
      <c r="W373">
        <v>23.474226000000002</v>
      </c>
      <c r="X373">
        <v>23.861886999999999</v>
      </c>
      <c r="Y373">
        <v>25.312629999999999</v>
      </c>
      <c r="Z373">
        <v>24.54139</v>
      </c>
      <c r="AA373">
        <v>26.685676999999998</v>
      </c>
      <c r="AB373">
        <v>26.00038</v>
      </c>
      <c r="AC373">
        <v>24.454767</v>
      </c>
      <c r="AD373">
        <v>24.697870000000002</v>
      </c>
      <c r="AE373">
        <v>20.722560000000001</v>
      </c>
      <c r="AF373">
        <v>25.613005000000001</v>
      </c>
      <c r="AG373">
        <v>26.655066999999999</v>
      </c>
    </row>
    <row r="374" spans="1:33" x14ac:dyDescent="0.25">
      <c r="A374" s="1">
        <v>44425</v>
      </c>
      <c r="B374">
        <v>22.332895000000001</v>
      </c>
      <c r="C374">
        <v>22.577766</v>
      </c>
      <c r="D374">
        <v>21.632164</v>
      </c>
      <c r="E374">
        <v>21.801727</v>
      </c>
      <c r="F374">
        <v>22.014496000000001</v>
      </c>
      <c r="G374">
        <v>22.019342000000002</v>
      </c>
      <c r="H374">
        <v>21.243523</v>
      </c>
      <c r="I374">
        <v>21.323782000000001</v>
      </c>
      <c r="J374">
        <v>24.752469999999999</v>
      </c>
      <c r="K374">
        <v>23.973718999999999</v>
      </c>
      <c r="L374">
        <v>24.476434999999999</v>
      </c>
      <c r="M374">
        <v>22.228487000000001</v>
      </c>
      <c r="N374">
        <v>22.485823</v>
      </c>
      <c r="O374">
        <v>24.279924000000001</v>
      </c>
      <c r="P374">
        <v>23.644669</v>
      </c>
      <c r="Q374">
        <v>22.237425000000002</v>
      </c>
      <c r="R374">
        <v>24.162127000000002</v>
      </c>
      <c r="S374">
        <v>21.549081999999999</v>
      </c>
      <c r="T374">
        <v>23.039726000000002</v>
      </c>
      <c r="U374">
        <v>23.542463000000001</v>
      </c>
      <c r="V374">
        <v>23.544976999999999</v>
      </c>
      <c r="W374">
        <v>23.531105</v>
      </c>
      <c r="X374">
        <v>23.827227000000001</v>
      </c>
      <c r="Y374">
        <v>25.012267999999999</v>
      </c>
      <c r="Z374">
        <v>24.585782999999999</v>
      </c>
      <c r="AA374">
        <v>26.427116000000002</v>
      </c>
      <c r="AB374">
        <v>25.574759</v>
      </c>
      <c r="AC374">
        <v>24.223548999999998</v>
      </c>
      <c r="AD374">
        <v>24.717928000000001</v>
      </c>
      <c r="AE374">
        <v>20.534300000000002</v>
      </c>
      <c r="AF374">
        <v>25.479277</v>
      </c>
      <c r="AG374">
        <v>25.826657999999998</v>
      </c>
    </row>
    <row r="375" spans="1:33" x14ac:dyDescent="0.25">
      <c r="A375" s="1">
        <v>44426</v>
      </c>
      <c r="B375">
        <v>21.927002000000002</v>
      </c>
      <c r="C375">
        <v>22.391843999999999</v>
      </c>
      <c r="D375">
        <v>21.466097000000001</v>
      </c>
      <c r="E375">
        <v>21.559190000000001</v>
      </c>
      <c r="F375">
        <v>21.786064</v>
      </c>
      <c r="G375">
        <v>21.958877999999999</v>
      </c>
      <c r="H375">
        <v>21.113916</v>
      </c>
      <c r="I375">
        <v>20.975832</v>
      </c>
      <c r="J375">
        <v>24.059683</v>
      </c>
      <c r="K375">
        <v>23.869630000000001</v>
      </c>
      <c r="L375">
        <v>24.191479999999999</v>
      </c>
      <c r="M375">
        <v>22.153261000000001</v>
      </c>
      <c r="N375">
        <v>22.412333</v>
      </c>
      <c r="O375">
        <v>24.068587999999998</v>
      </c>
      <c r="P375">
        <v>23.526441999999999</v>
      </c>
      <c r="Q375">
        <v>22.140066000000001</v>
      </c>
      <c r="R375">
        <v>23.99736</v>
      </c>
      <c r="S375">
        <v>20.833416</v>
      </c>
      <c r="T375">
        <v>22.836690000000001</v>
      </c>
      <c r="U375">
        <v>23.310189999999999</v>
      </c>
      <c r="V375">
        <v>23.195139000000001</v>
      </c>
      <c r="W375">
        <v>23.186937</v>
      </c>
      <c r="X375">
        <v>23.353369000000001</v>
      </c>
      <c r="Y375">
        <v>24.497675000000001</v>
      </c>
      <c r="Z375">
        <v>24.273306000000002</v>
      </c>
      <c r="AA375">
        <v>25.989038000000001</v>
      </c>
      <c r="AB375">
        <v>24.940339999999999</v>
      </c>
      <c r="AC375">
        <v>23.369972000000001</v>
      </c>
      <c r="AD375">
        <v>24.48902</v>
      </c>
      <c r="AE375">
        <v>20.307625000000002</v>
      </c>
      <c r="AF375">
        <v>25.194029</v>
      </c>
      <c r="AG375">
        <v>25.106573000000001</v>
      </c>
    </row>
    <row r="376" spans="1:33" x14ac:dyDescent="0.25">
      <c r="A376" s="1">
        <v>44427</v>
      </c>
      <c r="B376">
        <v>21.272366999999999</v>
      </c>
      <c r="C376">
        <v>22.048738</v>
      </c>
      <c r="D376">
        <v>21.098237999999998</v>
      </c>
      <c r="E376">
        <v>21.135832000000001</v>
      </c>
      <c r="F376">
        <v>21.446493</v>
      </c>
      <c r="G376">
        <v>21.714956000000001</v>
      </c>
      <c r="H376">
        <v>20.817335</v>
      </c>
      <c r="I376">
        <v>20.318356999999999</v>
      </c>
      <c r="J376">
        <v>23.115976</v>
      </c>
      <c r="K376">
        <v>23.577380000000002</v>
      </c>
      <c r="L376">
        <v>23.669958000000001</v>
      </c>
      <c r="M376">
        <v>21.882013000000001</v>
      </c>
      <c r="N376">
        <v>22.039103000000001</v>
      </c>
      <c r="O376">
        <v>23.591560000000001</v>
      </c>
      <c r="P376">
        <v>23.187798000000001</v>
      </c>
      <c r="Q376">
        <v>21.826650000000001</v>
      </c>
      <c r="R376">
        <v>23.539052999999999</v>
      </c>
      <c r="S376">
        <v>20.086102</v>
      </c>
      <c r="T376">
        <v>22.314623000000001</v>
      </c>
      <c r="U376">
        <v>22.983381000000001</v>
      </c>
      <c r="V376">
        <v>22.721048</v>
      </c>
      <c r="W376">
        <v>22.872091000000001</v>
      </c>
      <c r="X376">
        <v>22.955023000000001</v>
      </c>
      <c r="Y376">
        <v>24.244364000000001</v>
      </c>
      <c r="Z376">
        <v>23.916304</v>
      </c>
      <c r="AA376">
        <v>25.517410000000002</v>
      </c>
      <c r="AB376">
        <v>24.673376000000001</v>
      </c>
      <c r="AC376">
        <v>23.019805999999999</v>
      </c>
      <c r="AD376">
        <v>24.098082999999999</v>
      </c>
      <c r="AE376">
        <v>20.745570000000001</v>
      </c>
      <c r="AF376">
        <v>24.962213999999999</v>
      </c>
      <c r="AG376">
        <v>24.675726000000001</v>
      </c>
    </row>
    <row r="377" spans="1:33" x14ac:dyDescent="0.25">
      <c r="A377" s="1">
        <v>44428</v>
      </c>
      <c r="B377">
        <v>20.901299000000002</v>
      </c>
      <c r="C377">
        <v>21.799500999999999</v>
      </c>
      <c r="D377">
        <v>20.799553</v>
      </c>
      <c r="E377">
        <v>20.781106999999999</v>
      </c>
      <c r="F377">
        <v>21.226479999999999</v>
      </c>
      <c r="G377">
        <v>21.538157000000002</v>
      </c>
      <c r="H377">
        <v>20.581778</v>
      </c>
      <c r="I377">
        <v>19.965333999999999</v>
      </c>
      <c r="J377">
        <v>22.828355999999999</v>
      </c>
      <c r="K377">
        <v>23.428709000000001</v>
      </c>
      <c r="L377">
        <v>23.476046</v>
      </c>
      <c r="M377">
        <v>21.679102</v>
      </c>
      <c r="N377">
        <v>21.860150999999998</v>
      </c>
      <c r="O377">
        <v>23.369668999999998</v>
      </c>
      <c r="P377">
        <v>22.957266000000001</v>
      </c>
      <c r="Q377">
        <v>21.634551999999999</v>
      </c>
      <c r="R377">
        <v>23.352471999999999</v>
      </c>
      <c r="S377">
        <v>19.925363999999998</v>
      </c>
      <c r="T377">
        <v>22.079581999999998</v>
      </c>
      <c r="U377">
        <v>22.7927</v>
      </c>
      <c r="V377">
        <v>22.615095</v>
      </c>
      <c r="W377">
        <v>22.475203</v>
      </c>
      <c r="X377">
        <v>22.858604</v>
      </c>
      <c r="Y377">
        <v>24.241629</v>
      </c>
      <c r="Z377">
        <v>23.765442</v>
      </c>
      <c r="AA377">
        <v>25.260266999999999</v>
      </c>
      <c r="AB377">
        <v>24.601137000000001</v>
      </c>
      <c r="AC377">
        <v>22.778406</v>
      </c>
      <c r="AD377">
        <v>23.847587999999998</v>
      </c>
      <c r="AE377">
        <v>21.259108000000001</v>
      </c>
      <c r="AF377">
        <v>24.830925000000001</v>
      </c>
      <c r="AG377">
        <v>24.550115999999999</v>
      </c>
    </row>
    <row r="378" spans="1:33" x14ac:dyDescent="0.25">
      <c r="A378" s="1">
        <v>44429</v>
      </c>
      <c r="B378">
        <v>20.471730999999998</v>
      </c>
      <c r="C378">
        <v>21.524414</v>
      </c>
      <c r="D378">
        <v>20.445974</v>
      </c>
      <c r="E378">
        <v>20.37293</v>
      </c>
      <c r="F378">
        <v>21.006858999999999</v>
      </c>
      <c r="G378">
        <v>21.304089000000001</v>
      </c>
      <c r="H378">
        <v>20.364470000000001</v>
      </c>
      <c r="I378">
        <v>19.824162999999999</v>
      </c>
      <c r="J378">
        <v>22.561945000000001</v>
      </c>
      <c r="K378">
        <v>23.241675999999998</v>
      </c>
      <c r="L378">
        <v>23.172533000000001</v>
      </c>
      <c r="M378">
        <v>21.424799</v>
      </c>
      <c r="N378">
        <v>21.644129</v>
      </c>
      <c r="O378">
        <v>23.102930000000001</v>
      </c>
      <c r="P378">
        <v>22.721257999999999</v>
      </c>
      <c r="Q378">
        <v>21.414434</v>
      </c>
      <c r="R378">
        <v>23.075111</v>
      </c>
      <c r="S378">
        <v>19.667570000000001</v>
      </c>
      <c r="T378">
        <v>21.813745000000001</v>
      </c>
      <c r="U378">
        <v>22.208877999999999</v>
      </c>
      <c r="V378">
        <v>22.348185000000001</v>
      </c>
      <c r="W378">
        <v>21.647307999999999</v>
      </c>
      <c r="X378">
        <v>22.547628</v>
      </c>
      <c r="Y378">
        <v>24.316305</v>
      </c>
      <c r="Z378">
        <v>23.517849999999999</v>
      </c>
      <c r="AA378">
        <v>25.066880999999999</v>
      </c>
      <c r="AB378">
        <v>24.575735000000002</v>
      </c>
      <c r="AC378">
        <v>22.695404</v>
      </c>
      <c r="AD378">
        <v>23.593430000000001</v>
      </c>
      <c r="AE378">
        <v>21.238572999999999</v>
      </c>
      <c r="AF378">
        <v>24.719881000000001</v>
      </c>
      <c r="AG378">
        <v>24.504149999999999</v>
      </c>
    </row>
    <row r="379" spans="1:33" x14ac:dyDescent="0.25">
      <c r="A379" s="1">
        <v>44430</v>
      </c>
      <c r="B379">
        <v>20.241146000000001</v>
      </c>
      <c r="C379">
        <v>21.348862</v>
      </c>
      <c r="D379">
        <v>20.145548000000002</v>
      </c>
      <c r="E379">
        <v>20.134305999999999</v>
      </c>
      <c r="F379">
        <v>20.803984</v>
      </c>
      <c r="G379">
        <v>21.091670000000001</v>
      </c>
      <c r="H379">
        <v>20.168009999999999</v>
      </c>
      <c r="I379">
        <v>19.6952</v>
      </c>
      <c r="J379">
        <v>22.412414999999999</v>
      </c>
      <c r="K379">
        <v>23.049803000000001</v>
      </c>
      <c r="L379">
        <v>23.028849000000001</v>
      </c>
      <c r="M379">
        <v>21.227951000000001</v>
      </c>
      <c r="N379">
        <v>21.423974999999999</v>
      </c>
      <c r="O379">
        <v>22.965525</v>
      </c>
      <c r="P379">
        <v>22.546790999999999</v>
      </c>
      <c r="Q379">
        <v>21.211306</v>
      </c>
      <c r="R379">
        <v>22.929459999999999</v>
      </c>
      <c r="S379">
        <v>19.306894</v>
      </c>
      <c r="T379">
        <v>21.572915999999999</v>
      </c>
      <c r="U379">
        <v>21.506460000000001</v>
      </c>
      <c r="V379">
        <v>22.127725999999999</v>
      </c>
      <c r="W379">
        <v>20.980937999999998</v>
      </c>
      <c r="X379">
        <v>22.330269000000001</v>
      </c>
      <c r="Y379">
        <v>24.17999</v>
      </c>
      <c r="Z379">
        <v>23.284407000000002</v>
      </c>
      <c r="AA379">
        <v>24.915023999999999</v>
      </c>
      <c r="AB379">
        <v>24.420608999999999</v>
      </c>
      <c r="AC379">
        <v>22.659109999999998</v>
      </c>
      <c r="AD379">
        <v>23.401543</v>
      </c>
      <c r="AE379">
        <v>21.329235000000001</v>
      </c>
      <c r="AF379">
        <v>24.641456999999999</v>
      </c>
      <c r="AG379">
        <v>24.408781000000001</v>
      </c>
    </row>
    <row r="380" spans="1:33" x14ac:dyDescent="0.25">
      <c r="A380" s="1">
        <v>44431</v>
      </c>
      <c r="B380">
        <v>20.141886</v>
      </c>
      <c r="C380">
        <v>21.191412</v>
      </c>
      <c r="D380">
        <v>19.973635000000002</v>
      </c>
      <c r="E380">
        <v>19.992948999999999</v>
      </c>
      <c r="F380">
        <v>20.690011999999999</v>
      </c>
      <c r="G380">
        <v>20.958113000000001</v>
      </c>
      <c r="H380">
        <v>20.006647000000001</v>
      </c>
      <c r="I380">
        <v>19.580069000000002</v>
      </c>
      <c r="J380">
        <v>22.254781999999999</v>
      </c>
      <c r="K380">
        <v>22.887917999999999</v>
      </c>
      <c r="L380">
        <v>22.886810000000001</v>
      </c>
      <c r="M380">
        <v>21.075271999999998</v>
      </c>
      <c r="N380">
        <v>21.258614999999999</v>
      </c>
      <c r="O380">
        <v>22.823830000000001</v>
      </c>
      <c r="P380">
        <v>22.403063</v>
      </c>
      <c r="Q380">
        <v>21.064374999999998</v>
      </c>
      <c r="R380">
        <v>22.787956000000001</v>
      </c>
      <c r="S380">
        <v>19.200303999999999</v>
      </c>
      <c r="T380">
        <v>21.381516999999999</v>
      </c>
      <c r="U380">
        <v>20.963857999999998</v>
      </c>
      <c r="V380">
        <v>21.824203000000001</v>
      </c>
      <c r="W380">
        <v>20.376609999999999</v>
      </c>
      <c r="X380">
        <v>21.963464999999999</v>
      </c>
      <c r="Y380">
        <v>24.140927999999999</v>
      </c>
      <c r="Z380">
        <v>23.130503000000001</v>
      </c>
      <c r="AA380">
        <v>24.816652000000001</v>
      </c>
      <c r="AB380">
        <v>24.337883000000001</v>
      </c>
      <c r="AC380">
        <v>22.602209999999999</v>
      </c>
      <c r="AD380">
        <v>23.258687999999999</v>
      </c>
      <c r="AE380">
        <v>21.715868</v>
      </c>
      <c r="AF380">
        <v>24.597259999999999</v>
      </c>
      <c r="AG380">
        <v>24.406687000000002</v>
      </c>
    </row>
    <row r="381" spans="1:33" x14ac:dyDescent="0.25">
      <c r="A381" s="1">
        <v>44432</v>
      </c>
      <c r="B381">
        <v>19.793500000000002</v>
      </c>
      <c r="C381">
        <v>20.940560999999999</v>
      </c>
      <c r="D381">
        <v>19.665296999999999</v>
      </c>
      <c r="E381">
        <v>19.715914000000001</v>
      </c>
      <c r="F381">
        <v>20.446161</v>
      </c>
      <c r="G381">
        <v>20.767143000000001</v>
      </c>
      <c r="H381">
        <v>19.792933000000001</v>
      </c>
      <c r="I381">
        <v>19.189948999999999</v>
      </c>
      <c r="J381">
        <v>21.949439999999999</v>
      </c>
      <c r="K381">
        <v>22.656576000000001</v>
      </c>
      <c r="L381">
        <v>22.67015</v>
      </c>
      <c r="M381">
        <v>20.871552999999999</v>
      </c>
      <c r="N381">
        <v>21.004812000000001</v>
      </c>
      <c r="O381">
        <v>22.562128000000001</v>
      </c>
      <c r="P381">
        <v>22.19689</v>
      </c>
      <c r="Q381">
        <v>20.853075</v>
      </c>
      <c r="R381">
        <v>22.564012999999999</v>
      </c>
      <c r="S381">
        <v>18.826090000000001</v>
      </c>
      <c r="T381">
        <v>21.062521</v>
      </c>
      <c r="U381">
        <v>20.381146999999999</v>
      </c>
      <c r="V381">
        <v>21.354454</v>
      </c>
      <c r="W381">
        <v>20.271260000000002</v>
      </c>
      <c r="X381">
        <v>21.414252999999999</v>
      </c>
      <c r="Y381">
        <v>24.135573999999998</v>
      </c>
      <c r="Z381">
        <v>22.88194</v>
      </c>
      <c r="AA381">
        <v>24.714195</v>
      </c>
      <c r="AB381">
        <v>24.320426999999999</v>
      </c>
      <c r="AC381">
        <v>22.512373</v>
      </c>
      <c r="AD381">
        <v>23.083013999999999</v>
      </c>
      <c r="AE381">
        <v>21.833867999999999</v>
      </c>
      <c r="AF381">
        <v>24.536352000000001</v>
      </c>
      <c r="AG381">
        <v>24.424928999999999</v>
      </c>
    </row>
    <row r="382" spans="1:33" x14ac:dyDescent="0.25">
      <c r="A382" s="1">
        <v>44433</v>
      </c>
      <c r="B382">
        <v>19.569609</v>
      </c>
      <c r="C382">
        <v>20.728304000000001</v>
      </c>
      <c r="D382">
        <v>19.398008000000001</v>
      </c>
      <c r="E382">
        <v>19.464687000000001</v>
      </c>
      <c r="F382">
        <v>20.288246000000001</v>
      </c>
      <c r="G382">
        <v>20.577753000000001</v>
      </c>
      <c r="H382">
        <v>19.619720000000001</v>
      </c>
      <c r="I382">
        <v>18.85097</v>
      </c>
      <c r="J382">
        <v>21.715553</v>
      </c>
      <c r="K382">
        <v>22.458749999999998</v>
      </c>
      <c r="L382">
        <v>22.507432999999999</v>
      </c>
      <c r="M382">
        <v>20.690194999999999</v>
      </c>
      <c r="N382">
        <v>20.766425999999999</v>
      </c>
      <c r="O382">
        <v>22.355474000000001</v>
      </c>
      <c r="P382">
        <v>22.002310000000001</v>
      </c>
      <c r="Q382">
        <v>20.656488</v>
      </c>
      <c r="R382">
        <v>22.401464000000001</v>
      </c>
      <c r="S382">
        <v>18.488831999999999</v>
      </c>
      <c r="T382">
        <v>20.730298999999999</v>
      </c>
      <c r="U382">
        <v>20.527739</v>
      </c>
      <c r="V382">
        <v>20.947702</v>
      </c>
      <c r="W382">
        <v>20.716904</v>
      </c>
      <c r="X382">
        <v>20.947797999999999</v>
      </c>
      <c r="Y382">
        <v>24.147217000000001</v>
      </c>
      <c r="Z382">
        <v>22.679570999999999</v>
      </c>
      <c r="AA382">
        <v>24.636751</v>
      </c>
      <c r="AB382">
        <v>24.335626999999999</v>
      </c>
      <c r="AC382">
        <v>22.378609000000001</v>
      </c>
      <c r="AD382">
        <v>22.945136999999999</v>
      </c>
      <c r="AE382">
        <v>22.013010000000001</v>
      </c>
      <c r="AF382">
        <v>24.490461</v>
      </c>
      <c r="AG382">
        <v>24.426859</v>
      </c>
    </row>
    <row r="383" spans="1:33" x14ac:dyDescent="0.25">
      <c r="A383" s="1">
        <v>44434</v>
      </c>
      <c r="B383">
        <v>19.831302999999998</v>
      </c>
      <c r="C383">
        <v>20.857496000000001</v>
      </c>
      <c r="D383">
        <v>19.448920000000001</v>
      </c>
      <c r="E383">
        <v>19.53932</v>
      </c>
      <c r="F383">
        <v>20.423552000000001</v>
      </c>
      <c r="G383">
        <v>20.557663000000002</v>
      </c>
      <c r="H383">
        <v>19.695951000000001</v>
      </c>
      <c r="I383">
        <v>19.352620999999999</v>
      </c>
      <c r="J383">
        <v>21.955017000000002</v>
      </c>
      <c r="K383">
        <v>22.448478999999999</v>
      </c>
      <c r="L383">
        <v>22.548200000000001</v>
      </c>
      <c r="M383">
        <v>20.693397999999998</v>
      </c>
      <c r="N383">
        <v>20.838678000000002</v>
      </c>
      <c r="O383">
        <v>22.277504</v>
      </c>
      <c r="P383">
        <v>22.066177</v>
      </c>
      <c r="Q383">
        <v>20.671309000000001</v>
      </c>
      <c r="R383">
        <v>22.410489999999999</v>
      </c>
      <c r="S383">
        <v>18.673729000000002</v>
      </c>
      <c r="T383">
        <v>20.701295999999999</v>
      </c>
      <c r="U383">
        <v>20.995642</v>
      </c>
      <c r="V383">
        <v>20.854669999999999</v>
      </c>
      <c r="W383">
        <v>20.970844</v>
      </c>
      <c r="X383">
        <v>20.815683</v>
      </c>
      <c r="Y383">
        <v>24.098846000000002</v>
      </c>
      <c r="Z383">
        <v>22.493935</v>
      </c>
      <c r="AA383">
        <v>24.535986000000001</v>
      </c>
      <c r="AB383">
        <v>24.341524</v>
      </c>
      <c r="AC383">
        <v>22.027640000000002</v>
      </c>
      <c r="AD383">
        <v>22.92887</v>
      </c>
      <c r="AE383">
        <v>22.033546000000001</v>
      </c>
      <c r="AF383">
        <v>24.45083</v>
      </c>
      <c r="AG383">
        <v>24.282554999999999</v>
      </c>
    </row>
    <row r="384" spans="1:33" x14ac:dyDescent="0.25">
      <c r="A384" s="1">
        <v>44435</v>
      </c>
      <c r="B384">
        <v>20.451232999999998</v>
      </c>
      <c r="C384">
        <v>21.254019</v>
      </c>
      <c r="D384">
        <v>19.832228000000001</v>
      </c>
      <c r="E384">
        <v>19.965119999999999</v>
      </c>
      <c r="F384">
        <v>20.800196</v>
      </c>
      <c r="G384">
        <v>20.763000000000002</v>
      </c>
      <c r="H384">
        <v>19.994897999999999</v>
      </c>
      <c r="I384">
        <v>20.310186000000002</v>
      </c>
      <c r="J384">
        <v>22.443476</v>
      </c>
      <c r="K384">
        <v>22.613015999999998</v>
      </c>
      <c r="L384">
        <v>22.744683999999999</v>
      </c>
      <c r="M384">
        <v>20.940296</v>
      </c>
      <c r="N384">
        <v>21.096067000000001</v>
      </c>
      <c r="O384">
        <v>22.391016</v>
      </c>
      <c r="P384">
        <v>22.237546999999999</v>
      </c>
      <c r="Q384">
        <v>20.924776000000001</v>
      </c>
      <c r="R384">
        <v>22.562173999999999</v>
      </c>
      <c r="S384">
        <v>19.441977000000001</v>
      </c>
      <c r="T384">
        <v>21.009188000000002</v>
      </c>
      <c r="U384">
        <v>21.315290000000001</v>
      </c>
      <c r="V384">
        <v>21.219563999999998</v>
      </c>
      <c r="W384">
        <v>21.411252999999999</v>
      </c>
      <c r="X384">
        <v>21.300695000000001</v>
      </c>
      <c r="Y384">
        <v>24.271452</v>
      </c>
      <c r="Z384">
        <v>22.477356</v>
      </c>
      <c r="AA384">
        <v>24.593444999999999</v>
      </c>
      <c r="AB384">
        <v>24.462987999999999</v>
      </c>
      <c r="AC384">
        <v>22.022622999999999</v>
      </c>
      <c r="AD384">
        <v>23.023544000000001</v>
      </c>
      <c r="AE384">
        <v>21.937346999999999</v>
      </c>
      <c r="AF384">
        <v>24.506174000000001</v>
      </c>
      <c r="AG384">
        <v>24.312912000000001</v>
      </c>
    </row>
    <row r="385" spans="1:33" x14ac:dyDescent="0.25">
      <c r="A385" s="1">
        <v>44436</v>
      </c>
      <c r="B385">
        <v>21.059415999999999</v>
      </c>
      <c r="C385">
        <v>21.690826000000001</v>
      </c>
      <c r="D385">
        <v>20.305857</v>
      </c>
      <c r="E385">
        <v>20.459440000000001</v>
      </c>
      <c r="F385">
        <v>21.157923</v>
      </c>
      <c r="G385">
        <v>21.018716999999999</v>
      </c>
      <c r="H385">
        <v>20.378889999999998</v>
      </c>
      <c r="I385">
        <v>21.215199999999999</v>
      </c>
      <c r="J385">
        <v>22.929472000000001</v>
      </c>
      <c r="K385">
        <v>22.836905999999999</v>
      </c>
      <c r="L385">
        <v>22.959864</v>
      </c>
      <c r="M385">
        <v>21.241330999999999</v>
      </c>
      <c r="N385">
        <v>21.428121999999998</v>
      </c>
      <c r="O385">
        <v>22.60256</v>
      </c>
      <c r="P385">
        <v>22.439447000000001</v>
      </c>
      <c r="Q385">
        <v>21.203970000000002</v>
      </c>
      <c r="R385">
        <v>22.757895999999999</v>
      </c>
      <c r="S385">
        <v>20.300262</v>
      </c>
      <c r="T385">
        <v>21.439695</v>
      </c>
      <c r="U385">
        <v>21.728684999999999</v>
      </c>
      <c r="V385">
        <v>21.698542</v>
      </c>
      <c r="W385">
        <v>21.828216999999999</v>
      </c>
      <c r="X385">
        <v>21.795607</v>
      </c>
      <c r="Y385">
        <v>24.57976</v>
      </c>
      <c r="Z385">
        <v>22.506302000000002</v>
      </c>
      <c r="AA385">
        <v>24.717575</v>
      </c>
      <c r="AB385">
        <v>24.688245999999999</v>
      </c>
      <c r="AC385">
        <v>22.311990000000002</v>
      </c>
      <c r="AD385">
        <v>23.171602</v>
      </c>
      <c r="AE385">
        <v>22.407377</v>
      </c>
      <c r="AF385">
        <v>24.628934999999998</v>
      </c>
      <c r="AG385">
        <v>24.511282000000001</v>
      </c>
    </row>
    <row r="386" spans="1:33" x14ac:dyDescent="0.25">
      <c r="A386" s="1">
        <v>44437</v>
      </c>
      <c r="B386">
        <v>21.331721999999999</v>
      </c>
      <c r="C386">
        <v>21.895600999999999</v>
      </c>
      <c r="D386">
        <v>20.652930999999999</v>
      </c>
      <c r="E386">
        <v>20.869603999999999</v>
      </c>
      <c r="F386">
        <v>21.216405999999999</v>
      </c>
      <c r="G386">
        <v>21.172084999999999</v>
      </c>
      <c r="H386">
        <v>20.587008000000001</v>
      </c>
      <c r="I386">
        <v>21.205639999999999</v>
      </c>
      <c r="J386">
        <v>23.051607000000001</v>
      </c>
      <c r="K386">
        <v>22.910011000000001</v>
      </c>
      <c r="L386">
        <v>23.083825999999998</v>
      </c>
      <c r="M386">
        <v>21.375359</v>
      </c>
      <c r="N386">
        <v>21.489242999999998</v>
      </c>
      <c r="O386">
        <v>22.795310000000001</v>
      </c>
      <c r="P386">
        <v>22.521982000000001</v>
      </c>
      <c r="Q386">
        <v>21.386292999999998</v>
      </c>
      <c r="R386">
        <v>22.843222000000001</v>
      </c>
      <c r="S386">
        <v>20.775238000000002</v>
      </c>
      <c r="T386">
        <v>21.715592999999998</v>
      </c>
      <c r="U386">
        <v>22.093353</v>
      </c>
      <c r="V386">
        <v>21.919615</v>
      </c>
      <c r="W386">
        <v>22.227432</v>
      </c>
      <c r="X386">
        <v>22.079742</v>
      </c>
      <c r="Y386">
        <v>24.813009999999998</v>
      </c>
      <c r="Z386">
        <v>22.549719</v>
      </c>
      <c r="AA386">
        <v>24.854454</v>
      </c>
      <c r="AB386">
        <v>24.87425</v>
      </c>
      <c r="AC386">
        <v>22.656458000000001</v>
      </c>
      <c r="AD386">
        <v>23.269531000000001</v>
      </c>
      <c r="AE386">
        <v>22.784676000000001</v>
      </c>
      <c r="AF386">
        <v>24.753084000000001</v>
      </c>
      <c r="AG386">
        <v>24.684694</v>
      </c>
    </row>
    <row r="387" spans="1:33" x14ac:dyDescent="0.25">
      <c r="A387" s="1">
        <v>44438</v>
      </c>
      <c r="B387">
        <v>21.407941999999998</v>
      </c>
      <c r="C387">
        <v>21.893090000000001</v>
      </c>
      <c r="D387">
        <v>20.832104000000001</v>
      </c>
      <c r="E387">
        <v>21.053346999999999</v>
      </c>
      <c r="F387">
        <v>21.269273999999999</v>
      </c>
      <c r="G387">
        <v>21.197868</v>
      </c>
      <c r="H387">
        <v>20.636731999999999</v>
      </c>
      <c r="I387">
        <v>20.775105</v>
      </c>
      <c r="J387">
        <v>23.270859999999999</v>
      </c>
      <c r="K387">
        <v>22.993555000000001</v>
      </c>
      <c r="L387">
        <v>23.193204999999999</v>
      </c>
      <c r="M387">
        <v>21.408854000000002</v>
      </c>
      <c r="N387">
        <v>21.527864000000001</v>
      </c>
      <c r="O387">
        <v>22.946252999999999</v>
      </c>
      <c r="P387">
        <v>22.5748</v>
      </c>
      <c r="Q387">
        <v>21.415959999999998</v>
      </c>
      <c r="R387">
        <v>22.960688000000001</v>
      </c>
      <c r="S387">
        <v>20.604626</v>
      </c>
      <c r="T387">
        <v>21.947115</v>
      </c>
      <c r="U387">
        <v>22.380172999999999</v>
      </c>
      <c r="V387">
        <v>22.261976000000001</v>
      </c>
      <c r="W387">
        <v>22.460032000000002</v>
      </c>
      <c r="X387">
        <v>22.413933</v>
      </c>
      <c r="Y387">
        <v>24.949608000000001</v>
      </c>
      <c r="Z387">
        <v>22.756021</v>
      </c>
      <c r="AA387">
        <v>24.998560000000001</v>
      </c>
      <c r="AB387">
        <v>25.004166000000001</v>
      </c>
      <c r="AC387">
        <v>23.006623999999999</v>
      </c>
      <c r="AD387">
        <v>23.366879999999998</v>
      </c>
      <c r="AE387">
        <v>23.132204000000002</v>
      </c>
      <c r="AF387">
        <v>24.888762</v>
      </c>
      <c r="AG387">
        <v>24.887513999999999</v>
      </c>
    </row>
    <row r="388" spans="1:33" x14ac:dyDescent="0.25">
      <c r="A388" s="1">
        <v>44439</v>
      </c>
      <c r="B388">
        <v>21.329218000000001</v>
      </c>
      <c r="C388">
        <v>21.689730000000001</v>
      </c>
      <c r="D388">
        <v>20.827044000000001</v>
      </c>
      <c r="E388">
        <v>20.993898000000002</v>
      </c>
      <c r="F388">
        <v>21.154337000000002</v>
      </c>
      <c r="G388">
        <v>21.186167000000001</v>
      </c>
      <c r="H388">
        <v>20.427765000000001</v>
      </c>
      <c r="I388">
        <v>20.441578</v>
      </c>
      <c r="J388">
        <v>23.327504999999999</v>
      </c>
      <c r="K388">
        <v>23.053557999999999</v>
      </c>
      <c r="L388">
        <v>23.205629999999999</v>
      </c>
      <c r="M388">
        <v>21.339583999999999</v>
      </c>
      <c r="N388">
        <v>21.536629999999999</v>
      </c>
      <c r="O388">
        <v>22.934760000000001</v>
      </c>
      <c r="P388">
        <v>22.620419999999999</v>
      </c>
      <c r="Q388">
        <v>21.364128000000001</v>
      </c>
      <c r="R388">
        <v>22.946466000000001</v>
      </c>
      <c r="S388">
        <v>20.001719000000001</v>
      </c>
      <c r="T388">
        <v>21.938092999999999</v>
      </c>
      <c r="U388">
        <v>22.473065999999999</v>
      </c>
      <c r="V388">
        <v>22.278365999999998</v>
      </c>
      <c r="W388">
        <v>22.623987</v>
      </c>
      <c r="X388">
        <v>22.447534999999998</v>
      </c>
      <c r="Y388">
        <v>24.698969000000002</v>
      </c>
      <c r="Z388">
        <v>22.865866</v>
      </c>
      <c r="AA388">
        <v>25.052765000000001</v>
      </c>
      <c r="AB388">
        <v>24.81305</v>
      </c>
      <c r="AC388">
        <v>22.901509999999998</v>
      </c>
      <c r="AD388">
        <v>23.368504999999999</v>
      </c>
      <c r="AE388">
        <v>22.628511</v>
      </c>
      <c r="AF388">
        <v>24.95365</v>
      </c>
      <c r="AG388">
        <v>24.682214999999999</v>
      </c>
    </row>
    <row r="389" spans="1:33" x14ac:dyDescent="0.25">
      <c r="A389" s="1">
        <v>44440</v>
      </c>
      <c r="B389">
        <v>20.813852000000001</v>
      </c>
      <c r="C389">
        <v>21.320242</v>
      </c>
      <c r="D389">
        <v>20.525342999999999</v>
      </c>
      <c r="E389">
        <v>20.52664</v>
      </c>
      <c r="F389">
        <v>20.650227000000001</v>
      </c>
      <c r="G389">
        <v>20.953745000000001</v>
      </c>
      <c r="H389">
        <v>20.042234000000001</v>
      </c>
      <c r="I389">
        <v>19.473604000000002</v>
      </c>
      <c r="J389">
        <v>23.059156000000002</v>
      </c>
      <c r="K389">
        <v>22.975785999999999</v>
      </c>
      <c r="L389">
        <v>22.992927999999999</v>
      </c>
      <c r="M389">
        <v>21.079751999999999</v>
      </c>
      <c r="N389">
        <v>21.389402</v>
      </c>
      <c r="O389">
        <v>22.773206999999999</v>
      </c>
      <c r="P389">
        <v>22.511848000000001</v>
      </c>
      <c r="Q389">
        <v>21.127956000000001</v>
      </c>
      <c r="R389">
        <v>22.773534999999999</v>
      </c>
      <c r="S389">
        <v>19.076070000000001</v>
      </c>
      <c r="T389">
        <v>21.686900000000001</v>
      </c>
      <c r="U389">
        <v>22.329111000000001</v>
      </c>
      <c r="V389">
        <v>22.029833</v>
      </c>
      <c r="W389">
        <v>22.360849999999999</v>
      </c>
      <c r="X389">
        <v>22.218582000000001</v>
      </c>
      <c r="Y389">
        <v>24.121511000000002</v>
      </c>
      <c r="Z389">
        <v>22.784749999999999</v>
      </c>
      <c r="AA389">
        <v>24.882356999999999</v>
      </c>
      <c r="AB389">
        <v>24.198128000000001</v>
      </c>
      <c r="AC389">
        <v>22.523465999999999</v>
      </c>
      <c r="AD389">
        <v>23.206596000000001</v>
      </c>
      <c r="AE389">
        <v>21.943476</v>
      </c>
      <c r="AF389">
        <v>24.842289999999998</v>
      </c>
      <c r="AG389">
        <v>24.158570999999998</v>
      </c>
    </row>
    <row r="390" spans="1:33" x14ac:dyDescent="0.25">
      <c r="A390" s="1">
        <v>44441</v>
      </c>
      <c r="B390">
        <v>20.027843000000001</v>
      </c>
      <c r="C390">
        <v>20.870836000000001</v>
      </c>
      <c r="D390">
        <v>20.041014000000001</v>
      </c>
      <c r="E390">
        <v>19.874248999999999</v>
      </c>
      <c r="F390">
        <v>20.285416000000001</v>
      </c>
      <c r="G390">
        <v>20.626518000000001</v>
      </c>
      <c r="H390">
        <v>19.741555999999999</v>
      </c>
      <c r="I390">
        <v>18.587564</v>
      </c>
      <c r="J390">
        <v>22.202593</v>
      </c>
      <c r="K390">
        <v>22.687704</v>
      </c>
      <c r="L390">
        <v>22.556519999999999</v>
      </c>
      <c r="M390">
        <v>20.782672999999999</v>
      </c>
      <c r="N390">
        <v>21.046469999999999</v>
      </c>
      <c r="O390">
        <v>22.410478999999999</v>
      </c>
      <c r="P390">
        <v>22.214476000000001</v>
      </c>
      <c r="Q390">
        <v>20.789486</v>
      </c>
      <c r="R390">
        <v>22.430046000000001</v>
      </c>
      <c r="S390">
        <v>18.115915000000001</v>
      </c>
      <c r="T390">
        <v>21.172955999999999</v>
      </c>
      <c r="U390">
        <v>22.016183999999999</v>
      </c>
      <c r="V390">
        <v>21.679962</v>
      </c>
      <c r="W390">
        <v>21.847511000000001</v>
      </c>
      <c r="X390">
        <v>21.949463000000002</v>
      </c>
      <c r="Y390">
        <v>23.805140000000002</v>
      </c>
      <c r="Z390">
        <v>22.555574</v>
      </c>
      <c r="AA390">
        <v>24.624098</v>
      </c>
      <c r="AB390">
        <v>24.009129999999999</v>
      </c>
      <c r="AC390">
        <v>22.238035</v>
      </c>
      <c r="AD390">
        <v>22.939744999999998</v>
      </c>
      <c r="AE390">
        <v>21.246855</v>
      </c>
      <c r="AF390">
        <v>24.633886</v>
      </c>
      <c r="AG390">
        <v>23.939979999999998</v>
      </c>
    </row>
    <row r="391" spans="1:33" x14ac:dyDescent="0.25">
      <c r="A391" s="1">
        <v>44442</v>
      </c>
      <c r="B391">
        <v>19.843727000000001</v>
      </c>
      <c r="C391">
        <v>20.69145</v>
      </c>
      <c r="D391">
        <v>19.860440000000001</v>
      </c>
      <c r="E391">
        <v>19.659876000000001</v>
      </c>
      <c r="F391">
        <v>20.240606</v>
      </c>
      <c r="G391">
        <v>20.448174999999999</v>
      </c>
      <c r="H391">
        <v>19.489636999999998</v>
      </c>
      <c r="I391">
        <v>18.518537999999999</v>
      </c>
      <c r="J391">
        <v>21.695633000000001</v>
      </c>
      <c r="K391">
        <v>22.51174</v>
      </c>
      <c r="L391">
        <v>22.292207999999999</v>
      </c>
      <c r="M391">
        <v>20.620626000000001</v>
      </c>
      <c r="N391">
        <v>20.871199000000001</v>
      </c>
      <c r="O391">
        <v>22.258814000000001</v>
      </c>
      <c r="P391">
        <v>21.999722999999999</v>
      </c>
      <c r="Q391">
        <v>20.574249999999999</v>
      </c>
      <c r="R391">
        <v>22.27281</v>
      </c>
      <c r="S391">
        <v>18.046505</v>
      </c>
      <c r="T391">
        <v>20.935162999999999</v>
      </c>
      <c r="U391">
        <v>21.735711999999999</v>
      </c>
      <c r="V391">
        <v>21.673245999999999</v>
      </c>
      <c r="W391">
        <v>21.508573999999999</v>
      </c>
      <c r="X391">
        <v>21.966957000000001</v>
      </c>
      <c r="Y391">
        <v>23.783981000000001</v>
      </c>
      <c r="Z391">
        <v>22.417023</v>
      </c>
      <c r="AA391">
        <v>24.418565999999998</v>
      </c>
      <c r="AB391">
        <v>23.982842999999999</v>
      </c>
      <c r="AC391">
        <v>22.226317999999999</v>
      </c>
      <c r="AD391">
        <v>22.711137999999998</v>
      </c>
      <c r="AE391">
        <v>21.037827</v>
      </c>
      <c r="AF391">
        <v>24.483422999999998</v>
      </c>
      <c r="AG391">
        <v>23.921883000000001</v>
      </c>
    </row>
    <row r="392" spans="1:33" x14ac:dyDescent="0.25">
      <c r="A392" s="1">
        <v>44443</v>
      </c>
      <c r="B392">
        <v>20.010227</v>
      </c>
      <c r="C392">
        <v>20.613759999999999</v>
      </c>
      <c r="D392">
        <v>19.606833000000002</v>
      </c>
      <c r="E392">
        <v>19.637879999999999</v>
      </c>
      <c r="F392">
        <v>20.322817000000001</v>
      </c>
      <c r="G392">
        <v>20.394192</v>
      </c>
      <c r="H392">
        <v>19.410791</v>
      </c>
      <c r="I392">
        <v>18.947469999999999</v>
      </c>
      <c r="J392">
        <v>21.707326999999999</v>
      </c>
      <c r="K392">
        <v>22.443237</v>
      </c>
      <c r="L392">
        <v>22.235458000000001</v>
      </c>
      <c r="M392">
        <v>20.571043</v>
      </c>
      <c r="N392">
        <v>20.815982999999999</v>
      </c>
      <c r="O392">
        <v>22.248595999999999</v>
      </c>
      <c r="P392">
        <v>21.908760000000001</v>
      </c>
      <c r="Q392">
        <v>20.513586</v>
      </c>
      <c r="R392">
        <v>22.221125000000001</v>
      </c>
      <c r="S392">
        <v>18.389975</v>
      </c>
      <c r="T392">
        <v>20.986113</v>
      </c>
      <c r="U392">
        <v>21.702210000000001</v>
      </c>
      <c r="V392">
        <v>21.764097</v>
      </c>
      <c r="W392">
        <v>21.493040000000001</v>
      </c>
      <c r="X392">
        <v>22.003011999999998</v>
      </c>
      <c r="Y392">
        <v>23.930197</v>
      </c>
      <c r="Z392">
        <v>22.446107999999999</v>
      </c>
      <c r="AA392">
        <v>24.354652000000002</v>
      </c>
      <c r="AB392">
        <v>24.083162000000002</v>
      </c>
      <c r="AC392">
        <v>22.328275999999999</v>
      </c>
      <c r="AD392">
        <v>22.607230999999999</v>
      </c>
      <c r="AE392">
        <v>21.174814000000001</v>
      </c>
      <c r="AF392">
        <v>24.416160000000001</v>
      </c>
      <c r="AG392">
        <v>23.949717</v>
      </c>
    </row>
    <row r="393" spans="1:33" x14ac:dyDescent="0.25">
      <c r="A393" s="1">
        <v>44444</v>
      </c>
      <c r="B393">
        <v>20.170126</v>
      </c>
      <c r="C393">
        <v>20.703869999999998</v>
      </c>
      <c r="D393">
        <v>19.795963</v>
      </c>
      <c r="E393">
        <v>19.697275000000001</v>
      </c>
      <c r="F393">
        <v>20.453610999999999</v>
      </c>
      <c r="G393">
        <v>20.435343</v>
      </c>
      <c r="H393">
        <v>19.448853</v>
      </c>
      <c r="I393">
        <v>19.501539999999999</v>
      </c>
      <c r="J393">
        <v>22.000841000000001</v>
      </c>
      <c r="K393">
        <v>22.453994999999999</v>
      </c>
      <c r="L393">
        <v>22.347929000000001</v>
      </c>
      <c r="M393">
        <v>20.609867000000001</v>
      </c>
      <c r="N393">
        <v>20.863721999999999</v>
      </c>
      <c r="O393">
        <v>22.334702</v>
      </c>
      <c r="P393">
        <v>21.926667999999999</v>
      </c>
      <c r="Q393">
        <v>20.550573</v>
      </c>
      <c r="R393">
        <v>22.263763000000001</v>
      </c>
      <c r="S393">
        <v>18.885393000000001</v>
      </c>
      <c r="T393">
        <v>21.100843000000001</v>
      </c>
      <c r="U393">
        <v>21.732161999999999</v>
      </c>
      <c r="V393">
        <v>21.789694000000001</v>
      </c>
      <c r="W393">
        <v>21.551804000000001</v>
      </c>
      <c r="X393">
        <v>21.994318</v>
      </c>
      <c r="Y393">
        <v>24.076853</v>
      </c>
      <c r="Z393">
        <v>22.629921</v>
      </c>
      <c r="AA393">
        <v>24.401392000000001</v>
      </c>
      <c r="AB393">
        <v>24.15474</v>
      </c>
      <c r="AC393">
        <v>22.508146</v>
      </c>
      <c r="AD393">
        <v>22.641248999999998</v>
      </c>
      <c r="AE393">
        <v>21.573378000000002</v>
      </c>
      <c r="AF393">
        <v>24.399733999999999</v>
      </c>
      <c r="AG393">
        <v>24.035727999999999</v>
      </c>
    </row>
    <row r="394" spans="1:33" x14ac:dyDescent="0.25">
      <c r="A394" s="1">
        <v>44445</v>
      </c>
      <c r="B394">
        <v>20.359224000000001</v>
      </c>
      <c r="C394">
        <v>20.899462</v>
      </c>
      <c r="D394">
        <v>20.027028999999999</v>
      </c>
      <c r="E394">
        <v>19.838218999999999</v>
      </c>
      <c r="F394">
        <v>20.626127</v>
      </c>
      <c r="G394">
        <v>20.547297</v>
      </c>
      <c r="H394">
        <v>19.625765000000001</v>
      </c>
      <c r="I394">
        <v>20.040914999999998</v>
      </c>
      <c r="J394">
        <v>22.336929999999999</v>
      </c>
      <c r="K394">
        <v>22.542635000000001</v>
      </c>
      <c r="L394">
        <v>22.524816999999999</v>
      </c>
      <c r="M394">
        <v>20.724968000000001</v>
      </c>
      <c r="N394">
        <v>21.037706</v>
      </c>
      <c r="O394">
        <v>22.4773</v>
      </c>
      <c r="P394">
        <v>22.019055999999999</v>
      </c>
      <c r="Q394">
        <v>20.682971999999999</v>
      </c>
      <c r="R394">
        <v>22.391870000000001</v>
      </c>
      <c r="S394">
        <v>19.498055999999998</v>
      </c>
      <c r="T394">
        <v>21.326104999999998</v>
      </c>
      <c r="U394">
        <v>21.869596000000001</v>
      </c>
      <c r="V394">
        <v>21.878443000000001</v>
      </c>
      <c r="W394">
        <v>21.723189999999999</v>
      </c>
      <c r="X394">
        <v>22.070900000000002</v>
      </c>
      <c r="Y394">
        <v>24.158989999999999</v>
      </c>
      <c r="Z394">
        <v>22.840261000000002</v>
      </c>
      <c r="AA394">
        <v>24.465734000000001</v>
      </c>
      <c r="AB394">
        <v>24.206175000000002</v>
      </c>
      <c r="AC394">
        <v>22.686444999999999</v>
      </c>
      <c r="AD394">
        <v>22.736630999999999</v>
      </c>
      <c r="AE394">
        <v>21.874884000000002</v>
      </c>
      <c r="AF394">
        <v>24.410233000000002</v>
      </c>
      <c r="AG394">
        <v>24.130838000000001</v>
      </c>
    </row>
    <row r="395" spans="1:33" x14ac:dyDescent="0.25">
      <c r="A395" s="1">
        <v>44446</v>
      </c>
      <c r="B395">
        <v>20.675066000000001</v>
      </c>
      <c r="C395">
        <v>21.138266000000002</v>
      </c>
      <c r="D395">
        <v>20.395831999999999</v>
      </c>
      <c r="E395">
        <v>20.196344</v>
      </c>
      <c r="F395">
        <v>20.834633</v>
      </c>
      <c r="G395">
        <v>20.732793999999998</v>
      </c>
      <c r="H395">
        <v>19.823442</v>
      </c>
      <c r="I395">
        <v>20.571626999999999</v>
      </c>
      <c r="J395">
        <v>22.702072000000001</v>
      </c>
      <c r="K395">
        <v>22.645838000000001</v>
      </c>
      <c r="L395">
        <v>22.723946000000002</v>
      </c>
      <c r="M395">
        <v>20.913613999999999</v>
      </c>
      <c r="N395">
        <v>21.230936</v>
      </c>
      <c r="O395">
        <v>22.631492999999999</v>
      </c>
      <c r="P395">
        <v>22.158819999999999</v>
      </c>
      <c r="Q395">
        <v>20.869679999999999</v>
      </c>
      <c r="R395">
        <v>22.542427</v>
      </c>
      <c r="S395">
        <v>20.389921000000001</v>
      </c>
      <c r="T395">
        <v>21.687784000000001</v>
      </c>
      <c r="U395">
        <v>22.255745000000001</v>
      </c>
      <c r="V395">
        <v>22.152605000000001</v>
      </c>
      <c r="W395">
        <v>22.036642000000001</v>
      </c>
      <c r="X395">
        <v>22.348402</v>
      </c>
      <c r="Y395">
        <v>24.358453999999998</v>
      </c>
      <c r="Z395">
        <v>23.102796999999999</v>
      </c>
      <c r="AA395">
        <v>24.609365</v>
      </c>
      <c r="AB395">
        <v>24.397257</v>
      </c>
      <c r="AC395">
        <v>22.977471999999999</v>
      </c>
      <c r="AD395">
        <v>22.897659999999998</v>
      </c>
      <c r="AE395">
        <v>22.564900999999999</v>
      </c>
      <c r="AF395">
        <v>24.483886999999999</v>
      </c>
      <c r="AG395">
        <v>24.333245999999999</v>
      </c>
    </row>
    <row r="396" spans="1:33" x14ac:dyDescent="0.25">
      <c r="A396" s="1">
        <v>44447</v>
      </c>
      <c r="B396">
        <v>20.916440999999999</v>
      </c>
      <c r="C396">
        <v>21.305330000000001</v>
      </c>
      <c r="D396">
        <v>20.71311</v>
      </c>
      <c r="E396">
        <v>20.577390000000001</v>
      </c>
      <c r="F396">
        <v>21.019338999999999</v>
      </c>
      <c r="G396">
        <v>20.905176000000001</v>
      </c>
      <c r="H396">
        <v>20.043679999999998</v>
      </c>
      <c r="I396">
        <v>20.821881999999999</v>
      </c>
      <c r="J396">
        <v>23.068992999999999</v>
      </c>
      <c r="K396">
        <v>22.741781</v>
      </c>
      <c r="L396">
        <v>22.895807000000001</v>
      </c>
      <c r="M396">
        <v>21.089158999999999</v>
      </c>
      <c r="N396">
        <v>21.420822000000001</v>
      </c>
      <c r="O396">
        <v>22.762732</v>
      </c>
      <c r="P396">
        <v>22.284742000000001</v>
      </c>
      <c r="Q396">
        <v>21.064007</v>
      </c>
      <c r="R396">
        <v>22.681657999999999</v>
      </c>
      <c r="S396">
        <v>21.173546000000002</v>
      </c>
      <c r="T396">
        <v>22.034388</v>
      </c>
      <c r="U396">
        <v>22.692156000000001</v>
      </c>
      <c r="V396">
        <v>22.378557000000001</v>
      </c>
      <c r="W396">
        <v>22.400572</v>
      </c>
      <c r="X396">
        <v>22.533812000000001</v>
      </c>
      <c r="Y396">
        <v>24.497464999999998</v>
      </c>
      <c r="Z396">
        <v>23.373567999999999</v>
      </c>
      <c r="AA396">
        <v>24.798971000000002</v>
      </c>
      <c r="AB396">
        <v>24.553000999999998</v>
      </c>
      <c r="AC396">
        <v>23.355924999999999</v>
      </c>
      <c r="AD396">
        <v>23.051773000000001</v>
      </c>
      <c r="AE396">
        <v>22.987901999999998</v>
      </c>
      <c r="AF396">
        <v>24.624383999999999</v>
      </c>
      <c r="AG396">
        <v>24.594988000000001</v>
      </c>
    </row>
    <row r="397" spans="1:33" x14ac:dyDescent="0.25">
      <c r="A397" s="1">
        <v>44448</v>
      </c>
      <c r="B397">
        <v>21.152918</v>
      </c>
      <c r="C397">
        <v>21.413495999999999</v>
      </c>
      <c r="D397">
        <v>20.904634000000001</v>
      </c>
      <c r="E397">
        <v>20.833577999999999</v>
      </c>
      <c r="F397">
        <v>21.085056000000002</v>
      </c>
      <c r="G397">
        <v>21.078274</v>
      </c>
      <c r="H397">
        <v>20.154098999999999</v>
      </c>
      <c r="I397">
        <v>20.867581999999999</v>
      </c>
      <c r="J397">
        <v>23.454284999999999</v>
      </c>
      <c r="K397">
        <v>22.894200999999999</v>
      </c>
      <c r="L397">
        <v>23.130236</v>
      </c>
      <c r="M397">
        <v>21.253706000000001</v>
      </c>
      <c r="N397">
        <v>21.611467000000001</v>
      </c>
      <c r="O397">
        <v>22.950579000000001</v>
      </c>
      <c r="P397">
        <v>22.446027999999998</v>
      </c>
      <c r="Q397">
        <v>21.255044999999999</v>
      </c>
      <c r="R397">
        <v>22.855118000000001</v>
      </c>
      <c r="S397">
        <v>21.561584</v>
      </c>
      <c r="T397">
        <v>22.239784</v>
      </c>
      <c r="U397">
        <v>23.118822000000002</v>
      </c>
      <c r="V397">
        <v>22.559823999999999</v>
      </c>
      <c r="W397">
        <v>22.702703</v>
      </c>
      <c r="X397">
        <v>22.756675999999999</v>
      </c>
      <c r="Y397">
        <v>24.679013999999999</v>
      </c>
      <c r="Z397">
        <v>23.665379999999999</v>
      </c>
      <c r="AA397">
        <v>25.008635000000002</v>
      </c>
      <c r="AB397">
        <v>24.726875</v>
      </c>
      <c r="AC397">
        <v>23.781485</v>
      </c>
      <c r="AD397">
        <v>23.256247999999999</v>
      </c>
      <c r="AE397">
        <v>23.187657999999999</v>
      </c>
      <c r="AF397">
        <v>24.801752</v>
      </c>
      <c r="AG397">
        <v>24.746178</v>
      </c>
    </row>
    <row r="398" spans="1:33" x14ac:dyDescent="0.25">
      <c r="A398" s="1">
        <v>44449</v>
      </c>
      <c r="B398">
        <v>21.156685</v>
      </c>
      <c r="C398">
        <v>21.402151</v>
      </c>
      <c r="D398">
        <v>20.934121999999999</v>
      </c>
      <c r="E398">
        <v>20.873049999999999</v>
      </c>
      <c r="F398">
        <v>21.064087000000001</v>
      </c>
      <c r="G398">
        <v>21.139503000000001</v>
      </c>
      <c r="H398">
        <v>20.202321999999999</v>
      </c>
      <c r="I398">
        <v>20.740445999999999</v>
      </c>
      <c r="J398">
        <v>23.362431999999998</v>
      </c>
      <c r="K398">
        <v>22.889334000000002</v>
      </c>
      <c r="L398">
        <v>23.089307999999999</v>
      </c>
      <c r="M398">
        <v>21.310202</v>
      </c>
      <c r="N398">
        <v>21.672246999999999</v>
      </c>
      <c r="O398">
        <v>22.871399</v>
      </c>
      <c r="P398">
        <v>22.459198000000001</v>
      </c>
      <c r="Q398">
        <v>21.322886</v>
      </c>
      <c r="R398">
        <v>22.796441999999999</v>
      </c>
      <c r="S398">
        <v>21.183712</v>
      </c>
      <c r="T398">
        <v>22.1919</v>
      </c>
      <c r="U398">
        <v>22.965085999999999</v>
      </c>
      <c r="V398">
        <v>22.466797</v>
      </c>
      <c r="W398">
        <v>22.788457999999999</v>
      </c>
      <c r="X398">
        <v>22.663983999999999</v>
      </c>
      <c r="Y398">
        <v>24.423936999999999</v>
      </c>
      <c r="Z398">
        <v>23.624254000000001</v>
      </c>
      <c r="AA398">
        <v>25.094156000000002</v>
      </c>
      <c r="AB398">
        <v>24.483145</v>
      </c>
      <c r="AC398">
        <v>23.692969999999999</v>
      </c>
      <c r="AD398">
        <v>23.277519999999999</v>
      </c>
      <c r="AE398">
        <v>23.025337</v>
      </c>
      <c r="AF398">
        <v>24.909614999999999</v>
      </c>
      <c r="AG398">
        <v>24.645316999999999</v>
      </c>
    </row>
    <row r="399" spans="1:33" x14ac:dyDescent="0.25">
      <c r="A399" s="1">
        <v>44450</v>
      </c>
      <c r="B399">
        <v>20.945398000000001</v>
      </c>
      <c r="C399">
        <v>21.334747</v>
      </c>
      <c r="D399">
        <v>20.861913999999999</v>
      </c>
      <c r="E399">
        <v>20.746162000000002</v>
      </c>
      <c r="F399">
        <v>20.914960000000001</v>
      </c>
      <c r="G399">
        <v>21.118351000000001</v>
      </c>
      <c r="H399">
        <v>20.260411999999999</v>
      </c>
      <c r="I399">
        <v>20.437951999999999</v>
      </c>
      <c r="J399">
        <v>23.038278999999999</v>
      </c>
      <c r="K399">
        <v>22.827078</v>
      </c>
      <c r="L399">
        <v>23.03105</v>
      </c>
      <c r="M399">
        <v>21.302477</v>
      </c>
      <c r="N399">
        <v>21.625364000000001</v>
      </c>
      <c r="O399">
        <v>22.832585999999999</v>
      </c>
      <c r="P399">
        <v>22.424513000000001</v>
      </c>
      <c r="Q399">
        <v>21.305208</v>
      </c>
      <c r="R399">
        <v>22.790510000000001</v>
      </c>
      <c r="S399">
        <v>20.588760000000001</v>
      </c>
      <c r="T399">
        <v>22.129380000000001</v>
      </c>
      <c r="U399">
        <v>22.842683999999998</v>
      </c>
      <c r="V399">
        <v>22.406343</v>
      </c>
      <c r="W399">
        <v>22.827245999999999</v>
      </c>
      <c r="X399">
        <v>22.623957000000001</v>
      </c>
      <c r="Y399">
        <v>24.050177000000001</v>
      </c>
      <c r="Z399">
        <v>23.326398999999999</v>
      </c>
      <c r="AA399">
        <v>24.850441</v>
      </c>
      <c r="AB399">
        <v>24.204916000000001</v>
      </c>
      <c r="AC399">
        <v>23.142778</v>
      </c>
      <c r="AD399">
        <v>23.242508000000001</v>
      </c>
      <c r="AE399">
        <v>22.177994000000002</v>
      </c>
      <c r="AF399">
        <v>24.842628000000001</v>
      </c>
      <c r="AG399">
        <v>24.521034</v>
      </c>
    </row>
    <row r="400" spans="1:33" x14ac:dyDescent="0.25">
      <c r="A400" s="1">
        <v>44451</v>
      </c>
      <c r="B400">
        <v>20.906372000000001</v>
      </c>
      <c r="C400">
        <v>21.353729999999999</v>
      </c>
      <c r="D400">
        <v>20.831064000000001</v>
      </c>
      <c r="E400">
        <v>20.725914</v>
      </c>
      <c r="F400">
        <v>20.897870999999999</v>
      </c>
      <c r="G400">
        <v>21.05631</v>
      </c>
      <c r="H400">
        <v>20.147863000000001</v>
      </c>
      <c r="I400">
        <v>20.058083</v>
      </c>
      <c r="J400">
        <v>22.878876000000002</v>
      </c>
      <c r="K400">
        <v>22.804137999999998</v>
      </c>
      <c r="L400">
        <v>23.031115</v>
      </c>
      <c r="M400">
        <v>21.261637</v>
      </c>
      <c r="N400">
        <v>21.580787999999998</v>
      </c>
      <c r="O400">
        <v>22.891293999999998</v>
      </c>
      <c r="P400">
        <v>22.396585000000002</v>
      </c>
      <c r="Q400">
        <v>21.268744999999999</v>
      </c>
      <c r="R400">
        <v>22.821894</v>
      </c>
      <c r="S400">
        <v>20.291505999999998</v>
      </c>
      <c r="T400">
        <v>22.148949000000002</v>
      </c>
      <c r="U400">
        <v>22.891753999999999</v>
      </c>
      <c r="V400">
        <v>22.467676000000001</v>
      </c>
      <c r="W400">
        <v>22.887114</v>
      </c>
      <c r="X400">
        <v>22.732626</v>
      </c>
      <c r="Y400">
        <v>24.123536999999999</v>
      </c>
      <c r="Z400">
        <v>23.279993000000001</v>
      </c>
      <c r="AA400">
        <v>24.703279999999999</v>
      </c>
      <c r="AB400">
        <v>24.282564000000001</v>
      </c>
      <c r="AC400">
        <v>22.878343999999998</v>
      </c>
      <c r="AD400">
        <v>23.250643</v>
      </c>
      <c r="AE400">
        <v>22.106424000000001</v>
      </c>
      <c r="AF400">
        <v>24.846972000000001</v>
      </c>
      <c r="AG400">
        <v>24.538029999999999</v>
      </c>
    </row>
    <row r="401" spans="1:33" x14ac:dyDescent="0.25">
      <c r="A401" s="1">
        <v>44452</v>
      </c>
      <c r="B401">
        <v>21.172177999999999</v>
      </c>
      <c r="C401">
        <v>21.479493999999999</v>
      </c>
      <c r="D401">
        <v>20.929092000000001</v>
      </c>
      <c r="E401">
        <v>20.822334000000001</v>
      </c>
      <c r="F401">
        <v>21.096609999999998</v>
      </c>
      <c r="G401">
        <v>21.088716999999999</v>
      </c>
      <c r="H401">
        <v>20.143491999999998</v>
      </c>
      <c r="I401">
        <v>20.26098</v>
      </c>
      <c r="J401">
        <v>23.004019</v>
      </c>
      <c r="K401">
        <v>22.902517</v>
      </c>
      <c r="L401">
        <v>23.141249999999999</v>
      </c>
      <c r="M401">
        <v>21.308295999999999</v>
      </c>
      <c r="N401">
        <v>21.688337000000001</v>
      </c>
      <c r="O401">
        <v>23.058710000000001</v>
      </c>
      <c r="P401">
        <v>22.468111</v>
      </c>
      <c r="Q401">
        <v>21.320654000000001</v>
      </c>
      <c r="R401">
        <v>22.941331999999999</v>
      </c>
      <c r="S401">
        <v>20.49465</v>
      </c>
      <c r="T401">
        <v>22.328185999999999</v>
      </c>
      <c r="U401">
        <v>22.999963999999999</v>
      </c>
      <c r="V401">
        <v>22.778991999999999</v>
      </c>
      <c r="W401">
        <v>22.935424999999999</v>
      </c>
      <c r="X401">
        <v>23.091272</v>
      </c>
      <c r="Y401">
        <v>24.285789999999999</v>
      </c>
      <c r="Z401">
        <v>23.292111999999999</v>
      </c>
      <c r="AA401">
        <v>24.684934999999999</v>
      </c>
      <c r="AB401">
        <v>24.410270000000001</v>
      </c>
      <c r="AC401">
        <v>22.906082000000001</v>
      </c>
      <c r="AD401">
        <v>23.334672999999999</v>
      </c>
      <c r="AE401">
        <v>22.276458999999999</v>
      </c>
      <c r="AF401">
        <v>24.896563</v>
      </c>
      <c r="AG401">
        <v>24.565386</v>
      </c>
    </row>
    <row r="402" spans="1:33" x14ac:dyDescent="0.25">
      <c r="A402" s="1">
        <v>44453</v>
      </c>
      <c r="B402">
        <v>21.117114999999998</v>
      </c>
      <c r="C402">
        <v>21.37941</v>
      </c>
      <c r="D402">
        <v>21.004248</v>
      </c>
      <c r="E402">
        <v>20.807323</v>
      </c>
      <c r="F402">
        <v>21.029350000000001</v>
      </c>
      <c r="G402">
        <v>21.033487000000001</v>
      </c>
      <c r="H402">
        <v>19.956189999999999</v>
      </c>
      <c r="I402">
        <v>20.171023999999999</v>
      </c>
      <c r="J402">
        <v>22.90213</v>
      </c>
      <c r="K402">
        <v>22.948198000000001</v>
      </c>
      <c r="L402">
        <v>23.142166</v>
      </c>
      <c r="M402">
        <v>21.236612000000001</v>
      </c>
      <c r="N402">
        <v>21.679237000000001</v>
      </c>
      <c r="O402">
        <v>23.041543999999998</v>
      </c>
      <c r="P402">
        <v>22.467355999999999</v>
      </c>
      <c r="Q402">
        <v>21.288585999999999</v>
      </c>
      <c r="R402">
        <v>22.923655</v>
      </c>
      <c r="S402">
        <v>20.456593999999999</v>
      </c>
      <c r="T402">
        <v>22.399918</v>
      </c>
      <c r="U402">
        <v>23.093810000000001</v>
      </c>
      <c r="V402">
        <v>22.96116</v>
      </c>
      <c r="W402">
        <v>23.035316000000002</v>
      </c>
      <c r="X402">
        <v>23.192625</v>
      </c>
      <c r="Y402">
        <v>24.339956000000001</v>
      </c>
      <c r="Z402">
        <v>23.383219</v>
      </c>
      <c r="AA402">
        <v>24.653267</v>
      </c>
      <c r="AB402">
        <v>24.415558000000001</v>
      </c>
      <c r="AC402">
        <v>22.912279999999999</v>
      </c>
      <c r="AD402">
        <v>23.325994000000001</v>
      </c>
      <c r="AE402">
        <v>22.0716</v>
      </c>
      <c r="AF402">
        <v>24.903880000000001</v>
      </c>
      <c r="AG402">
        <v>24.484976</v>
      </c>
    </row>
    <row r="403" spans="1:33" x14ac:dyDescent="0.25">
      <c r="A403" s="1">
        <v>44454</v>
      </c>
      <c r="B403">
        <v>20.590776000000002</v>
      </c>
      <c r="C403">
        <v>21.019159999999999</v>
      </c>
      <c r="D403">
        <v>20.724008999999999</v>
      </c>
      <c r="E403">
        <v>20.413896999999999</v>
      </c>
      <c r="F403">
        <v>20.618860000000002</v>
      </c>
      <c r="G403">
        <v>20.82263</v>
      </c>
      <c r="H403">
        <v>19.689568000000001</v>
      </c>
      <c r="I403">
        <v>19.424306999999999</v>
      </c>
      <c r="J403">
        <v>22.306954999999999</v>
      </c>
      <c r="K403">
        <v>22.727616999999999</v>
      </c>
      <c r="L403">
        <v>22.842718000000001</v>
      </c>
      <c r="M403">
        <v>20.979834</v>
      </c>
      <c r="N403">
        <v>21.423670000000001</v>
      </c>
      <c r="O403">
        <v>22.740729999999999</v>
      </c>
      <c r="P403">
        <v>22.248556000000001</v>
      </c>
      <c r="Q403">
        <v>21.041381999999999</v>
      </c>
      <c r="R403">
        <v>22.635819999999999</v>
      </c>
      <c r="S403">
        <v>19.640675000000002</v>
      </c>
      <c r="T403">
        <v>22.041112999999999</v>
      </c>
      <c r="U403">
        <v>22.981928</v>
      </c>
      <c r="V403">
        <v>22.494130999999999</v>
      </c>
      <c r="W403">
        <v>22.868272999999999</v>
      </c>
      <c r="X403">
        <v>22.756464000000001</v>
      </c>
      <c r="Y403">
        <v>24.321076999999999</v>
      </c>
      <c r="Z403">
        <v>23.162942999999999</v>
      </c>
      <c r="AA403">
        <v>24.514502</v>
      </c>
      <c r="AB403">
        <v>24.381315000000001</v>
      </c>
      <c r="AC403">
        <v>22.900079999999999</v>
      </c>
      <c r="AD403">
        <v>23.08991</v>
      </c>
      <c r="AE403">
        <v>22.215865999999998</v>
      </c>
      <c r="AF403">
        <v>24.833092000000001</v>
      </c>
      <c r="AG403">
        <v>24.381111000000001</v>
      </c>
    </row>
    <row r="404" spans="1:33" x14ac:dyDescent="0.25">
      <c r="A404" s="1">
        <v>44455</v>
      </c>
      <c r="B404">
        <v>19.934832</v>
      </c>
      <c r="C404">
        <v>20.578516</v>
      </c>
      <c r="D404">
        <v>20.145765000000001</v>
      </c>
      <c r="E404">
        <v>19.870348</v>
      </c>
      <c r="F404">
        <v>20.174931999999998</v>
      </c>
      <c r="G404">
        <v>20.467579000000001</v>
      </c>
      <c r="H404">
        <v>19.44792</v>
      </c>
      <c r="I404">
        <v>18.779654000000001</v>
      </c>
      <c r="J404">
        <v>21.608533999999999</v>
      </c>
      <c r="K404">
        <v>22.410156000000001</v>
      </c>
      <c r="L404">
        <v>22.352464999999999</v>
      </c>
      <c r="M404">
        <v>20.628208000000001</v>
      </c>
      <c r="N404">
        <v>21.075066</v>
      </c>
      <c r="O404">
        <v>22.330629999999999</v>
      </c>
      <c r="P404">
        <v>21.882660000000001</v>
      </c>
      <c r="Q404">
        <v>20.651223999999999</v>
      </c>
      <c r="R404">
        <v>22.247236000000001</v>
      </c>
      <c r="S404">
        <v>18.672056000000001</v>
      </c>
      <c r="T404">
        <v>21.452514999999998</v>
      </c>
      <c r="U404">
        <v>22.669778999999998</v>
      </c>
      <c r="V404">
        <v>22.043379000000002</v>
      </c>
      <c r="W404">
        <v>22.297117</v>
      </c>
      <c r="X404">
        <v>22.332236999999999</v>
      </c>
      <c r="Y404">
        <v>24.100301999999999</v>
      </c>
      <c r="Z404">
        <v>22.735593999999999</v>
      </c>
      <c r="AA404">
        <v>24.218675999999999</v>
      </c>
      <c r="AB404">
        <v>24.158888000000001</v>
      </c>
      <c r="AC404">
        <v>22.638947000000002</v>
      </c>
      <c r="AD404">
        <v>22.730226999999999</v>
      </c>
      <c r="AE404">
        <v>21.877935000000001</v>
      </c>
      <c r="AF404">
        <v>24.659409</v>
      </c>
      <c r="AG404">
        <v>24.020461999999998</v>
      </c>
    </row>
    <row r="405" spans="1:33" x14ac:dyDescent="0.25">
      <c r="A405" s="1">
        <v>44456</v>
      </c>
      <c r="B405">
        <v>19.613240999999999</v>
      </c>
      <c r="C405">
        <v>20.345217000000002</v>
      </c>
      <c r="D405">
        <v>19.719225000000002</v>
      </c>
      <c r="E405">
        <v>19.546852000000001</v>
      </c>
      <c r="F405">
        <v>19.957208999999999</v>
      </c>
      <c r="G405">
        <v>20.254486</v>
      </c>
      <c r="H405">
        <v>19.171572000000001</v>
      </c>
      <c r="I405">
        <v>18.426739999999999</v>
      </c>
      <c r="J405">
        <v>21.37387</v>
      </c>
      <c r="K405">
        <v>22.223091</v>
      </c>
      <c r="L405">
        <v>22.123175</v>
      </c>
      <c r="M405">
        <v>20.405985000000001</v>
      </c>
      <c r="N405">
        <v>20.891912000000001</v>
      </c>
      <c r="O405">
        <v>22.120570000000001</v>
      </c>
      <c r="P405">
        <v>21.697946999999999</v>
      </c>
      <c r="Q405">
        <v>20.45045</v>
      </c>
      <c r="R405">
        <v>22.063265000000001</v>
      </c>
      <c r="S405">
        <v>18.169477000000001</v>
      </c>
      <c r="T405">
        <v>21.113861</v>
      </c>
      <c r="U405">
        <v>22.096954</v>
      </c>
      <c r="V405">
        <v>21.789268</v>
      </c>
      <c r="W405">
        <v>21.746323</v>
      </c>
      <c r="X405">
        <v>22.072899</v>
      </c>
      <c r="Y405">
        <v>23.85228</v>
      </c>
      <c r="Z405">
        <v>22.462568000000001</v>
      </c>
      <c r="AA405">
        <v>24.015512000000001</v>
      </c>
      <c r="AB405">
        <v>23.924868</v>
      </c>
      <c r="AC405">
        <v>22.339853000000002</v>
      </c>
      <c r="AD405">
        <v>22.47944</v>
      </c>
      <c r="AE405">
        <v>21.569320000000001</v>
      </c>
      <c r="AF405">
        <v>24.494295000000001</v>
      </c>
      <c r="AG405">
        <v>23.739135999999998</v>
      </c>
    </row>
    <row r="406" spans="1:33" x14ac:dyDescent="0.25">
      <c r="A406" s="1">
        <v>44457</v>
      </c>
      <c r="B406">
        <v>19.139101</v>
      </c>
      <c r="C406">
        <v>20.147704999999998</v>
      </c>
      <c r="D406">
        <v>19.332602000000001</v>
      </c>
      <c r="E406">
        <v>19.117319999999999</v>
      </c>
      <c r="F406">
        <v>19.718119000000002</v>
      </c>
      <c r="G406">
        <v>20.036149999999999</v>
      </c>
      <c r="H406">
        <v>18.923898999999999</v>
      </c>
      <c r="I406">
        <v>18.280934999999999</v>
      </c>
      <c r="J406">
        <v>21.019770000000001</v>
      </c>
      <c r="K406">
        <v>21.983635</v>
      </c>
      <c r="L406">
        <v>21.805353</v>
      </c>
      <c r="M406">
        <v>20.193300000000001</v>
      </c>
      <c r="N406">
        <v>20.642648999999999</v>
      </c>
      <c r="O406">
        <v>21.809197999999999</v>
      </c>
      <c r="P406">
        <v>21.479149</v>
      </c>
      <c r="Q406">
        <v>20.234124999999999</v>
      </c>
      <c r="R406">
        <v>21.749480999999999</v>
      </c>
      <c r="S406">
        <v>17.891966</v>
      </c>
      <c r="T406">
        <v>20.725926999999999</v>
      </c>
      <c r="U406">
        <v>21.457955999999999</v>
      </c>
      <c r="V406">
        <v>21.354195000000001</v>
      </c>
      <c r="W406">
        <v>21.130963999999999</v>
      </c>
      <c r="X406">
        <v>21.566759999999999</v>
      </c>
      <c r="Y406">
        <v>23.467651</v>
      </c>
      <c r="Z406">
        <v>22.115454</v>
      </c>
      <c r="AA406">
        <v>23.68308</v>
      </c>
      <c r="AB406">
        <v>23.524055000000001</v>
      </c>
      <c r="AC406">
        <v>21.981310000000001</v>
      </c>
      <c r="AD406">
        <v>22.192698</v>
      </c>
      <c r="AE406">
        <v>21.294118999999998</v>
      </c>
      <c r="AF406">
        <v>24.270987999999999</v>
      </c>
      <c r="AG406">
        <v>23.277618</v>
      </c>
    </row>
    <row r="407" spans="1:33" x14ac:dyDescent="0.25">
      <c r="A407" s="1">
        <v>44458</v>
      </c>
      <c r="B407">
        <v>19.296838999999999</v>
      </c>
      <c r="C407">
        <v>20.354378000000001</v>
      </c>
      <c r="D407">
        <v>19.499849999999999</v>
      </c>
      <c r="E407">
        <v>19.124120000000001</v>
      </c>
      <c r="F407">
        <v>19.928175</v>
      </c>
      <c r="G407">
        <v>20.098284</v>
      </c>
      <c r="H407">
        <v>19.016667999999999</v>
      </c>
      <c r="I407">
        <v>18.868395</v>
      </c>
      <c r="J407">
        <v>21.105719000000001</v>
      </c>
      <c r="K407">
        <v>21.87454</v>
      </c>
      <c r="L407">
        <v>21.810770000000002</v>
      </c>
      <c r="M407">
        <v>20.260805000000001</v>
      </c>
      <c r="N407">
        <v>20.706478000000001</v>
      </c>
      <c r="O407">
        <v>21.849785000000001</v>
      </c>
      <c r="P407">
        <v>21.465326000000001</v>
      </c>
      <c r="Q407">
        <v>20.305226999999999</v>
      </c>
      <c r="R407">
        <v>21.779593999999999</v>
      </c>
      <c r="S407">
        <v>18.462827999999998</v>
      </c>
      <c r="T407">
        <v>20.731923999999999</v>
      </c>
      <c r="U407">
        <v>21.128744000000001</v>
      </c>
      <c r="V407">
        <v>21.363779999999998</v>
      </c>
      <c r="W407">
        <v>20.849934000000001</v>
      </c>
      <c r="X407">
        <v>21.554694999999999</v>
      </c>
      <c r="Y407">
        <v>23.122260000000001</v>
      </c>
      <c r="Z407">
        <v>22.07302</v>
      </c>
      <c r="AA407">
        <v>23.438448000000001</v>
      </c>
      <c r="AB407">
        <v>23.204644999999999</v>
      </c>
      <c r="AC407">
        <v>21.555983999999999</v>
      </c>
      <c r="AD407">
        <v>22.123809999999999</v>
      </c>
      <c r="AE407">
        <v>21.380742999999999</v>
      </c>
      <c r="AF407">
        <v>24.069908000000002</v>
      </c>
      <c r="AG407">
        <v>23.037437000000001</v>
      </c>
    </row>
    <row r="408" spans="1:33" x14ac:dyDescent="0.25">
      <c r="A408" s="1">
        <v>44459</v>
      </c>
      <c r="B408">
        <v>19.354944</v>
      </c>
      <c r="C408">
        <v>20.400041999999999</v>
      </c>
      <c r="D408">
        <v>19.726459999999999</v>
      </c>
      <c r="E408">
        <v>19.201342</v>
      </c>
      <c r="F408">
        <v>20.019434</v>
      </c>
      <c r="G408">
        <v>20.115551</v>
      </c>
      <c r="H408">
        <v>19.137347999999999</v>
      </c>
      <c r="I408">
        <v>19.284261999999998</v>
      </c>
      <c r="J408">
        <v>20.827750000000002</v>
      </c>
      <c r="K408">
        <v>21.781476999999999</v>
      </c>
      <c r="L408">
        <v>21.676804000000001</v>
      </c>
      <c r="M408">
        <v>20.269379000000001</v>
      </c>
      <c r="N408">
        <v>20.672067999999999</v>
      </c>
      <c r="O408">
        <v>21.695060000000002</v>
      </c>
      <c r="P408">
        <v>21.388708000000001</v>
      </c>
      <c r="Q408">
        <v>20.328392000000001</v>
      </c>
      <c r="R408">
        <v>21.661964000000001</v>
      </c>
      <c r="S408">
        <v>18.392748000000001</v>
      </c>
      <c r="T408">
        <v>20.653704000000001</v>
      </c>
      <c r="U408">
        <v>21.010805000000001</v>
      </c>
      <c r="V408">
        <v>21.113160000000001</v>
      </c>
      <c r="W408">
        <v>20.669568999999999</v>
      </c>
      <c r="X408">
        <v>21.275347</v>
      </c>
      <c r="Y408">
        <v>22.714932999999998</v>
      </c>
      <c r="Z408">
        <v>21.881226999999999</v>
      </c>
      <c r="AA408">
        <v>23.130303999999999</v>
      </c>
      <c r="AB408">
        <v>22.758821000000001</v>
      </c>
      <c r="AC408">
        <v>20.814019999999999</v>
      </c>
      <c r="AD408">
        <v>21.980585000000001</v>
      </c>
      <c r="AE408">
        <v>20.884824999999999</v>
      </c>
      <c r="AF408">
        <v>23.748442000000001</v>
      </c>
      <c r="AG408">
        <v>22.630120999999999</v>
      </c>
    </row>
    <row r="409" spans="1:33" x14ac:dyDescent="0.25">
      <c r="A409" s="1">
        <v>44460</v>
      </c>
      <c r="B409">
        <v>19.654437999999999</v>
      </c>
      <c r="C409">
        <v>20.622039999999998</v>
      </c>
      <c r="D409">
        <v>19.996373999999999</v>
      </c>
      <c r="E409">
        <v>19.448193</v>
      </c>
      <c r="F409">
        <v>20.279305000000001</v>
      </c>
      <c r="G409">
        <v>20.263224000000001</v>
      </c>
      <c r="H409">
        <v>19.361719999999998</v>
      </c>
      <c r="I409">
        <v>19.872648000000002</v>
      </c>
      <c r="J409">
        <v>21.125643</v>
      </c>
      <c r="K409">
        <v>21.87969</v>
      </c>
      <c r="L409">
        <v>21.757211999999999</v>
      </c>
      <c r="M409">
        <v>20.421955000000001</v>
      </c>
      <c r="N409">
        <v>20.793500000000002</v>
      </c>
      <c r="O409">
        <v>21.734307999999999</v>
      </c>
      <c r="P409">
        <v>21.438735999999999</v>
      </c>
      <c r="Q409">
        <v>20.480677</v>
      </c>
      <c r="R409">
        <v>21.703316000000001</v>
      </c>
      <c r="S409">
        <v>18.580573999999999</v>
      </c>
      <c r="T409">
        <v>20.744394</v>
      </c>
      <c r="U409">
        <v>21.131257999999999</v>
      </c>
      <c r="V409">
        <v>21.042342999999999</v>
      </c>
      <c r="W409">
        <v>20.662217999999999</v>
      </c>
      <c r="X409">
        <v>21.107298</v>
      </c>
      <c r="Y409">
        <v>22.586313000000001</v>
      </c>
      <c r="Z409">
        <v>21.911909999999999</v>
      </c>
      <c r="AA409">
        <v>23.081163</v>
      </c>
      <c r="AB409">
        <v>22.614011999999999</v>
      </c>
      <c r="AC409">
        <v>20.474820999999999</v>
      </c>
      <c r="AD409">
        <v>21.957280999999998</v>
      </c>
      <c r="AE409">
        <v>20.791346000000001</v>
      </c>
      <c r="AF409">
        <v>23.614000000000001</v>
      </c>
      <c r="AG409">
        <v>22.639807000000001</v>
      </c>
    </row>
    <row r="410" spans="1:33" x14ac:dyDescent="0.25">
      <c r="A410" s="1">
        <v>44461</v>
      </c>
      <c r="B410">
        <v>19.810231999999999</v>
      </c>
      <c r="C410">
        <v>20.627779</v>
      </c>
      <c r="D410">
        <v>20.139510000000001</v>
      </c>
      <c r="E410">
        <v>19.715257999999999</v>
      </c>
      <c r="F410">
        <v>20.232310999999999</v>
      </c>
      <c r="G410">
        <v>20.291903000000001</v>
      </c>
      <c r="H410">
        <v>19.411455</v>
      </c>
      <c r="I410">
        <v>19.785596999999999</v>
      </c>
      <c r="J410">
        <v>21.222496</v>
      </c>
      <c r="K410">
        <v>21.828475999999998</v>
      </c>
      <c r="L410">
        <v>21.734634</v>
      </c>
      <c r="M410">
        <v>20.436002999999999</v>
      </c>
      <c r="N410">
        <v>20.713242000000001</v>
      </c>
      <c r="O410">
        <v>21.688932000000001</v>
      </c>
      <c r="P410">
        <v>21.360890999999999</v>
      </c>
      <c r="Q410">
        <v>20.489958000000001</v>
      </c>
      <c r="R410">
        <v>21.647611999999999</v>
      </c>
      <c r="S410">
        <v>18.888864999999999</v>
      </c>
      <c r="T410">
        <v>20.719860000000001</v>
      </c>
      <c r="U410">
        <v>21.352564000000001</v>
      </c>
      <c r="V410">
        <v>20.953474</v>
      </c>
      <c r="W410">
        <v>20.4849</v>
      </c>
      <c r="X410">
        <v>21.041810000000002</v>
      </c>
      <c r="Y410">
        <v>22.701065</v>
      </c>
      <c r="Z410">
        <v>22.012197</v>
      </c>
      <c r="AA410">
        <v>23.153738000000001</v>
      </c>
      <c r="AB410">
        <v>22.711271</v>
      </c>
      <c r="AC410">
        <v>20.645021</v>
      </c>
      <c r="AD410">
        <v>21.92492</v>
      </c>
      <c r="AE410">
        <v>21.54515</v>
      </c>
      <c r="AF410">
        <v>23.654838999999999</v>
      </c>
      <c r="AG410">
        <v>22.862703</v>
      </c>
    </row>
    <row r="411" spans="1:33" x14ac:dyDescent="0.25">
      <c r="A411" s="1">
        <v>44462</v>
      </c>
      <c r="B411">
        <v>19.892004</v>
      </c>
      <c r="C411">
        <v>20.563776000000001</v>
      </c>
      <c r="D411">
        <v>20.225491999999999</v>
      </c>
      <c r="E411">
        <v>19.828499000000001</v>
      </c>
      <c r="F411">
        <v>20.155366999999998</v>
      </c>
      <c r="G411">
        <v>20.251436000000002</v>
      </c>
      <c r="H411">
        <v>19.444792</v>
      </c>
      <c r="I411">
        <v>19.582643999999998</v>
      </c>
      <c r="J411">
        <v>21.176928</v>
      </c>
      <c r="K411">
        <v>21.750895</v>
      </c>
      <c r="L411">
        <v>21.689985</v>
      </c>
      <c r="M411">
        <v>20.383402</v>
      </c>
      <c r="N411">
        <v>20.629314000000001</v>
      </c>
      <c r="O411">
        <v>21.654526000000001</v>
      </c>
      <c r="P411">
        <v>21.274142999999999</v>
      </c>
      <c r="Q411">
        <v>20.433336000000001</v>
      </c>
      <c r="R411">
        <v>21.612349999999999</v>
      </c>
      <c r="S411">
        <v>18.882742</v>
      </c>
      <c r="T411">
        <v>20.658412999999999</v>
      </c>
      <c r="U411">
        <v>21.552520000000001</v>
      </c>
      <c r="V411">
        <v>20.901094000000001</v>
      </c>
      <c r="W411">
        <v>20.363447000000001</v>
      </c>
      <c r="X411">
        <v>21.00656</v>
      </c>
      <c r="Y411">
        <v>22.661346000000002</v>
      </c>
      <c r="Z411">
        <v>22.018602000000001</v>
      </c>
      <c r="AA411">
        <v>23.102066000000001</v>
      </c>
      <c r="AB411">
        <v>22.691182999999999</v>
      </c>
      <c r="AC411">
        <v>20.691547</v>
      </c>
      <c r="AD411">
        <v>21.882883</v>
      </c>
      <c r="AE411">
        <v>21.672705000000001</v>
      </c>
      <c r="AF411">
        <v>23.627068000000001</v>
      </c>
      <c r="AG411">
        <v>22.867615000000001</v>
      </c>
    </row>
    <row r="412" spans="1:33" x14ac:dyDescent="0.25">
      <c r="A412" s="1">
        <v>44463</v>
      </c>
      <c r="B412">
        <v>20.174752999999999</v>
      </c>
      <c r="C412">
        <v>20.593702</v>
      </c>
      <c r="D412">
        <v>20.384295000000002</v>
      </c>
      <c r="E412">
        <v>20.00788</v>
      </c>
      <c r="F412">
        <v>20.216839</v>
      </c>
      <c r="G412">
        <v>20.315825</v>
      </c>
      <c r="H412">
        <v>19.512663</v>
      </c>
      <c r="I412">
        <v>19.764703999999998</v>
      </c>
      <c r="J412">
        <v>21.333855</v>
      </c>
      <c r="K412">
        <v>21.825406999999998</v>
      </c>
      <c r="L412">
        <v>21.757950000000001</v>
      </c>
      <c r="M412">
        <v>20.479451999999998</v>
      </c>
      <c r="N412">
        <v>20.750826</v>
      </c>
      <c r="O412">
        <v>21.68927</v>
      </c>
      <c r="P412">
        <v>21.331354000000001</v>
      </c>
      <c r="Q412">
        <v>20.508351999999999</v>
      </c>
      <c r="R412">
        <v>21.642685</v>
      </c>
      <c r="S412">
        <v>19.226917</v>
      </c>
      <c r="T412">
        <v>20.759855000000002</v>
      </c>
      <c r="U412">
        <v>20.980454999999999</v>
      </c>
      <c r="V412">
        <v>20.879363999999999</v>
      </c>
      <c r="W412">
        <v>20.286318000000001</v>
      </c>
      <c r="X412">
        <v>20.899270000000001</v>
      </c>
      <c r="Y412">
        <v>22.699438000000001</v>
      </c>
      <c r="Z412">
        <v>22.028236</v>
      </c>
      <c r="AA412">
        <v>23.090568999999999</v>
      </c>
      <c r="AB412">
        <v>22.703700000000001</v>
      </c>
      <c r="AC412">
        <v>20.742087999999999</v>
      </c>
      <c r="AD412">
        <v>21.910841000000001</v>
      </c>
      <c r="AE412">
        <v>21.314620000000001</v>
      </c>
      <c r="AF412">
        <v>23.595410999999999</v>
      </c>
      <c r="AG412">
        <v>22.895890999999999</v>
      </c>
    </row>
    <row r="413" spans="1:33" x14ac:dyDescent="0.25">
      <c r="A413" s="1">
        <v>44464</v>
      </c>
      <c r="B413">
        <v>19.769521999999998</v>
      </c>
      <c r="C413">
        <v>20.280698999999998</v>
      </c>
      <c r="D413">
        <v>20.184103</v>
      </c>
      <c r="E413">
        <v>19.818048000000001</v>
      </c>
      <c r="F413">
        <v>19.795259999999999</v>
      </c>
      <c r="G413">
        <v>20.164774000000001</v>
      </c>
      <c r="H413">
        <v>19.374604999999999</v>
      </c>
      <c r="I413">
        <v>18.979296000000001</v>
      </c>
      <c r="J413">
        <v>20.893984</v>
      </c>
      <c r="K413">
        <v>21.61646</v>
      </c>
      <c r="L413">
        <v>21.602257000000002</v>
      </c>
      <c r="M413">
        <v>20.257189</v>
      </c>
      <c r="N413">
        <v>20.484373000000001</v>
      </c>
      <c r="O413">
        <v>21.483796999999999</v>
      </c>
      <c r="P413">
        <v>21.137090000000001</v>
      </c>
      <c r="Q413">
        <v>20.347985999999999</v>
      </c>
      <c r="R413">
        <v>21.470666999999999</v>
      </c>
      <c r="S413">
        <v>18.686765999999999</v>
      </c>
      <c r="T413">
        <v>20.534227000000001</v>
      </c>
      <c r="U413">
        <v>20.232904000000001</v>
      </c>
      <c r="V413">
        <v>20.539774000000001</v>
      </c>
      <c r="W413">
        <v>20.254529999999999</v>
      </c>
      <c r="X413">
        <v>20.562538</v>
      </c>
      <c r="Y413">
        <v>22.641396</v>
      </c>
      <c r="Z413">
        <v>21.777850000000001</v>
      </c>
      <c r="AA413">
        <v>23.012122999999999</v>
      </c>
      <c r="AB413">
        <v>22.639569999999999</v>
      </c>
      <c r="AC413">
        <v>20.739163999999999</v>
      </c>
      <c r="AD413">
        <v>21.788405999999998</v>
      </c>
      <c r="AE413">
        <v>21.361623999999999</v>
      </c>
      <c r="AF413">
        <v>23.515017</v>
      </c>
      <c r="AG413">
        <v>22.815750000000001</v>
      </c>
    </row>
    <row r="414" spans="1:33" x14ac:dyDescent="0.25">
      <c r="A414" s="1">
        <v>44465</v>
      </c>
      <c r="B414">
        <v>19.472791999999998</v>
      </c>
      <c r="C414">
        <v>20.005980000000001</v>
      </c>
      <c r="D414">
        <v>19.834389999999999</v>
      </c>
      <c r="E414">
        <v>19.562555</v>
      </c>
      <c r="F414">
        <v>19.548525000000001</v>
      </c>
      <c r="G414">
        <v>19.898026000000002</v>
      </c>
      <c r="H414">
        <v>19.193643999999999</v>
      </c>
      <c r="I414">
        <v>18.476467</v>
      </c>
      <c r="J414">
        <v>20.299585</v>
      </c>
      <c r="K414">
        <v>21.312671999999999</v>
      </c>
      <c r="L414">
        <v>21.261835000000001</v>
      </c>
      <c r="M414">
        <v>19.99419</v>
      </c>
      <c r="N414">
        <v>20.197310000000002</v>
      </c>
      <c r="O414">
        <v>21.168322</v>
      </c>
      <c r="P414">
        <v>20.848548999999998</v>
      </c>
      <c r="Q414">
        <v>20.064962000000001</v>
      </c>
      <c r="R414">
        <v>21.179089999999999</v>
      </c>
      <c r="S414">
        <v>18.108871000000001</v>
      </c>
      <c r="T414">
        <v>20.17792</v>
      </c>
      <c r="U414">
        <v>20.104420000000001</v>
      </c>
      <c r="V414">
        <v>20.253806999999998</v>
      </c>
      <c r="W414">
        <v>20.142119999999998</v>
      </c>
      <c r="X414">
        <v>20.286116</v>
      </c>
      <c r="Y414">
        <v>22.456296999999999</v>
      </c>
      <c r="Z414">
        <v>21.369613999999999</v>
      </c>
      <c r="AA414">
        <v>22.840612</v>
      </c>
      <c r="AB414">
        <v>22.440048000000001</v>
      </c>
      <c r="AC414">
        <v>20.590879999999999</v>
      </c>
      <c r="AD414">
        <v>21.505704999999999</v>
      </c>
      <c r="AE414">
        <v>21.008333</v>
      </c>
      <c r="AF414">
        <v>23.403444</v>
      </c>
      <c r="AG414">
        <v>22.632760000000001</v>
      </c>
    </row>
    <row r="415" spans="1:33" x14ac:dyDescent="0.25">
      <c r="A415" s="1">
        <v>44466</v>
      </c>
      <c r="B415">
        <v>19.094282</v>
      </c>
      <c r="C415">
        <v>19.81427</v>
      </c>
      <c r="D415">
        <v>19.414774000000001</v>
      </c>
      <c r="E415">
        <v>19.231179999999998</v>
      </c>
      <c r="F415">
        <v>19.372166</v>
      </c>
      <c r="G415">
        <v>19.610163</v>
      </c>
      <c r="H415">
        <v>18.963761999999999</v>
      </c>
      <c r="I415">
        <v>18.049099999999999</v>
      </c>
      <c r="J415">
        <v>19.771246000000001</v>
      </c>
      <c r="K415">
        <v>21.012398000000001</v>
      </c>
      <c r="L415">
        <v>20.901209000000001</v>
      </c>
      <c r="M415">
        <v>19.75817</v>
      </c>
      <c r="N415">
        <v>19.942484</v>
      </c>
      <c r="O415">
        <v>20.838965999999999</v>
      </c>
      <c r="P415">
        <v>20.603860000000001</v>
      </c>
      <c r="Q415">
        <v>19.762101999999999</v>
      </c>
      <c r="R415">
        <v>20.868818000000001</v>
      </c>
      <c r="S415">
        <v>17.412136</v>
      </c>
      <c r="T415">
        <v>19.779976000000001</v>
      </c>
      <c r="U415">
        <v>20.083262999999999</v>
      </c>
      <c r="V415">
        <v>19.891438000000001</v>
      </c>
      <c r="W415">
        <v>20.105540000000001</v>
      </c>
      <c r="X415">
        <v>19.897086999999999</v>
      </c>
      <c r="Y415">
        <v>21.966887</v>
      </c>
      <c r="Z415">
        <v>20.895745999999999</v>
      </c>
      <c r="AA415">
        <v>22.551221999999999</v>
      </c>
      <c r="AB415">
        <v>22.022010000000002</v>
      </c>
      <c r="AC415">
        <v>20.081240000000001</v>
      </c>
      <c r="AD415">
        <v>21.181335000000001</v>
      </c>
      <c r="AE415">
        <v>20.136972</v>
      </c>
      <c r="AF415">
        <v>23.199943999999999</v>
      </c>
      <c r="AG415">
        <v>22.215077999999998</v>
      </c>
    </row>
    <row r="416" spans="1:33" x14ac:dyDescent="0.25">
      <c r="A416" s="1">
        <v>44467</v>
      </c>
      <c r="B416">
        <v>18.788338</v>
      </c>
      <c r="C416">
        <v>19.523392000000001</v>
      </c>
      <c r="D416">
        <v>19.175514</v>
      </c>
      <c r="E416">
        <v>18.981739999999999</v>
      </c>
      <c r="F416">
        <v>19.2865</v>
      </c>
      <c r="G416">
        <v>19.451592999999999</v>
      </c>
      <c r="H416">
        <v>18.935106000000001</v>
      </c>
      <c r="I416">
        <v>17.934946</v>
      </c>
      <c r="J416">
        <v>19.047543999999998</v>
      </c>
      <c r="K416">
        <v>20.708196999999998</v>
      </c>
      <c r="L416">
        <v>20.527151</v>
      </c>
      <c r="M416">
        <v>19.546654</v>
      </c>
      <c r="N416">
        <v>19.727008999999999</v>
      </c>
      <c r="O416">
        <v>20.501180000000002</v>
      </c>
      <c r="P416">
        <v>20.297604</v>
      </c>
      <c r="Q416">
        <v>19.619966999999999</v>
      </c>
      <c r="R416">
        <v>20.555208</v>
      </c>
      <c r="S416">
        <v>17.271715</v>
      </c>
      <c r="T416">
        <v>19.529419999999998</v>
      </c>
      <c r="U416">
        <v>19.889092999999999</v>
      </c>
      <c r="V416">
        <v>19.700482999999998</v>
      </c>
      <c r="W416">
        <v>19.847185</v>
      </c>
      <c r="X416">
        <v>19.780268</v>
      </c>
      <c r="Y416">
        <v>21.410382999999999</v>
      </c>
      <c r="Z416">
        <v>20.469625000000001</v>
      </c>
      <c r="AA416">
        <v>22.009920000000001</v>
      </c>
      <c r="AB416">
        <v>21.547684</v>
      </c>
      <c r="AC416">
        <v>19.321535000000001</v>
      </c>
      <c r="AD416">
        <v>20.859220000000001</v>
      </c>
      <c r="AE416">
        <v>19.422194000000001</v>
      </c>
      <c r="AF416">
        <v>22.753095999999999</v>
      </c>
      <c r="AG416">
        <v>21.522573000000001</v>
      </c>
    </row>
    <row r="417" spans="1:33" x14ac:dyDescent="0.25">
      <c r="A417" s="1">
        <v>44468</v>
      </c>
      <c r="B417">
        <v>18.667172999999998</v>
      </c>
      <c r="C417">
        <v>19.386478</v>
      </c>
      <c r="D417">
        <v>19.014234999999999</v>
      </c>
      <c r="E417">
        <v>18.81428</v>
      </c>
      <c r="F417">
        <v>19.110247000000001</v>
      </c>
      <c r="G417">
        <v>19.208271</v>
      </c>
      <c r="H417">
        <v>18.738645999999999</v>
      </c>
      <c r="I417">
        <v>17.730433000000001</v>
      </c>
      <c r="J417">
        <v>18.426817</v>
      </c>
      <c r="K417">
        <v>20.435120000000001</v>
      </c>
      <c r="L417">
        <v>20.062467999999999</v>
      </c>
      <c r="M417">
        <v>19.272337</v>
      </c>
      <c r="N417">
        <v>19.395727000000001</v>
      </c>
      <c r="O417">
        <v>20.084589999999999</v>
      </c>
      <c r="P417">
        <v>19.918469999999999</v>
      </c>
      <c r="Q417">
        <v>19.321556000000001</v>
      </c>
      <c r="R417">
        <v>20.194379999999999</v>
      </c>
      <c r="S417">
        <v>16.262587</v>
      </c>
      <c r="T417">
        <v>19.115684999999999</v>
      </c>
      <c r="U417">
        <v>19.546589000000001</v>
      </c>
      <c r="V417">
        <v>19.474900000000002</v>
      </c>
      <c r="W417">
        <v>19.421731999999999</v>
      </c>
      <c r="X417">
        <v>19.555809</v>
      </c>
      <c r="Y417">
        <v>20.722650000000002</v>
      </c>
      <c r="Z417">
        <v>19.902052000000001</v>
      </c>
      <c r="AA417">
        <v>21.365738</v>
      </c>
      <c r="AB417">
        <v>20.788065</v>
      </c>
      <c r="AC417">
        <v>18.406079999999999</v>
      </c>
      <c r="AD417">
        <v>20.424309000000001</v>
      </c>
      <c r="AE417">
        <v>18.518404</v>
      </c>
      <c r="AF417">
        <v>22.230934000000001</v>
      </c>
      <c r="AG417">
        <v>20.736056999999999</v>
      </c>
    </row>
    <row r="418" spans="1:33" x14ac:dyDescent="0.25">
      <c r="A418" s="1">
        <v>44469</v>
      </c>
      <c r="B418">
        <v>18.951491999999998</v>
      </c>
      <c r="C418">
        <v>19.385590000000001</v>
      </c>
      <c r="D418">
        <v>19.020727000000001</v>
      </c>
      <c r="E418">
        <v>18.805866000000002</v>
      </c>
      <c r="F418">
        <v>19.207841999999999</v>
      </c>
      <c r="G418">
        <v>19.137143999999999</v>
      </c>
      <c r="H418">
        <v>18.727169</v>
      </c>
      <c r="I418">
        <v>18.010756000000001</v>
      </c>
      <c r="J418">
        <v>18.550132999999999</v>
      </c>
      <c r="K418">
        <v>20.362390000000001</v>
      </c>
      <c r="L418">
        <v>19.976182999999999</v>
      </c>
      <c r="M418">
        <v>19.238783000000002</v>
      </c>
      <c r="N418">
        <v>19.359673999999998</v>
      </c>
      <c r="O418">
        <v>20.047633999999999</v>
      </c>
      <c r="P418">
        <v>19.841937999999999</v>
      </c>
      <c r="Q418">
        <v>19.267655999999999</v>
      </c>
      <c r="R418">
        <v>20.110250000000001</v>
      </c>
      <c r="S418">
        <v>16.017786000000001</v>
      </c>
      <c r="T418">
        <v>19.047135999999998</v>
      </c>
      <c r="U418">
        <v>19.384236999999999</v>
      </c>
      <c r="V418">
        <v>19.457795999999998</v>
      </c>
      <c r="W418">
        <v>19.176473999999999</v>
      </c>
      <c r="X418">
        <v>19.535675000000001</v>
      </c>
      <c r="Y418">
        <v>20.421060000000001</v>
      </c>
      <c r="Z418">
        <v>19.657540999999998</v>
      </c>
      <c r="AA418">
        <v>21.127397999999999</v>
      </c>
      <c r="AB418">
        <v>20.588007000000001</v>
      </c>
      <c r="AC418">
        <v>18.14847</v>
      </c>
      <c r="AD418">
        <v>20.227823000000001</v>
      </c>
      <c r="AE418">
        <v>18.437812999999998</v>
      </c>
      <c r="AF418">
        <v>21.985678</v>
      </c>
      <c r="AG418">
        <v>20.526153999999998</v>
      </c>
    </row>
    <row r="419" spans="1:33" x14ac:dyDescent="0.25">
      <c r="A419" s="1">
        <v>44470</v>
      </c>
      <c r="B419">
        <v>19.309328000000001</v>
      </c>
      <c r="C419">
        <v>19.493722999999999</v>
      </c>
      <c r="D419">
        <v>19.197626</v>
      </c>
      <c r="E419">
        <v>18.968357000000001</v>
      </c>
      <c r="F419">
        <v>19.481745</v>
      </c>
      <c r="G419">
        <v>19.269231999999999</v>
      </c>
      <c r="H419">
        <v>18.845970000000001</v>
      </c>
      <c r="I419">
        <v>18.733685999999999</v>
      </c>
      <c r="J419">
        <v>18.985510000000001</v>
      </c>
      <c r="K419">
        <v>20.447690000000001</v>
      </c>
      <c r="L419">
        <v>20.048729000000002</v>
      </c>
      <c r="M419">
        <v>19.382394999999999</v>
      </c>
      <c r="N419">
        <v>19.48715</v>
      </c>
      <c r="O419">
        <v>20.042014999999999</v>
      </c>
      <c r="P419">
        <v>19.915897000000001</v>
      </c>
      <c r="Q419">
        <v>19.382887</v>
      </c>
      <c r="R419">
        <v>20.123419999999999</v>
      </c>
      <c r="S419">
        <v>16.285502999999999</v>
      </c>
      <c r="T419">
        <v>19.103113</v>
      </c>
      <c r="U419">
        <v>19.163736</v>
      </c>
      <c r="V419">
        <v>19.46405</v>
      </c>
      <c r="W419">
        <v>19.009844000000001</v>
      </c>
      <c r="X419">
        <v>19.565725</v>
      </c>
      <c r="Y419">
        <v>20.386980000000001</v>
      </c>
      <c r="Z419">
        <v>19.669706000000001</v>
      </c>
      <c r="AA419">
        <v>21.119233999999999</v>
      </c>
      <c r="AB419">
        <v>20.374251999999998</v>
      </c>
      <c r="AC419">
        <v>18.124116999999998</v>
      </c>
      <c r="AD419">
        <v>20.215868</v>
      </c>
      <c r="AE419">
        <v>18.501846</v>
      </c>
      <c r="AF419">
        <v>21.870574999999999</v>
      </c>
      <c r="AG419">
        <v>20.520413999999999</v>
      </c>
    </row>
    <row r="420" spans="1:33" x14ac:dyDescent="0.25">
      <c r="A420" s="1">
        <v>44471</v>
      </c>
      <c r="B420">
        <v>19.556038000000001</v>
      </c>
      <c r="C420">
        <v>19.586893</v>
      </c>
      <c r="D420">
        <v>19.439173</v>
      </c>
      <c r="E420">
        <v>19.204519999999999</v>
      </c>
      <c r="F420">
        <v>19.638697000000001</v>
      </c>
      <c r="G420">
        <v>19.424616</v>
      </c>
      <c r="H420">
        <v>19.037811000000001</v>
      </c>
      <c r="I420">
        <v>19.320889999999999</v>
      </c>
      <c r="J420">
        <v>19.475529999999999</v>
      </c>
      <c r="K420">
        <v>20.519323</v>
      </c>
      <c r="L420">
        <v>20.140599999999999</v>
      </c>
      <c r="M420">
        <v>19.531818000000001</v>
      </c>
      <c r="N420">
        <v>19.593264000000001</v>
      </c>
      <c r="O420">
        <v>20.075303999999999</v>
      </c>
      <c r="P420">
        <v>20.013390999999999</v>
      </c>
      <c r="Q420">
        <v>19.508118</v>
      </c>
      <c r="R420">
        <v>20.148205000000001</v>
      </c>
      <c r="S420">
        <v>16.847809000000002</v>
      </c>
      <c r="T420">
        <v>19.225823999999999</v>
      </c>
      <c r="U420">
        <v>19.096727000000001</v>
      </c>
      <c r="V420">
        <v>19.592790000000001</v>
      </c>
      <c r="W420">
        <v>18.877223999999998</v>
      </c>
      <c r="X420">
        <v>19.657038</v>
      </c>
      <c r="Y420">
        <v>20.463114000000001</v>
      </c>
      <c r="Z420">
        <v>19.825745000000001</v>
      </c>
      <c r="AA420">
        <v>21.147732000000001</v>
      </c>
      <c r="AB420">
        <v>20.479337999999998</v>
      </c>
      <c r="AC420">
        <v>18.271947999999998</v>
      </c>
      <c r="AD420">
        <v>20.250965000000001</v>
      </c>
      <c r="AE420">
        <v>19.062918</v>
      </c>
      <c r="AF420">
        <v>21.814209000000002</v>
      </c>
      <c r="AG420">
        <v>20.631315000000001</v>
      </c>
    </row>
    <row r="421" spans="1:33" x14ac:dyDescent="0.25">
      <c r="A421" s="1">
        <v>44472</v>
      </c>
      <c r="B421">
        <v>19.66517</v>
      </c>
      <c r="C421">
        <v>19.693857000000001</v>
      </c>
      <c r="D421">
        <v>19.654722</v>
      </c>
      <c r="E421">
        <v>19.39339</v>
      </c>
      <c r="F421">
        <v>19.74774</v>
      </c>
      <c r="G421">
        <v>19.568916000000002</v>
      </c>
      <c r="H421">
        <v>19.199083000000002</v>
      </c>
      <c r="I421">
        <v>19.677413999999999</v>
      </c>
      <c r="J421">
        <v>19.845396000000001</v>
      </c>
      <c r="K421">
        <v>20.607233000000001</v>
      </c>
      <c r="L421">
        <v>20.202175</v>
      </c>
      <c r="M421">
        <v>19.665797999999999</v>
      </c>
      <c r="N421">
        <v>19.678276</v>
      </c>
      <c r="O421">
        <v>20.095112</v>
      </c>
      <c r="P421">
        <v>20.106182</v>
      </c>
      <c r="Q421">
        <v>19.630193999999999</v>
      </c>
      <c r="R421">
        <v>20.167490000000001</v>
      </c>
      <c r="S421">
        <v>17.380486999999999</v>
      </c>
      <c r="T421">
        <v>19.313787000000001</v>
      </c>
      <c r="U421">
        <v>18.947141999999999</v>
      </c>
      <c r="V421">
        <v>19.600560000000002</v>
      </c>
      <c r="W421">
        <v>18.742208000000002</v>
      </c>
      <c r="X421">
        <v>19.620943</v>
      </c>
      <c r="Y421">
        <v>20.569403000000001</v>
      </c>
      <c r="Z421">
        <v>19.963314</v>
      </c>
      <c r="AA421">
        <v>21.206976000000001</v>
      </c>
      <c r="AB421">
        <v>20.589727</v>
      </c>
      <c r="AC421">
        <v>18.40832</v>
      </c>
      <c r="AD421">
        <v>20.282731999999999</v>
      </c>
      <c r="AE421">
        <v>19.565878000000001</v>
      </c>
      <c r="AF421">
        <v>21.750456</v>
      </c>
      <c r="AG421">
        <v>20.741897999999999</v>
      </c>
    </row>
    <row r="422" spans="1:33" x14ac:dyDescent="0.25">
      <c r="A422" s="1">
        <v>44473</v>
      </c>
      <c r="B422">
        <v>19.71152</v>
      </c>
      <c r="C422">
        <v>19.794031</v>
      </c>
      <c r="D422">
        <v>19.753157000000002</v>
      </c>
      <c r="E422">
        <v>19.517037999999999</v>
      </c>
      <c r="F422">
        <v>19.784929999999999</v>
      </c>
      <c r="G422">
        <v>19.683530000000001</v>
      </c>
      <c r="H422">
        <v>19.303526000000002</v>
      </c>
      <c r="I422">
        <v>19.795159999999999</v>
      </c>
      <c r="J422">
        <v>20.036937999999999</v>
      </c>
      <c r="K422">
        <v>20.65484</v>
      </c>
      <c r="L422">
        <v>20.228155000000001</v>
      </c>
      <c r="M422">
        <v>19.762098000000002</v>
      </c>
      <c r="N422">
        <v>19.699669</v>
      </c>
      <c r="O422">
        <v>20.096976999999999</v>
      </c>
      <c r="P422">
        <v>20.160183</v>
      </c>
      <c r="Q422">
        <v>19.733892000000001</v>
      </c>
      <c r="R422">
        <v>20.159289999999999</v>
      </c>
      <c r="S422">
        <v>17.717527</v>
      </c>
      <c r="T422">
        <v>19.337779999999999</v>
      </c>
      <c r="U422">
        <v>18.987120000000001</v>
      </c>
      <c r="V422">
        <v>19.533504000000001</v>
      </c>
      <c r="W422">
        <v>18.709309999999999</v>
      </c>
      <c r="X422">
        <v>19.507338000000001</v>
      </c>
      <c r="Y422">
        <v>20.653572</v>
      </c>
      <c r="Z422">
        <v>19.992723000000002</v>
      </c>
      <c r="AA422">
        <v>21.268595000000001</v>
      </c>
      <c r="AB422">
        <v>20.685054999999998</v>
      </c>
      <c r="AC422">
        <v>18.430842999999999</v>
      </c>
      <c r="AD422">
        <v>20.285848999999999</v>
      </c>
      <c r="AE422">
        <v>19.695941999999999</v>
      </c>
      <c r="AF422">
        <v>21.6662</v>
      </c>
      <c r="AG422">
        <v>20.78689</v>
      </c>
    </row>
    <row r="423" spans="1:33" x14ac:dyDescent="0.25">
      <c r="A423" s="1">
        <v>44474</v>
      </c>
      <c r="B423">
        <v>19.266539000000002</v>
      </c>
      <c r="C423">
        <v>19.500238</v>
      </c>
      <c r="D423">
        <v>19.424246</v>
      </c>
      <c r="E423">
        <v>19.275483999999999</v>
      </c>
      <c r="F423">
        <v>19.329284999999999</v>
      </c>
      <c r="G423">
        <v>19.539473999999998</v>
      </c>
      <c r="H423">
        <v>19.111032000000002</v>
      </c>
      <c r="I423">
        <v>18.836549999999999</v>
      </c>
      <c r="J423">
        <v>19.823286</v>
      </c>
      <c r="K423">
        <v>20.451170000000001</v>
      </c>
      <c r="L423">
        <v>20.049787999999999</v>
      </c>
      <c r="M423">
        <v>19.566735999999999</v>
      </c>
      <c r="N423">
        <v>19.417545</v>
      </c>
      <c r="O423">
        <v>19.948847000000001</v>
      </c>
      <c r="P423">
        <v>19.992363000000001</v>
      </c>
      <c r="Q423">
        <v>19.570885000000001</v>
      </c>
      <c r="R423">
        <v>19.97899</v>
      </c>
      <c r="S423">
        <v>17.400002000000001</v>
      </c>
      <c r="T423">
        <v>19.079367000000001</v>
      </c>
      <c r="U423">
        <v>19.038060999999999</v>
      </c>
      <c r="V423">
        <v>19.120253000000002</v>
      </c>
      <c r="W423">
        <v>18.741861</v>
      </c>
      <c r="X423">
        <v>19.070924999999999</v>
      </c>
      <c r="Y423">
        <v>20.548985999999999</v>
      </c>
      <c r="Z423">
        <v>19.905719999999999</v>
      </c>
      <c r="AA423">
        <v>21.213318000000001</v>
      </c>
      <c r="AB423">
        <v>20.561312000000001</v>
      </c>
      <c r="AC423">
        <v>18.420576000000001</v>
      </c>
      <c r="AD423">
        <v>20.159587999999999</v>
      </c>
      <c r="AE423">
        <v>19.7667</v>
      </c>
      <c r="AF423">
        <v>21.576426000000001</v>
      </c>
      <c r="AG423">
        <v>20.662735000000001</v>
      </c>
    </row>
    <row r="424" spans="1:33" x14ac:dyDescent="0.25">
      <c r="A424" s="1">
        <v>44475</v>
      </c>
      <c r="B424">
        <v>18.700277</v>
      </c>
      <c r="C424">
        <v>19.140149999999998</v>
      </c>
      <c r="D424">
        <v>18.916307</v>
      </c>
      <c r="E424">
        <v>18.811593999999999</v>
      </c>
      <c r="F424">
        <v>18.872923</v>
      </c>
      <c r="G424">
        <v>19.192703000000002</v>
      </c>
      <c r="H424">
        <v>18.833407999999999</v>
      </c>
      <c r="I424">
        <v>17.915883999999998</v>
      </c>
      <c r="J424">
        <v>19.154375000000002</v>
      </c>
      <c r="K424">
        <v>20.116903000000001</v>
      </c>
      <c r="L424">
        <v>19.721174000000001</v>
      </c>
      <c r="M424">
        <v>19.226904000000001</v>
      </c>
      <c r="N424">
        <v>19.034658</v>
      </c>
      <c r="O424">
        <v>19.650058999999999</v>
      </c>
      <c r="P424">
        <v>19.671167000000001</v>
      </c>
      <c r="Q424">
        <v>19.210075</v>
      </c>
      <c r="R424">
        <v>19.71087</v>
      </c>
      <c r="S424">
        <v>16.738716</v>
      </c>
      <c r="T424">
        <v>18.60453</v>
      </c>
      <c r="U424">
        <v>18.903883</v>
      </c>
      <c r="V424">
        <v>18.662845999999998</v>
      </c>
      <c r="W424">
        <v>18.692709000000001</v>
      </c>
      <c r="X424">
        <v>18.620450000000002</v>
      </c>
      <c r="Y424">
        <v>19.994206999999999</v>
      </c>
      <c r="Z424">
        <v>19.554321000000002</v>
      </c>
      <c r="AA424">
        <v>20.970683999999999</v>
      </c>
      <c r="AB424">
        <v>20.073034</v>
      </c>
      <c r="AC424">
        <v>18.007643000000002</v>
      </c>
      <c r="AD424">
        <v>19.902623999999999</v>
      </c>
      <c r="AE424">
        <v>19.323156000000001</v>
      </c>
      <c r="AF424">
        <v>21.309546999999998</v>
      </c>
      <c r="AG424">
        <v>20.340914000000001</v>
      </c>
    </row>
    <row r="425" spans="1:33" x14ac:dyDescent="0.25">
      <c r="A425" s="1">
        <v>44476</v>
      </c>
      <c r="B425">
        <v>18.177610000000001</v>
      </c>
      <c r="C425">
        <v>18.634912</v>
      </c>
      <c r="D425">
        <v>18.325289000000001</v>
      </c>
      <c r="E425">
        <v>18.310210000000001</v>
      </c>
      <c r="F425">
        <v>18.338477999999999</v>
      </c>
      <c r="G425">
        <v>18.794214</v>
      </c>
      <c r="H425">
        <v>18.504716999999999</v>
      </c>
      <c r="I425">
        <v>17.153974999999999</v>
      </c>
      <c r="J425">
        <v>18.546396000000001</v>
      </c>
      <c r="K425">
        <v>19.819261999999998</v>
      </c>
      <c r="L425">
        <v>19.389424999999999</v>
      </c>
      <c r="M425">
        <v>18.789137</v>
      </c>
      <c r="N425">
        <v>18.602587</v>
      </c>
      <c r="O425">
        <v>19.307842000000001</v>
      </c>
      <c r="P425">
        <v>19.301801999999999</v>
      </c>
      <c r="Q425">
        <v>18.776959999999999</v>
      </c>
      <c r="R425">
        <v>19.389203999999999</v>
      </c>
      <c r="S425">
        <v>16.089113000000001</v>
      </c>
      <c r="T425">
        <v>18.170406</v>
      </c>
      <c r="U425">
        <v>18.674515</v>
      </c>
      <c r="V425">
        <v>18.320532</v>
      </c>
      <c r="W425">
        <v>18.478784999999998</v>
      </c>
      <c r="X425">
        <v>18.349706999999999</v>
      </c>
      <c r="Y425">
        <v>19.368872</v>
      </c>
      <c r="Z425">
        <v>19.160039999999999</v>
      </c>
      <c r="AA425">
        <v>20.484256999999999</v>
      </c>
      <c r="AB425">
        <v>19.50525</v>
      </c>
      <c r="AC425">
        <v>17.046524000000002</v>
      </c>
      <c r="AD425">
        <v>19.595890000000001</v>
      </c>
      <c r="AE425">
        <v>18.359629000000002</v>
      </c>
      <c r="AF425">
        <v>20.894182000000001</v>
      </c>
      <c r="AG425">
        <v>19.694269999999999</v>
      </c>
    </row>
    <row r="426" spans="1:33" x14ac:dyDescent="0.25">
      <c r="A426" s="1">
        <v>44477</v>
      </c>
      <c r="B426">
        <v>17.534582</v>
      </c>
      <c r="C426">
        <v>18.153960000000001</v>
      </c>
      <c r="D426">
        <v>17.673418000000002</v>
      </c>
      <c r="E426">
        <v>17.696314000000001</v>
      </c>
      <c r="F426">
        <v>17.784116999999998</v>
      </c>
      <c r="G426">
        <v>18.289663000000001</v>
      </c>
      <c r="H426">
        <v>18.112879</v>
      </c>
      <c r="I426">
        <v>16.359829999999999</v>
      </c>
      <c r="J426">
        <v>17.89124</v>
      </c>
      <c r="K426">
        <v>19.434035999999999</v>
      </c>
      <c r="L426">
        <v>19.023077000000001</v>
      </c>
      <c r="M426">
        <v>18.284700000000001</v>
      </c>
      <c r="N426">
        <v>18.144686</v>
      </c>
      <c r="O426">
        <v>19.011731999999999</v>
      </c>
      <c r="P426">
        <v>18.865767000000002</v>
      </c>
      <c r="Q426">
        <v>18.261209999999998</v>
      </c>
      <c r="R426">
        <v>19.090418</v>
      </c>
      <c r="S426">
        <v>15.480121</v>
      </c>
      <c r="T426">
        <v>17.819880000000001</v>
      </c>
      <c r="U426">
        <v>18.311631999999999</v>
      </c>
      <c r="V426">
        <v>18.068026</v>
      </c>
      <c r="W426">
        <v>18.047815</v>
      </c>
      <c r="X426">
        <v>18.159092000000001</v>
      </c>
      <c r="Y426">
        <v>18.883099999999999</v>
      </c>
      <c r="Z426">
        <v>18.726148999999999</v>
      </c>
      <c r="AA426">
        <v>19.988057999999999</v>
      </c>
      <c r="AB426">
        <v>19.001158</v>
      </c>
      <c r="AC426">
        <v>16.242487000000001</v>
      </c>
      <c r="AD426">
        <v>19.261599</v>
      </c>
      <c r="AE426">
        <v>17.700583000000002</v>
      </c>
      <c r="AF426">
        <v>20.433209999999999</v>
      </c>
      <c r="AG426">
        <v>19.179459999999999</v>
      </c>
    </row>
    <row r="427" spans="1:33" x14ac:dyDescent="0.25">
      <c r="A427" s="1">
        <v>44478</v>
      </c>
      <c r="B427">
        <v>17.264109000000001</v>
      </c>
      <c r="C427">
        <v>17.960905</v>
      </c>
      <c r="D427">
        <v>17.236355</v>
      </c>
      <c r="E427">
        <v>17.231155000000001</v>
      </c>
      <c r="F427">
        <v>17.652203</v>
      </c>
      <c r="G427">
        <v>17.949223</v>
      </c>
      <c r="H427">
        <v>17.773579999999999</v>
      </c>
      <c r="I427">
        <v>16.212992</v>
      </c>
      <c r="J427">
        <v>17.566020999999999</v>
      </c>
      <c r="K427">
        <v>19.204229999999999</v>
      </c>
      <c r="L427">
        <v>18.735658999999998</v>
      </c>
      <c r="M427">
        <v>17.985004</v>
      </c>
      <c r="N427">
        <v>17.868162000000002</v>
      </c>
      <c r="O427">
        <v>18.641665</v>
      </c>
      <c r="P427">
        <v>18.650103000000001</v>
      </c>
      <c r="Q427">
        <v>17.950068000000002</v>
      </c>
      <c r="R427">
        <v>18.805098000000001</v>
      </c>
      <c r="S427">
        <v>15.043127999999999</v>
      </c>
      <c r="T427">
        <v>17.527899000000001</v>
      </c>
      <c r="U427">
        <v>17.739367999999999</v>
      </c>
      <c r="V427">
        <v>17.8491</v>
      </c>
      <c r="W427">
        <v>17.388833999999999</v>
      </c>
      <c r="X427">
        <v>17.946323</v>
      </c>
      <c r="Y427">
        <v>18.404764</v>
      </c>
      <c r="Z427">
        <v>18.384578999999999</v>
      </c>
      <c r="AA427">
        <v>19.557179999999999</v>
      </c>
      <c r="AB427">
        <v>18.704326999999999</v>
      </c>
      <c r="AC427">
        <v>15.676640000000001</v>
      </c>
      <c r="AD427">
        <v>18.990278</v>
      </c>
      <c r="AE427">
        <v>17.082236999999999</v>
      </c>
      <c r="AF427">
        <v>20.046385000000001</v>
      </c>
      <c r="AG427">
        <v>18.842665</v>
      </c>
    </row>
    <row r="428" spans="1:33" x14ac:dyDescent="0.25">
      <c r="A428" s="1">
        <v>44479</v>
      </c>
      <c r="B428">
        <v>17.165444999999998</v>
      </c>
      <c r="C428">
        <v>17.910879999999999</v>
      </c>
      <c r="D428">
        <v>17.155698999999998</v>
      </c>
      <c r="E428">
        <v>17.066948</v>
      </c>
      <c r="F428">
        <v>17.619242</v>
      </c>
      <c r="G428">
        <v>17.825486999999999</v>
      </c>
      <c r="H428">
        <v>17.776014</v>
      </c>
      <c r="I428">
        <v>16.582747999999999</v>
      </c>
      <c r="J428">
        <v>17.556328000000001</v>
      </c>
      <c r="K428">
        <v>19.101109999999998</v>
      </c>
      <c r="L428">
        <v>18.613707000000002</v>
      </c>
      <c r="M428">
        <v>17.896742</v>
      </c>
      <c r="N428">
        <v>17.791761000000001</v>
      </c>
      <c r="O428">
        <v>18.505133000000001</v>
      </c>
      <c r="P428">
        <v>18.516655</v>
      </c>
      <c r="Q428">
        <v>17.850474999999999</v>
      </c>
      <c r="R428">
        <v>18.63579</v>
      </c>
      <c r="S428">
        <v>14.949757999999999</v>
      </c>
      <c r="T428">
        <v>17.440473999999998</v>
      </c>
      <c r="U428">
        <v>17.283208999999999</v>
      </c>
      <c r="V428">
        <v>17.745234</v>
      </c>
      <c r="W428">
        <v>17.073915</v>
      </c>
      <c r="X428">
        <v>17.822336</v>
      </c>
      <c r="Y428">
        <v>18.274443000000002</v>
      </c>
      <c r="Z428">
        <v>18.186012000000002</v>
      </c>
      <c r="AA428">
        <v>19.313348999999999</v>
      </c>
      <c r="AB428">
        <v>18.498453000000001</v>
      </c>
      <c r="AC428">
        <v>15.226578999999999</v>
      </c>
      <c r="AD428">
        <v>18.818619999999999</v>
      </c>
      <c r="AE428">
        <v>17.292840000000002</v>
      </c>
      <c r="AF428">
        <v>19.755064000000001</v>
      </c>
      <c r="AG428">
        <v>18.698180000000001</v>
      </c>
    </row>
    <row r="429" spans="1:33" x14ac:dyDescent="0.25">
      <c r="A429" s="1">
        <v>44480</v>
      </c>
      <c r="B429">
        <v>16.176054000000001</v>
      </c>
      <c r="C429">
        <v>17.338660000000001</v>
      </c>
      <c r="D429">
        <v>16.779389999999999</v>
      </c>
      <c r="E429">
        <v>16.430105000000001</v>
      </c>
      <c r="F429">
        <v>16.904959000000002</v>
      </c>
      <c r="G429">
        <v>17.541792000000001</v>
      </c>
      <c r="H429">
        <v>17.414670000000001</v>
      </c>
      <c r="I429">
        <v>15.799975999999999</v>
      </c>
      <c r="J429">
        <v>16.248434</v>
      </c>
      <c r="K429">
        <v>18.57075</v>
      </c>
      <c r="L429">
        <v>18.018675000000002</v>
      </c>
      <c r="M429">
        <v>17.470018</v>
      </c>
      <c r="N429">
        <v>17.212790999999999</v>
      </c>
      <c r="O429">
        <v>17.998636000000001</v>
      </c>
      <c r="P429">
        <v>17.956773999999999</v>
      </c>
      <c r="Q429">
        <v>17.543858</v>
      </c>
      <c r="R429">
        <v>18.027754000000002</v>
      </c>
      <c r="S429">
        <v>14.161288000000001</v>
      </c>
      <c r="T429">
        <v>16.823668000000001</v>
      </c>
      <c r="U429">
        <v>16.480768000000001</v>
      </c>
      <c r="V429">
        <v>16.850770000000001</v>
      </c>
      <c r="W429">
        <v>16.163955999999999</v>
      </c>
      <c r="X429">
        <v>16.80602</v>
      </c>
      <c r="Y429">
        <v>17.687777000000001</v>
      </c>
      <c r="Z429">
        <v>17.407025999999998</v>
      </c>
      <c r="AA429">
        <v>18.602032000000001</v>
      </c>
      <c r="AB429">
        <v>17.850218000000002</v>
      </c>
      <c r="AC429">
        <v>14.465453999999999</v>
      </c>
      <c r="AD429">
        <v>18.244688</v>
      </c>
      <c r="AE429">
        <v>16.190180000000002</v>
      </c>
      <c r="AF429">
        <v>19.123735</v>
      </c>
      <c r="AG429">
        <v>17.797529999999998</v>
      </c>
    </row>
    <row r="430" spans="1:33" x14ac:dyDescent="0.25">
      <c r="A430" s="1">
        <v>44481</v>
      </c>
      <c r="B430">
        <v>15.102702000000001</v>
      </c>
      <c r="C430">
        <v>16.398713999999998</v>
      </c>
      <c r="D430">
        <v>15.716474</v>
      </c>
      <c r="E430">
        <v>15.365022</v>
      </c>
      <c r="F430">
        <v>15.867188000000001</v>
      </c>
      <c r="G430">
        <v>16.557562000000001</v>
      </c>
      <c r="H430">
        <v>16.653487999999999</v>
      </c>
      <c r="I430">
        <v>14.542718000000001</v>
      </c>
      <c r="J430">
        <v>14.447391</v>
      </c>
      <c r="K430">
        <v>17.648478000000001</v>
      </c>
      <c r="L430">
        <v>16.824852</v>
      </c>
      <c r="M430">
        <v>16.493366000000002</v>
      </c>
      <c r="N430">
        <v>16.221132000000001</v>
      </c>
      <c r="O430">
        <v>16.855523999999999</v>
      </c>
      <c r="P430">
        <v>16.945398000000001</v>
      </c>
      <c r="Q430">
        <v>16.552267000000001</v>
      </c>
      <c r="R430">
        <v>16.962789999999998</v>
      </c>
      <c r="S430">
        <v>12.406586000000001</v>
      </c>
      <c r="T430">
        <v>15.488635</v>
      </c>
      <c r="U430">
        <v>15.303782</v>
      </c>
      <c r="V430">
        <v>15.473241</v>
      </c>
      <c r="W430">
        <v>15.270522</v>
      </c>
      <c r="X430">
        <v>15.37049</v>
      </c>
      <c r="Y430">
        <v>16.060652000000001</v>
      </c>
      <c r="Z430">
        <v>15.973376999999999</v>
      </c>
      <c r="AA430">
        <v>17.202621000000001</v>
      </c>
      <c r="AB430">
        <v>16.333376000000001</v>
      </c>
      <c r="AC430">
        <v>12.695235</v>
      </c>
      <c r="AD430">
        <v>17.148423999999999</v>
      </c>
      <c r="AE430">
        <v>14.167096000000001</v>
      </c>
      <c r="AF430">
        <v>17.917484000000002</v>
      </c>
      <c r="AG430">
        <v>16.122959999999999</v>
      </c>
    </row>
    <row r="431" spans="1:33" x14ac:dyDescent="0.25">
      <c r="A431" s="1">
        <v>44482</v>
      </c>
      <c r="B431">
        <v>14.984639</v>
      </c>
      <c r="C431">
        <v>16.064556</v>
      </c>
      <c r="D431">
        <v>15.102986</v>
      </c>
      <c r="E431">
        <v>15.000156</v>
      </c>
      <c r="F431">
        <v>15.545771999999999</v>
      </c>
      <c r="G431">
        <v>16.022946999999998</v>
      </c>
      <c r="H431">
        <v>16.403475</v>
      </c>
      <c r="I431">
        <v>14.152824000000001</v>
      </c>
      <c r="J431">
        <v>14.230605000000001</v>
      </c>
      <c r="K431">
        <v>17.185879</v>
      </c>
      <c r="L431">
        <v>16.314802</v>
      </c>
      <c r="M431">
        <v>15.992322</v>
      </c>
      <c r="N431">
        <v>15.774281</v>
      </c>
      <c r="O431">
        <v>16.417439999999999</v>
      </c>
      <c r="P431">
        <v>16.324717</v>
      </c>
      <c r="Q431">
        <v>16.011420000000001</v>
      </c>
      <c r="R431">
        <v>16.582242999999998</v>
      </c>
      <c r="S431">
        <v>11.430602</v>
      </c>
      <c r="T431">
        <v>14.935214</v>
      </c>
      <c r="U431">
        <v>14.851055000000001</v>
      </c>
      <c r="V431">
        <v>15.031623</v>
      </c>
      <c r="W431">
        <v>14.7431755</v>
      </c>
      <c r="X431">
        <v>14.969417999999999</v>
      </c>
      <c r="Y431">
        <v>15.426506</v>
      </c>
      <c r="Z431">
        <v>15.297947000000001</v>
      </c>
      <c r="AA431">
        <v>16.541391000000001</v>
      </c>
      <c r="AB431">
        <v>15.511539000000001</v>
      </c>
      <c r="AC431">
        <v>12.039889000000001</v>
      </c>
      <c r="AD431">
        <v>16.575804000000002</v>
      </c>
      <c r="AE431">
        <v>14.145298</v>
      </c>
      <c r="AF431">
        <v>17.306837000000002</v>
      </c>
      <c r="AG431">
        <v>15.633302</v>
      </c>
    </row>
    <row r="432" spans="1:33" x14ac:dyDescent="0.25">
      <c r="A432" s="1">
        <v>44483</v>
      </c>
      <c r="B432">
        <v>15.0616</v>
      </c>
      <c r="C432">
        <v>15.933892</v>
      </c>
      <c r="D432">
        <v>14.934044</v>
      </c>
      <c r="E432">
        <v>14.911818500000001</v>
      </c>
      <c r="F432">
        <v>15.708007</v>
      </c>
      <c r="G432">
        <v>15.851304000000001</v>
      </c>
      <c r="H432">
        <v>16.206869999999999</v>
      </c>
      <c r="I432">
        <v>14.662235000000001</v>
      </c>
      <c r="J432">
        <v>14.35872</v>
      </c>
      <c r="K432">
        <v>16.944694999999999</v>
      </c>
      <c r="L432">
        <v>16.134062</v>
      </c>
      <c r="M432">
        <v>15.873244</v>
      </c>
      <c r="N432">
        <v>15.587884000000001</v>
      </c>
      <c r="O432">
        <v>16.214544</v>
      </c>
      <c r="P432">
        <v>16.12546</v>
      </c>
      <c r="Q432">
        <v>15.850148000000001</v>
      </c>
      <c r="R432">
        <v>16.386703000000001</v>
      </c>
      <c r="S432">
        <v>11.289023</v>
      </c>
      <c r="T432">
        <v>14.725974000000001</v>
      </c>
      <c r="U432">
        <v>14.824603</v>
      </c>
      <c r="V432">
        <v>14.942697000000001</v>
      </c>
      <c r="W432">
        <v>14.391422</v>
      </c>
      <c r="X432">
        <v>14.963981</v>
      </c>
      <c r="Y432">
        <v>15.253513999999999</v>
      </c>
      <c r="Z432">
        <v>15.071126</v>
      </c>
      <c r="AA432">
        <v>16.345839000000002</v>
      </c>
      <c r="AB432">
        <v>15.424633999999999</v>
      </c>
      <c r="AC432">
        <v>11.934813999999999</v>
      </c>
      <c r="AD432">
        <v>16.327476999999998</v>
      </c>
      <c r="AE432">
        <v>14.634171500000001</v>
      </c>
      <c r="AF432">
        <v>16.984465</v>
      </c>
      <c r="AG432">
        <v>15.713521</v>
      </c>
    </row>
    <row r="433" spans="1:33" x14ac:dyDescent="0.25">
      <c r="A433" s="1">
        <v>44484</v>
      </c>
      <c r="B433">
        <v>15.226098</v>
      </c>
      <c r="C433">
        <v>15.964943999999999</v>
      </c>
      <c r="D433">
        <v>15.128033</v>
      </c>
      <c r="E433">
        <v>14.992133000000001</v>
      </c>
      <c r="F433">
        <v>15.934258</v>
      </c>
      <c r="G433">
        <v>15.893344000000001</v>
      </c>
      <c r="H433">
        <v>16.287676000000001</v>
      </c>
      <c r="I433">
        <v>15.259952999999999</v>
      </c>
      <c r="J433">
        <v>14.692083999999999</v>
      </c>
      <c r="K433">
        <v>16.874597999999999</v>
      </c>
      <c r="L433">
        <v>16.067740000000001</v>
      </c>
      <c r="M433">
        <v>15.907439999999999</v>
      </c>
      <c r="N433">
        <v>15.527335000000001</v>
      </c>
      <c r="O433">
        <v>16.049831000000001</v>
      </c>
      <c r="P433">
        <v>16.056726000000001</v>
      </c>
      <c r="Q433">
        <v>15.840878500000001</v>
      </c>
      <c r="R433">
        <v>16.251563999999998</v>
      </c>
      <c r="S433">
        <v>11.523852</v>
      </c>
      <c r="T433">
        <v>14.623357</v>
      </c>
      <c r="U433">
        <v>14.522501999999999</v>
      </c>
      <c r="V433">
        <v>14.831901</v>
      </c>
      <c r="W433">
        <v>14.272005999999999</v>
      </c>
      <c r="X433">
        <v>14.741928</v>
      </c>
      <c r="Y433">
        <v>15.279161999999999</v>
      </c>
      <c r="Z433">
        <v>15.050744</v>
      </c>
      <c r="AA433">
        <v>16.273530999999998</v>
      </c>
      <c r="AB433">
        <v>15.402476</v>
      </c>
      <c r="AC433">
        <v>11.579152000000001</v>
      </c>
      <c r="AD433">
        <v>16.205193999999999</v>
      </c>
      <c r="AE433">
        <v>14.955856000000001</v>
      </c>
      <c r="AF433">
        <v>16.654509000000001</v>
      </c>
      <c r="AG433">
        <v>15.699192999999999</v>
      </c>
    </row>
    <row r="434" spans="1:33" x14ac:dyDescent="0.25">
      <c r="A434" s="1">
        <v>44485</v>
      </c>
      <c r="B434">
        <v>15.315167000000001</v>
      </c>
      <c r="C434">
        <v>15.978386</v>
      </c>
      <c r="D434">
        <v>15.417964</v>
      </c>
      <c r="E434">
        <v>15.1635895</v>
      </c>
      <c r="F434">
        <v>16.107787999999999</v>
      </c>
      <c r="G434">
        <v>16.026228</v>
      </c>
      <c r="H434">
        <v>16.500768999999998</v>
      </c>
      <c r="I434">
        <v>15.712166</v>
      </c>
      <c r="J434">
        <v>15.144287</v>
      </c>
      <c r="K434">
        <v>16.870577000000001</v>
      </c>
      <c r="L434">
        <v>16.077390000000001</v>
      </c>
      <c r="M434">
        <v>16.023399999999999</v>
      </c>
      <c r="N434">
        <v>15.586475999999999</v>
      </c>
      <c r="O434">
        <v>15.934380000000001</v>
      </c>
      <c r="P434">
        <v>16.077090999999999</v>
      </c>
      <c r="Q434">
        <v>15.935199000000001</v>
      </c>
      <c r="R434">
        <v>16.174703999999998</v>
      </c>
      <c r="S434">
        <v>11.917332</v>
      </c>
      <c r="T434">
        <v>14.670947999999999</v>
      </c>
      <c r="U434">
        <v>14.417355000000001</v>
      </c>
      <c r="V434">
        <v>14.841747</v>
      </c>
      <c r="W434">
        <v>14.566533</v>
      </c>
      <c r="X434">
        <v>14.752485999999999</v>
      </c>
      <c r="Y434">
        <v>15.481857</v>
      </c>
      <c r="Z434">
        <v>15.195309</v>
      </c>
      <c r="AA434">
        <v>16.358405999999999</v>
      </c>
      <c r="AB434">
        <v>15.638510999999999</v>
      </c>
      <c r="AC434">
        <v>11.634157999999999</v>
      </c>
      <c r="AD434">
        <v>16.151764</v>
      </c>
      <c r="AE434">
        <v>15.623010000000001</v>
      </c>
      <c r="AF434">
        <v>16.527946</v>
      </c>
      <c r="AG434">
        <v>15.869011</v>
      </c>
    </row>
    <row r="435" spans="1:33" x14ac:dyDescent="0.25">
      <c r="A435" s="1">
        <v>44486</v>
      </c>
      <c r="B435">
        <v>15.082451000000001</v>
      </c>
      <c r="C435">
        <v>15.8068495</v>
      </c>
      <c r="D435">
        <v>15.441929999999999</v>
      </c>
      <c r="E435">
        <v>15.177697</v>
      </c>
      <c r="F435">
        <v>15.917702999999999</v>
      </c>
      <c r="G435">
        <v>16.061537000000001</v>
      </c>
      <c r="H435">
        <v>16.639386999999999</v>
      </c>
      <c r="I435">
        <v>15.408771</v>
      </c>
      <c r="J435">
        <v>15.266277000000001</v>
      </c>
      <c r="K435">
        <v>16.651990000000001</v>
      </c>
      <c r="L435">
        <v>15.964307</v>
      </c>
      <c r="M435">
        <v>16.014353</v>
      </c>
      <c r="N435">
        <v>15.522940999999999</v>
      </c>
      <c r="O435">
        <v>15.882612999999999</v>
      </c>
      <c r="P435">
        <v>15.960754</v>
      </c>
      <c r="Q435">
        <v>15.962883</v>
      </c>
      <c r="R435">
        <v>16.024797</v>
      </c>
      <c r="S435">
        <v>12.366021</v>
      </c>
      <c r="T435">
        <v>14.673325</v>
      </c>
      <c r="U435">
        <v>14.648422999999999</v>
      </c>
      <c r="V435">
        <v>14.829461</v>
      </c>
      <c r="W435">
        <v>14.747716</v>
      </c>
      <c r="X435">
        <v>14.717373</v>
      </c>
      <c r="Y435">
        <v>15.643981</v>
      </c>
      <c r="Z435">
        <v>15.242535999999999</v>
      </c>
      <c r="AA435">
        <v>16.381319999999999</v>
      </c>
      <c r="AB435">
        <v>15.710525499999999</v>
      </c>
      <c r="AC435">
        <v>11.940295000000001</v>
      </c>
      <c r="AD435">
        <v>16.028569999999998</v>
      </c>
      <c r="AE435">
        <v>16.094636999999999</v>
      </c>
      <c r="AF435">
        <v>16.466809999999999</v>
      </c>
      <c r="AG435">
        <v>15.797119</v>
      </c>
    </row>
    <row r="436" spans="1:33" x14ac:dyDescent="0.25">
      <c r="A436" s="1">
        <v>44487</v>
      </c>
      <c r="B436">
        <v>14.722421000000001</v>
      </c>
      <c r="C436">
        <v>15.599746</v>
      </c>
      <c r="D436">
        <v>15.177293000000001</v>
      </c>
      <c r="E436">
        <v>14.868506999999999</v>
      </c>
      <c r="F436">
        <v>15.496871000000001</v>
      </c>
      <c r="G436">
        <v>15.750970000000001</v>
      </c>
      <c r="H436">
        <v>16.261934</v>
      </c>
      <c r="I436">
        <v>14.532145999999999</v>
      </c>
      <c r="J436">
        <v>14.757974000000001</v>
      </c>
      <c r="K436">
        <v>16.218036999999999</v>
      </c>
      <c r="L436">
        <v>15.578341999999999</v>
      </c>
      <c r="M436">
        <v>15.709111</v>
      </c>
      <c r="N436">
        <v>15.211729999999999</v>
      </c>
      <c r="O436">
        <v>15.528346000000001</v>
      </c>
      <c r="P436">
        <v>15.72137</v>
      </c>
      <c r="Q436">
        <v>15.643245</v>
      </c>
      <c r="R436">
        <v>15.73748</v>
      </c>
      <c r="S436">
        <v>12.324844000000001</v>
      </c>
      <c r="T436">
        <v>14.439957</v>
      </c>
      <c r="U436">
        <v>14.778377000000001</v>
      </c>
      <c r="V436">
        <v>14.588908</v>
      </c>
      <c r="W436">
        <v>14.859683</v>
      </c>
      <c r="X436">
        <v>14.530059</v>
      </c>
      <c r="Y436">
        <v>15.213352</v>
      </c>
      <c r="Z436">
        <v>15.011832999999999</v>
      </c>
      <c r="AA436">
        <v>16.127848</v>
      </c>
      <c r="AB436">
        <v>15.396561999999999</v>
      </c>
      <c r="AC436">
        <v>12.098217999999999</v>
      </c>
      <c r="AD436">
        <v>15.784903999999999</v>
      </c>
      <c r="AE436">
        <v>15.372577</v>
      </c>
      <c r="AF436">
        <v>16.161017999999999</v>
      </c>
      <c r="AG436">
        <v>15.403404999999999</v>
      </c>
    </row>
    <row r="437" spans="1:33" x14ac:dyDescent="0.25">
      <c r="A437" s="1">
        <v>44488</v>
      </c>
      <c r="B437">
        <v>14.722799999999999</v>
      </c>
      <c r="C437">
        <v>15.480717</v>
      </c>
      <c r="D437">
        <v>15.087559000000001</v>
      </c>
      <c r="E437">
        <v>14.798294</v>
      </c>
      <c r="F437">
        <v>15.488923</v>
      </c>
      <c r="G437">
        <v>15.615074999999999</v>
      </c>
      <c r="H437">
        <v>15.979371</v>
      </c>
      <c r="I437">
        <v>14.585547</v>
      </c>
      <c r="J437">
        <v>14.538319</v>
      </c>
      <c r="K437">
        <v>16.092048999999999</v>
      </c>
      <c r="L437">
        <v>15.443999</v>
      </c>
      <c r="M437">
        <v>15.590591999999999</v>
      </c>
      <c r="N437">
        <v>15.029582</v>
      </c>
      <c r="O437">
        <v>15.369251999999999</v>
      </c>
      <c r="P437">
        <v>15.619918</v>
      </c>
      <c r="Q437">
        <v>15.479346</v>
      </c>
      <c r="R437">
        <v>15.560256000000001</v>
      </c>
      <c r="S437">
        <v>12.172135000000001</v>
      </c>
      <c r="T437">
        <v>14.290611</v>
      </c>
      <c r="U437">
        <v>14.827161</v>
      </c>
      <c r="V437">
        <v>14.589916000000001</v>
      </c>
      <c r="W437">
        <v>14.908073</v>
      </c>
      <c r="X437">
        <v>14.654911</v>
      </c>
      <c r="Y437">
        <v>14.813938</v>
      </c>
      <c r="Z437">
        <v>14.830498</v>
      </c>
      <c r="AA437">
        <v>15.947293</v>
      </c>
      <c r="AB437">
        <v>15.06499</v>
      </c>
      <c r="AC437">
        <v>11.85139</v>
      </c>
      <c r="AD437">
        <v>15.592022999999999</v>
      </c>
      <c r="AE437">
        <v>14.488023</v>
      </c>
      <c r="AF437">
        <v>15.68483</v>
      </c>
      <c r="AG437">
        <v>15.182338</v>
      </c>
    </row>
    <row r="438" spans="1:33" x14ac:dyDescent="0.25">
      <c r="A438" s="1">
        <v>44489</v>
      </c>
      <c r="B438">
        <v>14.808472999999999</v>
      </c>
      <c r="C438">
        <v>15.427327</v>
      </c>
      <c r="D438">
        <v>15.08254</v>
      </c>
      <c r="E438">
        <v>14.881482</v>
      </c>
      <c r="F438">
        <v>15.480103</v>
      </c>
      <c r="G438">
        <v>15.606998000000001</v>
      </c>
      <c r="H438">
        <v>15.963127</v>
      </c>
      <c r="I438">
        <v>14.778518</v>
      </c>
      <c r="J438">
        <v>14.701085000000001</v>
      </c>
      <c r="K438">
        <v>16.025911000000001</v>
      </c>
      <c r="L438">
        <v>15.472835</v>
      </c>
      <c r="M438">
        <v>15.563838000000001</v>
      </c>
      <c r="N438">
        <v>15.026524999999999</v>
      </c>
      <c r="O438">
        <v>15.417312000000001</v>
      </c>
      <c r="P438">
        <v>15.522392999999999</v>
      </c>
      <c r="Q438">
        <v>15.479568</v>
      </c>
      <c r="R438">
        <v>15.551265000000001</v>
      </c>
      <c r="S438">
        <v>12.602035000000001</v>
      </c>
      <c r="T438">
        <v>14.4049</v>
      </c>
      <c r="U438">
        <v>14.898292</v>
      </c>
      <c r="V438">
        <v>14.754735</v>
      </c>
      <c r="W438">
        <v>15.154064999999999</v>
      </c>
      <c r="X438">
        <v>14.894130000000001</v>
      </c>
      <c r="Y438">
        <v>14.841303999999999</v>
      </c>
      <c r="Z438">
        <v>14.82404</v>
      </c>
      <c r="AA438">
        <v>16.014963000000002</v>
      </c>
      <c r="AB438">
        <v>15.050796</v>
      </c>
      <c r="AC438">
        <v>11.5831175</v>
      </c>
      <c r="AD438">
        <v>15.534286</v>
      </c>
      <c r="AE438">
        <v>14.778782</v>
      </c>
      <c r="AF438">
        <v>15.489751</v>
      </c>
      <c r="AG438">
        <v>15.364095000000001</v>
      </c>
    </row>
    <row r="439" spans="1:33" x14ac:dyDescent="0.25">
      <c r="A439" s="1">
        <v>44490</v>
      </c>
      <c r="B439">
        <v>14.947308</v>
      </c>
      <c r="C439">
        <v>15.483852000000001</v>
      </c>
      <c r="D439">
        <v>15.171071</v>
      </c>
      <c r="E439">
        <v>14.973333999999999</v>
      </c>
      <c r="F439">
        <v>15.585952000000001</v>
      </c>
      <c r="G439">
        <v>15.572850000000001</v>
      </c>
      <c r="H439">
        <v>15.988310999999999</v>
      </c>
      <c r="I439">
        <v>15.077712999999999</v>
      </c>
      <c r="J439">
        <v>14.868942000000001</v>
      </c>
      <c r="K439">
        <v>15.994581999999999</v>
      </c>
      <c r="L439">
        <v>15.513553</v>
      </c>
      <c r="M439">
        <v>15.534580999999999</v>
      </c>
      <c r="N439">
        <v>14.961993</v>
      </c>
      <c r="O439">
        <v>15.4348955</v>
      </c>
      <c r="P439">
        <v>15.466353</v>
      </c>
      <c r="Q439">
        <v>15.435969999999999</v>
      </c>
      <c r="R439">
        <v>15.530139</v>
      </c>
      <c r="S439">
        <v>13.159231999999999</v>
      </c>
      <c r="T439">
        <v>14.589217</v>
      </c>
      <c r="U439">
        <v>15.017505</v>
      </c>
      <c r="V439">
        <v>14.921912000000001</v>
      </c>
      <c r="W439">
        <v>15.086446</v>
      </c>
      <c r="X439">
        <v>15.038546999999999</v>
      </c>
      <c r="Y439">
        <v>14.984384</v>
      </c>
      <c r="Z439">
        <v>14.905106999999999</v>
      </c>
      <c r="AA439">
        <v>16.098692</v>
      </c>
      <c r="AB439">
        <v>15.184913</v>
      </c>
      <c r="AC439">
        <v>11.826442999999999</v>
      </c>
      <c r="AD439">
        <v>15.557346000000001</v>
      </c>
      <c r="AE439">
        <v>15.554897</v>
      </c>
      <c r="AF439">
        <v>15.239528999999999</v>
      </c>
      <c r="AG439">
        <v>15.624294000000001</v>
      </c>
    </row>
    <row r="440" spans="1:33" x14ac:dyDescent="0.25">
      <c r="A440" s="1">
        <v>44491</v>
      </c>
      <c r="B440">
        <v>15.201098999999999</v>
      </c>
      <c r="C440">
        <v>15.477595000000001</v>
      </c>
      <c r="D440">
        <v>15.345742</v>
      </c>
      <c r="E440">
        <v>15.171030999999999</v>
      </c>
      <c r="F440">
        <v>15.643788000000001</v>
      </c>
      <c r="G440">
        <v>15.632649000000001</v>
      </c>
      <c r="H440">
        <v>16.152923999999999</v>
      </c>
      <c r="I440">
        <v>15.470469</v>
      </c>
      <c r="J440">
        <v>15.16051</v>
      </c>
      <c r="K440">
        <v>16.002123000000001</v>
      </c>
      <c r="L440">
        <v>15.600514</v>
      </c>
      <c r="M440">
        <v>15.612892</v>
      </c>
      <c r="N440">
        <v>15.061016</v>
      </c>
      <c r="O440">
        <v>15.541511</v>
      </c>
      <c r="P440">
        <v>15.48672</v>
      </c>
      <c r="Q440">
        <v>15.486190000000001</v>
      </c>
      <c r="R440">
        <v>15.587116</v>
      </c>
      <c r="S440">
        <v>13.798871</v>
      </c>
      <c r="T440">
        <v>14.860066</v>
      </c>
      <c r="U440">
        <v>15.132337</v>
      </c>
      <c r="V440">
        <v>15.178561</v>
      </c>
      <c r="W440">
        <v>14.946918</v>
      </c>
      <c r="X440">
        <v>15.318978</v>
      </c>
      <c r="Y440">
        <v>15.208697000000001</v>
      </c>
      <c r="Z440">
        <v>15.037845000000001</v>
      </c>
      <c r="AA440">
        <v>16.190073000000002</v>
      </c>
      <c r="AB440">
        <v>15.375206</v>
      </c>
      <c r="AC440">
        <v>12.326919999999999</v>
      </c>
      <c r="AD440">
        <v>15.637269</v>
      </c>
      <c r="AE440">
        <v>16.158234</v>
      </c>
      <c r="AF440">
        <v>15.003829</v>
      </c>
      <c r="AG440">
        <v>15.745440500000001</v>
      </c>
    </row>
    <row r="441" spans="1:33" x14ac:dyDescent="0.25">
      <c r="A441" s="1">
        <v>44492</v>
      </c>
      <c r="B441">
        <v>14.805160000000001</v>
      </c>
      <c r="C441">
        <v>15.320843</v>
      </c>
      <c r="D441">
        <v>15.265390999999999</v>
      </c>
      <c r="E441">
        <v>15.053693000000001</v>
      </c>
      <c r="F441">
        <v>15.366154999999999</v>
      </c>
      <c r="G441">
        <v>15.538691500000001</v>
      </c>
      <c r="H441">
        <v>16.010892999999999</v>
      </c>
      <c r="I441">
        <v>15.166682</v>
      </c>
      <c r="J441">
        <v>14.990952500000001</v>
      </c>
      <c r="K441">
        <v>15.858748</v>
      </c>
      <c r="L441">
        <v>15.518634</v>
      </c>
      <c r="M441">
        <v>15.491797999999999</v>
      </c>
      <c r="N441">
        <v>14.998362999999999</v>
      </c>
      <c r="O441">
        <v>15.382958</v>
      </c>
      <c r="P441">
        <v>15.421571</v>
      </c>
      <c r="Q441">
        <v>15.400544</v>
      </c>
      <c r="R441">
        <v>15.486668999999999</v>
      </c>
      <c r="S441">
        <v>13.737045</v>
      </c>
      <c r="T441">
        <v>14.894171999999999</v>
      </c>
      <c r="U441">
        <v>14.955765</v>
      </c>
      <c r="V441">
        <v>15.086406999999999</v>
      </c>
      <c r="W441">
        <v>15.017109</v>
      </c>
      <c r="X441">
        <v>15.145735999999999</v>
      </c>
      <c r="Y441">
        <v>15.007495</v>
      </c>
      <c r="Z441">
        <v>14.987895999999999</v>
      </c>
      <c r="AA441">
        <v>16.024177999999999</v>
      </c>
      <c r="AB441">
        <v>15.274124</v>
      </c>
      <c r="AC441">
        <v>14.926557000000001</v>
      </c>
      <c r="AD441">
        <v>15.576843</v>
      </c>
      <c r="AE441">
        <v>16.258369999999999</v>
      </c>
      <c r="AF441">
        <v>14.507766999999999</v>
      </c>
      <c r="AG441">
        <v>15.439590000000001</v>
      </c>
    </row>
    <row r="442" spans="1:33" x14ac:dyDescent="0.25">
      <c r="A442" s="1">
        <v>44493</v>
      </c>
      <c r="B442">
        <v>14.679326</v>
      </c>
      <c r="C442">
        <v>15.379723</v>
      </c>
      <c r="D442">
        <v>15.21524</v>
      </c>
      <c r="E442">
        <v>15.168132</v>
      </c>
      <c r="F442">
        <v>15.522449</v>
      </c>
      <c r="G442">
        <v>15.548867</v>
      </c>
      <c r="H442">
        <v>16.090910000000001</v>
      </c>
      <c r="I442">
        <v>15.308179000000001</v>
      </c>
      <c r="J442">
        <v>15.139435000000001</v>
      </c>
      <c r="K442">
        <v>15.763847999999999</v>
      </c>
      <c r="L442">
        <v>15.45504</v>
      </c>
      <c r="M442">
        <v>15.535553999999999</v>
      </c>
      <c r="N442">
        <v>15.145097</v>
      </c>
      <c r="O442">
        <v>15.365577999999999</v>
      </c>
      <c r="P442">
        <v>15.357932</v>
      </c>
      <c r="Q442">
        <v>15.402293999999999</v>
      </c>
      <c r="R442">
        <v>15.425965</v>
      </c>
      <c r="S442">
        <v>14.048641</v>
      </c>
      <c r="T442">
        <v>14.927012</v>
      </c>
      <c r="U442">
        <v>14.944031000000001</v>
      </c>
      <c r="V442">
        <v>15.026512</v>
      </c>
      <c r="W442">
        <v>15.104082999999999</v>
      </c>
      <c r="X442">
        <v>14.969359000000001</v>
      </c>
      <c r="Y442">
        <v>14.932839</v>
      </c>
      <c r="Z442">
        <v>15.062977999999999</v>
      </c>
      <c r="AA442">
        <v>15.908244</v>
      </c>
      <c r="AB442">
        <v>15.246259</v>
      </c>
      <c r="AC442">
        <v>14.995495</v>
      </c>
      <c r="AD442">
        <v>15.493134</v>
      </c>
      <c r="AE442">
        <v>15.430766999999999</v>
      </c>
      <c r="AF442">
        <v>14.198230000000001</v>
      </c>
      <c r="AG442">
        <v>15.403012</v>
      </c>
    </row>
    <row r="443" spans="1:33" x14ac:dyDescent="0.25">
      <c r="A443" s="1">
        <v>44494</v>
      </c>
      <c r="B443">
        <v>14.661148000000001</v>
      </c>
      <c r="C443">
        <v>15.33548</v>
      </c>
      <c r="D443">
        <v>15.167557</v>
      </c>
      <c r="E443">
        <v>15.102788</v>
      </c>
      <c r="F443">
        <v>15.435741999999999</v>
      </c>
      <c r="G443">
        <v>15.417396</v>
      </c>
      <c r="H443">
        <v>15.813413000000001</v>
      </c>
      <c r="I443">
        <v>15.126232</v>
      </c>
      <c r="J443">
        <v>15.12542</v>
      </c>
      <c r="K443">
        <v>15.66644</v>
      </c>
      <c r="L443">
        <v>15.377682</v>
      </c>
      <c r="M443">
        <v>15.4040365</v>
      </c>
      <c r="N443">
        <v>15.0786295</v>
      </c>
      <c r="O443">
        <v>15.251161</v>
      </c>
      <c r="P443">
        <v>15.394015</v>
      </c>
      <c r="Q443">
        <v>15.282208000000001</v>
      </c>
      <c r="R443">
        <v>15.341602999999999</v>
      </c>
      <c r="S443">
        <v>14.428775</v>
      </c>
      <c r="T443">
        <v>14.959770000000001</v>
      </c>
      <c r="U443">
        <v>15.284577000000001</v>
      </c>
      <c r="V443">
        <v>15.082326</v>
      </c>
      <c r="W443">
        <v>15.160771</v>
      </c>
      <c r="X443">
        <v>15.093038</v>
      </c>
      <c r="Y443">
        <v>14.276847</v>
      </c>
      <c r="Z443">
        <v>15.456659999999999</v>
      </c>
      <c r="AA443">
        <v>15.844779000000001</v>
      </c>
      <c r="AB443">
        <v>14.922458000000001</v>
      </c>
      <c r="AC443">
        <v>15.942216</v>
      </c>
      <c r="AD443">
        <v>15.455344</v>
      </c>
      <c r="AE443">
        <v>15.295714</v>
      </c>
      <c r="AF443">
        <v>13.816291</v>
      </c>
      <c r="AG443">
        <v>15.716782</v>
      </c>
    </row>
    <row r="444" spans="1:33" x14ac:dyDescent="0.25">
      <c r="A444" s="1">
        <v>44495</v>
      </c>
      <c r="B444">
        <v>14.009038</v>
      </c>
      <c r="C444">
        <v>15.037594</v>
      </c>
      <c r="D444">
        <v>14.968052</v>
      </c>
      <c r="E444">
        <v>14.691478</v>
      </c>
      <c r="F444">
        <v>14.964039</v>
      </c>
      <c r="G444">
        <v>15.058394</v>
      </c>
      <c r="H444">
        <v>15.431865999999999</v>
      </c>
      <c r="I444">
        <v>14.557779999999999</v>
      </c>
      <c r="J444">
        <v>14.6529045</v>
      </c>
      <c r="K444">
        <v>15.488664</v>
      </c>
      <c r="L444">
        <v>15.145092</v>
      </c>
      <c r="M444">
        <v>15.082744</v>
      </c>
      <c r="N444">
        <v>14.96381</v>
      </c>
      <c r="O444">
        <v>15.04264</v>
      </c>
      <c r="P444">
        <v>15.229884</v>
      </c>
      <c r="Q444">
        <v>14.998787999999999</v>
      </c>
      <c r="R444">
        <v>15.106477</v>
      </c>
      <c r="S444">
        <v>13.995331</v>
      </c>
      <c r="T444">
        <v>14.806989</v>
      </c>
      <c r="U444">
        <v>15.116213999999999</v>
      </c>
      <c r="V444">
        <v>15.159428</v>
      </c>
      <c r="W444">
        <v>15.768756</v>
      </c>
      <c r="X444">
        <v>15.192951000000001</v>
      </c>
      <c r="Y444">
        <v>14.930645</v>
      </c>
      <c r="Z444">
        <v>15.152379</v>
      </c>
      <c r="AA444">
        <v>15.588994</v>
      </c>
      <c r="AB444">
        <v>14.860219000000001</v>
      </c>
      <c r="AC444">
        <v>18.436288999999999</v>
      </c>
      <c r="AD444">
        <v>15.283554000000001</v>
      </c>
      <c r="AE444">
        <v>15.103400000000001</v>
      </c>
      <c r="AF444">
        <v>14.842022</v>
      </c>
      <c r="AG444">
        <v>15.195103</v>
      </c>
    </row>
    <row r="445" spans="1:33" x14ac:dyDescent="0.25">
      <c r="A445" s="1">
        <v>44496</v>
      </c>
      <c r="B445">
        <v>14.21382</v>
      </c>
      <c r="C445">
        <v>15.058244</v>
      </c>
      <c r="D445">
        <v>14.984680000000001</v>
      </c>
      <c r="E445">
        <v>14.677348</v>
      </c>
      <c r="F445">
        <v>15.232415</v>
      </c>
      <c r="G445">
        <v>14.943478000000001</v>
      </c>
      <c r="H445">
        <v>15.312137999999999</v>
      </c>
      <c r="I445">
        <v>14.769258000000001</v>
      </c>
      <c r="J445">
        <v>14.876467999999999</v>
      </c>
      <c r="K445">
        <v>15.561605999999999</v>
      </c>
      <c r="L445">
        <v>15.240735000000001</v>
      </c>
      <c r="M445">
        <v>15.053627000000001</v>
      </c>
      <c r="N445">
        <v>15.223179999999999</v>
      </c>
      <c r="O445">
        <v>15.30416</v>
      </c>
      <c r="P445">
        <v>15.242986</v>
      </c>
      <c r="Q445">
        <v>14.981293000000001</v>
      </c>
      <c r="R445">
        <v>15.201097000000001</v>
      </c>
      <c r="S445">
        <v>14.119766</v>
      </c>
      <c r="T445">
        <v>15.545093</v>
      </c>
      <c r="U445">
        <v>15.227233999999999</v>
      </c>
      <c r="V445">
        <v>16.242343999999999</v>
      </c>
      <c r="W445">
        <v>15.931661</v>
      </c>
      <c r="X445">
        <v>16.233388999999999</v>
      </c>
      <c r="Y445">
        <v>16.893001999999999</v>
      </c>
      <c r="Z445">
        <v>15.379543</v>
      </c>
      <c r="AA445">
        <v>15.659568999999999</v>
      </c>
      <c r="AB445">
        <v>15.270816999999999</v>
      </c>
      <c r="AC445">
        <v>14.063247</v>
      </c>
      <c r="AD445">
        <v>15.357873</v>
      </c>
      <c r="AE445">
        <v>15.507956999999999</v>
      </c>
      <c r="AF445">
        <v>16.368964999999999</v>
      </c>
      <c r="AG445">
        <v>15.388235999999999</v>
      </c>
    </row>
    <row r="446" spans="1:33" x14ac:dyDescent="0.25">
      <c r="A446" s="1">
        <v>44497</v>
      </c>
      <c r="B446">
        <v>14.771141</v>
      </c>
      <c r="C446">
        <v>15.314762999999999</v>
      </c>
      <c r="D446">
        <v>15.232334</v>
      </c>
      <c r="E446">
        <v>14.957974</v>
      </c>
      <c r="F446">
        <v>15.541247</v>
      </c>
      <c r="G446">
        <v>15.281518</v>
      </c>
      <c r="H446">
        <v>15.522667999999999</v>
      </c>
      <c r="I446">
        <v>15.410586</v>
      </c>
      <c r="J446">
        <v>15.3082695</v>
      </c>
      <c r="K446">
        <v>15.71242</v>
      </c>
      <c r="L446">
        <v>15.578716</v>
      </c>
      <c r="M446">
        <v>15.315837</v>
      </c>
      <c r="N446">
        <v>15.884411</v>
      </c>
      <c r="O446">
        <v>16.006235</v>
      </c>
      <c r="P446">
        <v>15.421649</v>
      </c>
      <c r="Q446">
        <v>15.547413000000001</v>
      </c>
      <c r="R446">
        <v>15.721199</v>
      </c>
      <c r="S446">
        <v>14.789182</v>
      </c>
      <c r="T446">
        <v>15.558441</v>
      </c>
      <c r="U446">
        <v>15.477918000000001</v>
      </c>
      <c r="V446">
        <v>15.858382000000001</v>
      </c>
      <c r="W446">
        <v>15.650479000000001</v>
      </c>
      <c r="X446">
        <v>15.850205000000001</v>
      </c>
      <c r="Y446">
        <v>17.133268000000001</v>
      </c>
      <c r="Z446">
        <v>15.955803</v>
      </c>
      <c r="AA446">
        <v>15.863818999999999</v>
      </c>
      <c r="AB446">
        <v>16.451778000000001</v>
      </c>
      <c r="AC446">
        <v>14.340196000000001</v>
      </c>
      <c r="AD446">
        <v>15.620873</v>
      </c>
      <c r="AE446">
        <v>16.1967</v>
      </c>
      <c r="AF446">
        <v>17.221893000000001</v>
      </c>
      <c r="AG446">
        <v>15.830371</v>
      </c>
    </row>
    <row r="447" spans="1:33" x14ac:dyDescent="0.25">
      <c r="A447" s="1">
        <v>44498</v>
      </c>
      <c r="B447">
        <v>15.347262000000001</v>
      </c>
      <c r="C447">
        <v>15.783229</v>
      </c>
      <c r="D447">
        <v>15.495032999999999</v>
      </c>
      <c r="E447">
        <v>15.282279000000001</v>
      </c>
      <c r="F447">
        <v>15.846156000000001</v>
      </c>
      <c r="G447">
        <v>15.677500999999999</v>
      </c>
      <c r="H447">
        <v>15.808457000000001</v>
      </c>
      <c r="I447">
        <v>15.854900000000001</v>
      </c>
      <c r="J447">
        <v>15.647404999999999</v>
      </c>
      <c r="K447">
        <v>15.864768</v>
      </c>
      <c r="L447">
        <v>15.82349</v>
      </c>
      <c r="M447">
        <v>15.664588</v>
      </c>
      <c r="N447">
        <v>16.034538000000001</v>
      </c>
      <c r="O447">
        <v>15.999261000000001</v>
      </c>
      <c r="P447">
        <v>15.643647</v>
      </c>
      <c r="Q447">
        <v>15.919245999999999</v>
      </c>
      <c r="R447">
        <v>15.893567000000001</v>
      </c>
      <c r="S447">
        <v>15.1919985</v>
      </c>
      <c r="T447">
        <v>15.636974</v>
      </c>
      <c r="U447">
        <v>15.713398</v>
      </c>
      <c r="V447">
        <v>15.7702875</v>
      </c>
      <c r="W447">
        <v>15.674633999999999</v>
      </c>
      <c r="X447">
        <v>15.767723</v>
      </c>
      <c r="Y447">
        <v>15.711009000000001</v>
      </c>
      <c r="Z447">
        <v>16.320833</v>
      </c>
      <c r="AA447">
        <v>15.890420000000001</v>
      </c>
      <c r="AB447">
        <v>16.016013999999998</v>
      </c>
      <c r="AC447">
        <v>14.943308999999999</v>
      </c>
      <c r="AD447">
        <v>15.809298500000001</v>
      </c>
      <c r="AE447">
        <v>16.436917999999999</v>
      </c>
      <c r="AF447">
        <v>16.528288</v>
      </c>
      <c r="AG447">
        <v>16.009968000000001</v>
      </c>
    </row>
    <row r="448" spans="1:33" x14ac:dyDescent="0.25">
      <c r="A448" s="1">
        <v>44499</v>
      </c>
      <c r="B448">
        <v>15.607124000000001</v>
      </c>
      <c r="C448">
        <v>16.077839000000001</v>
      </c>
      <c r="D448">
        <v>15.671139999999999</v>
      </c>
      <c r="E448">
        <v>15.492198</v>
      </c>
      <c r="F448">
        <v>15.880553000000001</v>
      </c>
      <c r="G448">
        <v>15.862800999999999</v>
      </c>
      <c r="H448">
        <v>16.062370000000001</v>
      </c>
      <c r="I448">
        <v>15.922186999999999</v>
      </c>
      <c r="J448">
        <v>15.832836</v>
      </c>
      <c r="K448">
        <v>15.911182999999999</v>
      </c>
      <c r="L448">
        <v>15.944743000000001</v>
      </c>
      <c r="M448">
        <v>15.850863</v>
      </c>
      <c r="N448">
        <v>15.990550000000001</v>
      </c>
      <c r="O448">
        <v>15.967720999999999</v>
      </c>
      <c r="P448">
        <v>15.819767000000001</v>
      </c>
      <c r="Q448">
        <v>15.976991</v>
      </c>
      <c r="R448">
        <v>15.910645499999999</v>
      </c>
      <c r="S448">
        <v>15.432410000000001</v>
      </c>
      <c r="T448">
        <v>15.707311000000001</v>
      </c>
      <c r="U448">
        <v>15.9146185</v>
      </c>
      <c r="V448">
        <v>15.675632</v>
      </c>
      <c r="W448">
        <v>15.450656</v>
      </c>
      <c r="X448">
        <v>15.655574</v>
      </c>
      <c r="Y448">
        <v>15.880653000000001</v>
      </c>
      <c r="Z448">
        <v>16.322695</v>
      </c>
      <c r="AA448">
        <v>15.829124</v>
      </c>
      <c r="AB448">
        <v>16.116807999999999</v>
      </c>
      <c r="AC448">
        <v>15.381843</v>
      </c>
      <c r="AD448">
        <v>15.9163885</v>
      </c>
      <c r="AE448">
        <v>16.610771</v>
      </c>
      <c r="AF448">
        <v>16.032813999999998</v>
      </c>
      <c r="AG448">
        <v>16.086634</v>
      </c>
    </row>
    <row r="449" spans="1:33" x14ac:dyDescent="0.25">
      <c r="A449" s="1">
        <v>44500</v>
      </c>
      <c r="B449">
        <v>15.428070999999999</v>
      </c>
      <c r="C449">
        <v>15.934296</v>
      </c>
      <c r="D449">
        <v>15.686019999999999</v>
      </c>
      <c r="E449">
        <v>15.430306</v>
      </c>
      <c r="F449">
        <v>15.832414</v>
      </c>
      <c r="G449">
        <v>15.842003999999999</v>
      </c>
      <c r="H449">
        <v>16.057704999999999</v>
      </c>
      <c r="I449">
        <v>15.726773</v>
      </c>
      <c r="J449">
        <v>15.695876999999999</v>
      </c>
      <c r="K449">
        <v>15.91314</v>
      </c>
      <c r="L449">
        <v>15.864292000000001</v>
      </c>
      <c r="M449">
        <v>15.873473000000001</v>
      </c>
      <c r="N449">
        <v>15.878145999999999</v>
      </c>
      <c r="O449">
        <v>15.824769</v>
      </c>
      <c r="P449">
        <v>15.826946</v>
      </c>
      <c r="Q449">
        <v>15.89481</v>
      </c>
      <c r="R449">
        <v>15.824401</v>
      </c>
      <c r="S449">
        <v>15.139224</v>
      </c>
      <c r="T449">
        <v>15.540683</v>
      </c>
      <c r="U449">
        <v>15.909905</v>
      </c>
      <c r="V449">
        <v>15.481002999999999</v>
      </c>
      <c r="W449">
        <v>15.675922</v>
      </c>
      <c r="X449">
        <v>15.484387</v>
      </c>
      <c r="Y449">
        <v>15.537468000000001</v>
      </c>
      <c r="Z449">
        <v>16.104810000000001</v>
      </c>
      <c r="AA449">
        <v>15.709747</v>
      </c>
      <c r="AB449">
        <v>15.972515</v>
      </c>
      <c r="AC449">
        <v>15.494987</v>
      </c>
      <c r="AD449">
        <v>15.880432000000001</v>
      </c>
      <c r="AE449">
        <v>16.100733000000002</v>
      </c>
      <c r="AF449">
        <v>15.666043</v>
      </c>
      <c r="AG449">
        <v>15.860179</v>
      </c>
    </row>
    <row r="450" spans="1:33" x14ac:dyDescent="0.25">
      <c r="A450" s="1">
        <v>44501</v>
      </c>
      <c r="B450">
        <v>15.325478</v>
      </c>
      <c r="C450">
        <v>15.839473</v>
      </c>
      <c r="D450">
        <v>15.699838</v>
      </c>
      <c r="E450">
        <v>15.39622</v>
      </c>
      <c r="F450">
        <v>15.786752</v>
      </c>
      <c r="G450">
        <v>15.836236</v>
      </c>
      <c r="H450">
        <v>16.157647999999998</v>
      </c>
      <c r="I450">
        <v>15.626106</v>
      </c>
      <c r="J450">
        <v>15.582962999999999</v>
      </c>
      <c r="K450">
        <v>15.889934</v>
      </c>
      <c r="L450">
        <v>15.793424</v>
      </c>
      <c r="M450">
        <v>15.845295</v>
      </c>
      <c r="N450">
        <v>15.752675</v>
      </c>
      <c r="O450">
        <v>15.732132</v>
      </c>
      <c r="P450">
        <v>15.814552000000001</v>
      </c>
      <c r="Q450">
        <v>15.838295</v>
      </c>
      <c r="R450">
        <v>15.771926000000001</v>
      </c>
      <c r="S450">
        <v>14.835509</v>
      </c>
      <c r="T450">
        <v>15.460532000000001</v>
      </c>
      <c r="U450">
        <v>15.914463</v>
      </c>
      <c r="V450">
        <v>15.634022</v>
      </c>
      <c r="W450">
        <v>15.915521</v>
      </c>
      <c r="X450">
        <v>15.661363</v>
      </c>
      <c r="Y450">
        <v>15.524139999999999</v>
      </c>
      <c r="Z450">
        <v>15.941266000000001</v>
      </c>
      <c r="AA450">
        <v>15.649241</v>
      </c>
      <c r="AB450">
        <v>15.827418</v>
      </c>
      <c r="AC450">
        <v>15.033156999999999</v>
      </c>
      <c r="AD450">
        <v>15.802277999999999</v>
      </c>
      <c r="AE450">
        <v>15.441943</v>
      </c>
      <c r="AF450">
        <v>15.39655</v>
      </c>
      <c r="AG450">
        <v>15.699807</v>
      </c>
    </row>
    <row r="451" spans="1:33" x14ac:dyDescent="0.25">
      <c r="A451" s="1">
        <v>44502</v>
      </c>
      <c r="B451">
        <v>15.368724</v>
      </c>
      <c r="C451">
        <v>15.776776</v>
      </c>
      <c r="D451">
        <v>15.720359999999999</v>
      </c>
      <c r="E451">
        <v>15.431554</v>
      </c>
      <c r="F451">
        <v>15.779564000000001</v>
      </c>
      <c r="G451">
        <v>15.8212595</v>
      </c>
      <c r="H451">
        <v>16.260363000000002</v>
      </c>
      <c r="I451">
        <v>15.63823</v>
      </c>
      <c r="J451">
        <v>15.661664</v>
      </c>
      <c r="K451">
        <v>15.924322999999999</v>
      </c>
      <c r="L451">
        <v>15.859389999999999</v>
      </c>
      <c r="M451">
        <v>15.822758</v>
      </c>
      <c r="N451">
        <v>15.700504</v>
      </c>
      <c r="O451">
        <v>15.815994999999999</v>
      </c>
      <c r="P451">
        <v>15.836261</v>
      </c>
      <c r="Q451">
        <v>15.784369999999999</v>
      </c>
      <c r="R451">
        <v>15.849809</v>
      </c>
      <c r="S451">
        <v>14.945496</v>
      </c>
      <c r="T451">
        <v>15.537704</v>
      </c>
      <c r="U451">
        <v>16.002935000000001</v>
      </c>
      <c r="V451">
        <v>15.9005165</v>
      </c>
      <c r="W451">
        <v>16.120954999999999</v>
      </c>
      <c r="X451">
        <v>15.94403</v>
      </c>
      <c r="Y451">
        <v>15.679176999999999</v>
      </c>
      <c r="Z451">
        <v>15.891805</v>
      </c>
      <c r="AA451">
        <v>15.745143000000001</v>
      </c>
      <c r="AB451">
        <v>15.848841999999999</v>
      </c>
      <c r="AC451">
        <v>14.822479</v>
      </c>
      <c r="AD451">
        <v>15.828652</v>
      </c>
      <c r="AE451">
        <v>15.712616000000001</v>
      </c>
      <c r="AF451">
        <v>15.40232</v>
      </c>
      <c r="AG451">
        <v>15.777428</v>
      </c>
    </row>
    <row r="452" spans="1:33" x14ac:dyDescent="0.25">
      <c r="A452" s="1">
        <v>44503</v>
      </c>
      <c r="B452">
        <v>15.498257000000001</v>
      </c>
      <c r="C452">
        <v>15.858580999999999</v>
      </c>
      <c r="D452">
        <v>15.80993</v>
      </c>
      <c r="E452">
        <v>15.570522</v>
      </c>
      <c r="F452">
        <v>15.904152</v>
      </c>
      <c r="G452">
        <v>15.901299</v>
      </c>
      <c r="H452">
        <v>16.476595</v>
      </c>
      <c r="I452">
        <v>15.801015</v>
      </c>
      <c r="J452">
        <v>15.732085</v>
      </c>
      <c r="K452">
        <v>16.007608000000001</v>
      </c>
      <c r="L452">
        <v>15.906241</v>
      </c>
      <c r="M452">
        <v>15.910247</v>
      </c>
      <c r="N452">
        <v>15.718156</v>
      </c>
      <c r="O452">
        <v>15.888980999999999</v>
      </c>
      <c r="P452">
        <v>15.878724</v>
      </c>
      <c r="Q452">
        <v>15.842884</v>
      </c>
      <c r="R452">
        <v>15.892448</v>
      </c>
      <c r="S452">
        <v>14.952691</v>
      </c>
      <c r="T452">
        <v>15.675519</v>
      </c>
      <c r="U452">
        <v>16.099385999999999</v>
      </c>
      <c r="V452">
        <v>16.033145999999999</v>
      </c>
      <c r="W452">
        <v>16.058744000000001</v>
      </c>
      <c r="X452">
        <v>16.100415999999999</v>
      </c>
      <c r="Y452">
        <v>15.781293</v>
      </c>
      <c r="Z452">
        <v>15.913997</v>
      </c>
      <c r="AA452">
        <v>15.87683</v>
      </c>
      <c r="AB452">
        <v>15.89893</v>
      </c>
      <c r="AC452">
        <v>14.824355000000001</v>
      </c>
      <c r="AD452">
        <v>15.89622</v>
      </c>
      <c r="AE452">
        <v>16.189523999999999</v>
      </c>
      <c r="AF452">
        <v>15.506978</v>
      </c>
      <c r="AG452">
        <v>15.796745</v>
      </c>
    </row>
    <row r="453" spans="1:33" x14ac:dyDescent="0.25">
      <c r="A453" s="1">
        <v>44504</v>
      </c>
      <c r="B453">
        <v>15.809545999999999</v>
      </c>
      <c r="C453">
        <v>15.992419999999999</v>
      </c>
      <c r="D453">
        <v>16.013676</v>
      </c>
      <c r="E453">
        <v>15.825599</v>
      </c>
      <c r="F453">
        <v>16.08727</v>
      </c>
      <c r="G453">
        <v>16.060669999999998</v>
      </c>
      <c r="H453">
        <v>16.723665</v>
      </c>
      <c r="I453">
        <v>16.012498999999998</v>
      </c>
      <c r="J453">
        <v>15.998576</v>
      </c>
      <c r="K453">
        <v>16.129417</v>
      </c>
      <c r="L453">
        <v>16.077349000000002</v>
      </c>
      <c r="M453">
        <v>16.058018000000001</v>
      </c>
      <c r="N453">
        <v>15.889548</v>
      </c>
      <c r="O453">
        <v>16.074204999999999</v>
      </c>
      <c r="P453">
        <v>16.012884</v>
      </c>
      <c r="Q453">
        <v>15.986642</v>
      </c>
      <c r="R453">
        <v>16.042393000000001</v>
      </c>
      <c r="S453">
        <v>15.236587</v>
      </c>
      <c r="T453">
        <v>15.950129499999999</v>
      </c>
      <c r="U453">
        <v>16.334318</v>
      </c>
      <c r="V453">
        <v>16.277048000000001</v>
      </c>
      <c r="W453">
        <v>16.301359999999999</v>
      </c>
      <c r="X453">
        <v>16.388649000000001</v>
      </c>
      <c r="Y453">
        <v>15.993911000000001</v>
      </c>
      <c r="Z453">
        <v>16.114432999999998</v>
      </c>
      <c r="AA453">
        <v>16.106020000000001</v>
      </c>
      <c r="AB453">
        <v>16.096979999999999</v>
      </c>
      <c r="AC453">
        <v>15.179741</v>
      </c>
      <c r="AD453">
        <v>16.055353</v>
      </c>
      <c r="AE453">
        <v>16.391596</v>
      </c>
      <c r="AF453">
        <v>15.699462</v>
      </c>
      <c r="AG453">
        <v>15.997007999999999</v>
      </c>
    </row>
    <row r="454" spans="1:33" x14ac:dyDescent="0.25">
      <c r="A454" s="1">
        <v>44505</v>
      </c>
      <c r="B454">
        <v>15.432734999999999</v>
      </c>
      <c r="C454">
        <v>15.779415999999999</v>
      </c>
      <c r="D454">
        <v>15.864761</v>
      </c>
      <c r="E454">
        <v>15.662877</v>
      </c>
      <c r="F454">
        <v>15.723568</v>
      </c>
      <c r="G454">
        <v>15.990517000000001</v>
      </c>
      <c r="H454">
        <v>16.605758999999999</v>
      </c>
      <c r="I454">
        <v>15.498455999999999</v>
      </c>
      <c r="J454">
        <v>15.538928</v>
      </c>
      <c r="K454">
        <v>16.031534000000001</v>
      </c>
      <c r="L454">
        <v>15.952859</v>
      </c>
      <c r="M454">
        <v>15.953353999999999</v>
      </c>
      <c r="N454">
        <v>15.792832000000001</v>
      </c>
      <c r="O454">
        <v>15.947918</v>
      </c>
      <c r="P454">
        <v>15.897686999999999</v>
      </c>
      <c r="Q454">
        <v>15.902466</v>
      </c>
      <c r="R454">
        <v>15.928362999999999</v>
      </c>
      <c r="S454">
        <v>14.807116499999999</v>
      </c>
      <c r="T454">
        <v>15.85657</v>
      </c>
      <c r="U454">
        <v>16.259232999999998</v>
      </c>
      <c r="V454">
        <v>16.015394000000001</v>
      </c>
      <c r="W454">
        <v>16.174973999999999</v>
      </c>
      <c r="X454">
        <v>16.080082000000001</v>
      </c>
      <c r="Y454">
        <v>15.796386</v>
      </c>
      <c r="Z454">
        <v>16.06307</v>
      </c>
      <c r="AA454">
        <v>16.021128000000001</v>
      </c>
      <c r="AB454">
        <v>15.951786999999999</v>
      </c>
      <c r="AC454">
        <v>15.013722</v>
      </c>
      <c r="AD454">
        <v>16.001550000000002</v>
      </c>
      <c r="AE454">
        <v>15.970084</v>
      </c>
      <c r="AF454">
        <v>15.698943999999999</v>
      </c>
      <c r="AG454">
        <v>15.753609000000001</v>
      </c>
    </row>
    <row r="455" spans="1:33" x14ac:dyDescent="0.25">
      <c r="A455" s="1">
        <v>44506</v>
      </c>
      <c r="B455">
        <v>15.097481999999999</v>
      </c>
      <c r="C455">
        <v>15.588962</v>
      </c>
      <c r="D455">
        <v>15.504837</v>
      </c>
      <c r="E455">
        <v>15.35754</v>
      </c>
      <c r="F455">
        <v>15.484378</v>
      </c>
      <c r="G455">
        <v>15.776714999999999</v>
      </c>
      <c r="H455">
        <v>16.353449000000001</v>
      </c>
      <c r="I455">
        <v>14.968074</v>
      </c>
      <c r="J455">
        <v>14.997555</v>
      </c>
      <c r="K455">
        <v>15.871238999999999</v>
      </c>
      <c r="L455">
        <v>15.727615</v>
      </c>
      <c r="M455">
        <v>15.728223</v>
      </c>
      <c r="N455">
        <v>15.607165999999999</v>
      </c>
      <c r="O455">
        <v>15.744351</v>
      </c>
      <c r="P455">
        <v>15.695396000000001</v>
      </c>
      <c r="Q455">
        <v>15.697298999999999</v>
      </c>
      <c r="R455">
        <v>15.747506</v>
      </c>
      <c r="S455">
        <v>14.115899000000001</v>
      </c>
      <c r="T455">
        <v>15.594756</v>
      </c>
      <c r="U455">
        <v>15.977796</v>
      </c>
      <c r="V455">
        <v>15.782899</v>
      </c>
      <c r="W455">
        <v>15.882688</v>
      </c>
      <c r="X455">
        <v>15.884648</v>
      </c>
      <c r="Y455">
        <v>15.3818865</v>
      </c>
      <c r="Z455">
        <v>15.843242999999999</v>
      </c>
      <c r="AA455">
        <v>15.791734</v>
      </c>
      <c r="AB455">
        <v>15.658016</v>
      </c>
      <c r="AC455">
        <v>14.580188</v>
      </c>
      <c r="AD455">
        <v>15.7966</v>
      </c>
      <c r="AE455">
        <v>15.899540999999999</v>
      </c>
      <c r="AF455">
        <v>15.538114</v>
      </c>
      <c r="AG455">
        <v>15.529035</v>
      </c>
    </row>
    <row r="456" spans="1:33" x14ac:dyDescent="0.25">
      <c r="A456" s="1">
        <v>44507</v>
      </c>
      <c r="B456">
        <v>14.559627000000001</v>
      </c>
      <c r="C456">
        <v>15.327783</v>
      </c>
      <c r="D456">
        <v>14.984456</v>
      </c>
      <c r="E456">
        <v>14.894902</v>
      </c>
      <c r="F456">
        <v>15.083608</v>
      </c>
      <c r="G456">
        <v>15.450217</v>
      </c>
      <c r="H456">
        <v>16.018018999999999</v>
      </c>
      <c r="I456">
        <v>14.3236475</v>
      </c>
      <c r="J456">
        <v>14.346947</v>
      </c>
      <c r="K456">
        <v>15.631544999999999</v>
      </c>
      <c r="L456">
        <v>15.392761999999999</v>
      </c>
      <c r="M456">
        <v>15.4239645</v>
      </c>
      <c r="N456">
        <v>15.317594</v>
      </c>
      <c r="O456">
        <v>15.4299345</v>
      </c>
      <c r="P456">
        <v>15.391693999999999</v>
      </c>
      <c r="Q456">
        <v>15.399533</v>
      </c>
      <c r="R456">
        <v>15.43839</v>
      </c>
      <c r="S456">
        <v>13.291359</v>
      </c>
      <c r="T456">
        <v>15.214236</v>
      </c>
      <c r="U456">
        <v>15.572143000000001</v>
      </c>
      <c r="V456">
        <v>15.386991</v>
      </c>
      <c r="W456">
        <v>15.470116000000001</v>
      </c>
      <c r="X456">
        <v>15.481824</v>
      </c>
      <c r="Y456">
        <v>14.948195999999999</v>
      </c>
      <c r="Z456">
        <v>15.405056999999999</v>
      </c>
      <c r="AA456">
        <v>15.426113000000001</v>
      </c>
      <c r="AB456">
        <v>15.209129000000001</v>
      </c>
      <c r="AC456">
        <v>13.794824</v>
      </c>
      <c r="AD456">
        <v>15.503361999999999</v>
      </c>
      <c r="AE456">
        <v>15.341695</v>
      </c>
      <c r="AF456">
        <v>15.282169</v>
      </c>
      <c r="AG456">
        <v>15.121468999999999</v>
      </c>
    </row>
    <row r="457" spans="1:33" x14ac:dyDescent="0.25">
      <c r="A457" s="1">
        <v>44508</v>
      </c>
      <c r="B457">
        <v>14.284799</v>
      </c>
      <c r="C457">
        <v>15.138491999999999</v>
      </c>
      <c r="D457">
        <v>14.620032</v>
      </c>
      <c r="E457">
        <v>14.545246000000001</v>
      </c>
      <c r="F457">
        <v>14.937486</v>
      </c>
      <c r="G457">
        <v>15.203725</v>
      </c>
      <c r="H457">
        <v>15.842624000000001</v>
      </c>
      <c r="I457">
        <v>14.209220999999999</v>
      </c>
      <c r="J457">
        <v>14.032871</v>
      </c>
      <c r="K457">
        <v>15.414146000000001</v>
      </c>
      <c r="L457">
        <v>15.096488000000001</v>
      </c>
      <c r="M457">
        <v>15.201392</v>
      </c>
      <c r="N457">
        <v>15.064574</v>
      </c>
      <c r="O457">
        <v>15.154450000000001</v>
      </c>
      <c r="P457">
        <v>15.105426</v>
      </c>
      <c r="Q457">
        <v>15.145110000000001</v>
      </c>
      <c r="R457">
        <v>15.155559</v>
      </c>
      <c r="S457">
        <v>12.615335999999999</v>
      </c>
      <c r="T457">
        <v>14.858025</v>
      </c>
      <c r="U457">
        <v>15.223770999999999</v>
      </c>
      <c r="V457">
        <v>15.041620999999999</v>
      </c>
      <c r="W457">
        <v>15.059856999999999</v>
      </c>
      <c r="X457">
        <v>15.115067</v>
      </c>
      <c r="Y457">
        <v>14.42479</v>
      </c>
      <c r="Z457">
        <v>14.91164</v>
      </c>
      <c r="AA457">
        <v>15.0323305</v>
      </c>
      <c r="AB457">
        <v>14.691398</v>
      </c>
      <c r="AC457">
        <v>12.990769</v>
      </c>
      <c r="AD457">
        <v>15.1967325</v>
      </c>
      <c r="AE457">
        <v>14.334163</v>
      </c>
      <c r="AF457">
        <v>14.95919</v>
      </c>
      <c r="AG457">
        <v>14.649734499999999</v>
      </c>
    </row>
    <row r="458" spans="1:33" x14ac:dyDescent="0.25">
      <c r="A458" s="1">
        <v>44509</v>
      </c>
      <c r="B458">
        <v>14.401154</v>
      </c>
      <c r="C458">
        <v>14.967757000000001</v>
      </c>
      <c r="D458">
        <v>14.435454</v>
      </c>
      <c r="E458">
        <v>14.470347</v>
      </c>
      <c r="F458">
        <v>14.941470000000001</v>
      </c>
      <c r="G458">
        <v>15.150850999999999</v>
      </c>
      <c r="H458">
        <v>15.883893</v>
      </c>
      <c r="I458">
        <v>14.333916</v>
      </c>
      <c r="J458">
        <v>13.965450000000001</v>
      </c>
      <c r="K458">
        <v>15.195641500000001</v>
      </c>
      <c r="L458">
        <v>14.921298999999999</v>
      </c>
      <c r="M458">
        <v>15.128458999999999</v>
      </c>
      <c r="N458">
        <v>14.934763999999999</v>
      </c>
      <c r="O458">
        <v>14.927097</v>
      </c>
      <c r="P458">
        <v>14.902963</v>
      </c>
      <c r="Q458">
        <v>15.059691000000001</v>
      </c>
      <c r="R458">
        <v>14.942344</v>
      </c>
      <c r="S458">
        <v>12.351751999999999</v>
      </c>
      <c r="T458">
        <v>14.62494</v>
      </c>
      <c r="U458">
        <v>14.735633999999999</v>
      </c>
      <c r="V458">
        <v>14.744804999999999</v>
      </c>
      <c r="W458">
        <v>14.550898999999999</v>
      </c>
      <c r="X458">
        <v>14.771148999999999</v>
      </c>
      <c r="Y458">
        <v>14.191295</v>
      </c>
      <c r="Z458">
        <v>14.5824</v>
      </c>
      <c r="AA458">
        <v>14.753593</v>
      </c>
      <c r="AB458">
        <v>14.423664</v>
      </c>
      <c r="AC458">
        <v>12.674994</v>
      </c>
      <c r="AD458">
        <v>14.975268</v>
      </c>
      <c r="AE458">
        <v>14.215178999999999</v>
      </c>
      <c r="AF458">
        <v>14.721774999999999</v>
      </c>
      <c r="AG458">
        <v>14.210808</v>
      </c>
    </row>
    <row r="459" spans="1:33" x14ac:dyDescent="0.25">
      <c r="A459" s="1">
        <v>44510</v>
      </c>
      <c r="B459">
        <v>14.334004</v>
      </c>
      <c r="C459">
        <v>14.990634</v>
      </c>
      <c r="D459">
        <v>14.387945999999999</v>
      </c>
      <c r="E459">
        <v>14.348839</v>
      </c>
      <c r="F459">
        <v>15.046239</v>
      </c>
      <c r="G459">
        <v>15.029716499999999</v>
      </c>
      <c r="H459">
        <v>15.689151000000001</v>
      </c>
      <c r="I459">
        <v>14.503842000000001</v>
      </c>
      <c r="J459">
        <v>13.875615</v>
      </c>
      <c r="K459">
        <v>15.099978</v>
      </c>
      <c r="L459">
        <v>14.783614999999999</v>
      </c>
      <c r="M459">
        <v>15.018821000000001</v>
      </c>
      <c r="N459">
        <v>14.785992</v>
      </c>
      <c r="O459">
        <v>14.807759000000001</v>
      </c>
      <c r="P459">
        <v>14.805878999999999</v>
      </c>
      <c r="Q459">
        <v>14.936469000000001</v>
      </c>
      <c r="R459">
        <v>14.829703</v>
      </c>
      <c r="S459">
        <v>12.502647</v>
      </c>
      <c r="T459">
        <v>14.3567</v>
      </c>
      <c r="U459">
        <v>14.275603</v>
      </c>
      <c r="V459">
        <v>14.542255000000001</v>
      </c>
      <c r="W459">
        <v>14.022724999999999</v>
      </c>
      <c r="X459">
        <v>14.591855000000001</v>
      </c>
      <c r="Y459">
        <v>13.956469999999999</v>
      </c>
      <c r="Z459">
        <v>14.350765000000001</v>
      </c>
      <c r="AA459">
        <v>14.634423</v>
      </c>
      <c r="AB459">
        <v>14.265408499999999</v>
      </c>
      <c r="AC459">
        <v>12.331032</v>
      </c>
      <c r="AD459">
        <v>14.836402</v>
      </c>
      <c r="AE459">
        <v>14.625078999999999</v>
      </c>
      <c r="AF459">
        <v>14.572106</v>
      </c>
      <c r="AG459">
        <v>14.374606</v>
      </c>
    </row>
    <row r="460" spans="1:33" x14ac:dyDescent="0.25">
      <c r="A460" s="1">
        <v>44511</v>
      </c>
      <c r="B460">
        <v>14.414040999999999</v>
      </c>
      <c r="C460">
        <v>15.044060999999999</v>
      </c>
      <c r="D460">
        <v>14.470027</v>
      </c>
      <c r="E460">
        <v>14.384998</v>
      </c>
      <c r="F460">
        <v>15.180619</v>
      </c>
      <c r="G460">
        <v>15.025134</v>
      </c>
      <c r="H460">
        <v>15.758606</v>
      </c>
      <c r="I460">
        <v>14.763309</v>
      </c>
      <c r="J460">
        <v>14.071374</v>
      </c>
      <c r="K460">
        <v>15.103869</v>
      </c>
      <c r="L460">
        <v>14.796649</v>
      </c>
      <c r="M460">
        <v>15.010819</v>
      </c>
      <c r="N460">
        <v>14.77787</v>
      </c>
      <c r="O460">
        <v>14.803478999999999</v>
      </c>
      <c r="P460">
        <v>14.809768999999999</v>
      </c>
      <c r="Q460">
        <v>14.946831</v>
      </c>
      <c r="R460">
        <v>14.83985</v>
      </c>
      <c r="S460">
        <v>12.532479</v>
      </c>
      <c r="T460">
        <v>14.339295</v>
      </c>
      <c r="U460">
        <v>13.887585</v>
      </c>
      <c r="V460">
        <v>14.439373</v>
      </c>
      <c r="W460">
        <v>13.750343000000001</v>
      </c>
      <c r="X460">
        <v>14.389905000000001</v>
      </c>
      <c r="Y460">
        <v>14.061030000000001</v>
      </c>
      <c r="Z460">
        <v>14.301596999999999</v>
      </c>
      <c r="AA460">
        <v>14.694457</v>
      </c>
      <c r="AB460">
        <v>14.454644</v>
      </c>
      <c r="AC460">
        <v>12.230109000000001</v>
      </c>
      <c r="AD460">
        <v>14.809144</v>
      </c>
      <c r="AE460">
        <v>15.026878999999999</v>
      </c>
      <c r="AF460">
        <v>14.532147</v>
      </c>
      <c r="AG460">
        <v>14.408029000000001</v>
      </c>
    </row>
    <row r="461" spans="1:33" x14ac:dyDescent="0.25">
      <c r="A461" s="1">
        <v>44512</v>
      </c>
      <c r="B461">
        <v>14.524032</v>
      </c>
      <c r="C461">
        <v>15.061123</v>
      </c>
      <c r="D461">
        <v>14.554345</v>
      </c>
      <c r="E461">
        <v>14.506047000000001</v>
      </c>
      <c r="F461">
        <v>15.239957</v>
      </c>
      <c r="G461">
        <v>15.087977</v>
      </c>
      <c r="H461">
        <v>15.943012</v>
      </c>
      <c r="I461">
        <v>14.978012</v>
      </c>
      <c r="J461">
        <v>14.184449000000001</v>
      </c>
      <c r="K461">
        <v>15.122738</v>
      </c>
      <c r="L461">
        <v>14.825812000000001</v>
      </c>
      <c r="M461">
        <v>15.060585</v>
      </c>
      <c r="N461">
        <v>14.79792</v>
      </c>
      <c r="O461">
        <v>14.743954</v>
      </c>
      <c r="P461">
        <v>14.815310500000001</v>
      </c>
      <c r="Q461">
        <v>14.990014</v>
      </c>
      <c r="R461">
        <v>14.854362500000001</v>
      </c>
      <c r="S461">
        <v>12.504982999999999</v>
      </c>
      <c r="T461">
        <v>14.297022999999999</v>
      </c>
      <c r="U461">
        <v>13.732442000000001</v>
      </c>
      <c r="V461">
        <v>14.150261</v>
      </c>
      <c r="W461">
        <v>13.784202000000001</v>
      </c>
      <c r="X461">
        <v>14.058286000000001</v>
      </c>
      <c r="Y461">
        <v>14.256069</v>
      </c>
      <c r="Z461">
        <v>14.361558</v>
      </c>
      <c r="AA461">
        <v>14.784738000000001</v>
      </c>
      <c r="AB461">
        <v>14.542889000000001</v>
      </c>
      <c r="AC461">
        <v>12.566197000000001</v>
      </c>
      <c r="AD461">
        <v>14.801868000000001</v>
      </c>
      <c r="AE461">
        <v>15.025340999999999</v>
      </c>
      <c r="AF461">
        <v>14.517241500000001</v>
      </c>
      <c r="AG461">
        <v>14.519496</v>
      </c>
    </row>
    <row r="462" spans="1:33" x14ac:dyDescent="0.25">
      <c r="A462" s="1">
        <v>44513</v>
      </c>
      <c r="B462">
        <v>14.822995000000001</v>
      </c>
      <c r="C462">
        <v>15.216149</v>
      </c>
      <c r="D462">
        <v>14.738837</v>
      </c>
      <c r="E462">
        <v>14.760422999999999</v>
      </c>
      <c r="F462">
        <v>15.384776</v>
      </c>
      <c r="G462">
        <v>15.216125</v>
      </c>
      <c r="H462">
        <v>16.157464999999998</v>
      </c>
      <c r="I462">
        <v>15.253677</v>
      </c>
      <c r="J462">
        <v>14.525551</v>
      </c>
      <c r="K462">
        <v>15.19115</v>
      </c>
      <c r="L462">
        <v>14.952614000000001</v>
      </c>
      <c r="M462">
        <v>15.175385</v>
      </c>
      <c r="N462">
        <v>14.883174</v>
      </c>
      <c r="O462">
        <v>14.723492</v>
      </c>
      <c r="P462">
        <v>14.914054</v>
      </c>
      <c r="Q462">
        <v>15.091336</v>
      </c>
      <c r="R462">
        <v>14.92662</v>
      </c>
      <c r="S462">
        <v>12.974007</v>
      </c>
      <c r="T462">
        <v>14.35524</v>
      </c>
      <c r="U462">
        <v>14.080382</v>
      </c>
      <c r="V462">
        <v>14.054446</v>
      </c>
      <c r="W462">
        <v>13.850877000000001</v>
      </c>
      <c r="X462">
        <v>13.987897</v>
      </c>
      <c r="Y462">
        <v>14.376567</v>
      </c>
      <c r="Z462">
        <v>14.452565</v>
      </c>
      <c r="AA462">
        <v>14.944243</v>
      </c>
      <c r="AB462">
        <v>14.754486999999999</v>
      </c>
      <c r="AC462">
        <v>12.983485</v>
      </c>
      <c r="AD462">
        <v>14.870594000000001</v>
      </c>
      <c r="AE462">
        <v>14.855911000000001</v>
      </c>
      <c r="AF462">
        <v>14.570024999999999</v>
      </c>
      <c r="AG462">
        <v>14.844529</v>
      </c>
    </row>
    <row r="463" spans="1:33" x14ac:dyDescent="0.25">
      <c r="A463" s="1">
        <v>44514</v>
      </c>
      <c r="B463">
        <v>14.753194000000001</v>
      </c>
      <c r="C463">
        <v>15.171787</v>
      </c>
      <c r="D463">
        <v>14.79284</v>
      </c>
      <c r="E463">
        <v>14.8356695</v>
      </c>
      <c r="F463">
        <v>15.242585</v>
      </c>
      <c r="G463">
        <v>15.231078</v>
      </c>
      <c r="H463">
        <v>16.156023000000001</v>
      </c>
      <c r="I463">
        <v>15.145068999999999</v>
      </c>
      <c r="J463">
        <v>14.50393</v>
      </c>
      <c r="K463">
        <v>15.1805725</v>
      </c>
      <c r="L463">
        <v>14.892524999999999</v>
      </c>
      <c r="M463">
        <v>15.172348</v>
      </c>
      <c r="N463">
        <v>14.745936</v>
      </c>
      <c r="O463">
        <v>14.710013</v>
      </c>
      <c r="P463">
        <v>14.898135999999999</v>
      </c>
      <c r="Q463">
        <v>15.054455000000001</v>
      </c>
      <c r="R463">
        <v>14.88158</v>
      </c>
      <c r="S463">
        <v>13.165488</v>
      </c>
      <c r="T463">
        <v>14.302777000000001</v>
      </c>
      <c r="U463">
        <v>14.145122000000001</v>
      </c>
      <c r="V463">
        <v>13.982535</v>
      </c>
      <c r="W463">
        <v>13.564036</v>
      </c>
      <c r="X463">
        <v>13.925265</v>
      </c>
      <c r="Y463">
        <v>14.189520999999999</v>
      </c>
      <c r="Z463">
        <v>14.454700000000001</v>
      </c>
      <c r="AA463">
        <v>14.9256525</v>
      </c>
      <c r="AB463">
        <v>14.816865</v>
      </c>
      <c r="AC463">
        <v>13.052944999999999</v>
      </c>
      <c r="AD463">
        <v>14.8324</v>
      </c>
      <c r="AE463">
        <v>14.435248</v>
      </c>
      <c r="AF463">
        <v>14.564228</v>
      </c>
      <c r="AG463">
        <v>14.856896000000001</v>
      </c>
    </row>
    <row r="464" spans="1:33" x14ac:dyDescent="0.25">
      <c r="A464" s="1">
        <v>44515</v>
      </c>
      <c r="B464">
        <v>14.822005000000001</v>
      </c>
      <c r="C464">
        <v>15.126533500000001</v>
      </c>
      <c r="D464">
        <v>14.862655</v>
      </c>
      <c r="E464">
        <v>14.916641</v>
      </c>
      <c r="F464">
        <v>15.221360000000001</v>
      </c>
      <c r="G464">
        <v>15.255739999999999</v>
      </c>
      <c r="H464">
        <v>16.328655000000001</v>
      </c>
      <c r="I464">
        <v>15.029807</v>
      </c>
      <c r="J464">
        <v>14.479615000000001</v>
      </c>
      <c r="K464">
        <v>15.136946999999999</v>
      </c>
      <c r="L464">
        <v>14.834391999999999</v>
      </c>
      <c r="M464">
        <v>15.176955</v>
      </c>
      <c r="N464">
        <v>14.638980999999999</v>
      </c>
      <c r="O464">
        <v>14.732512</v>
      </c>
      <c r="P464">
        <v>14.858577</v>
      </c>
      <c r="Q464">
        <v>15.036992</v>
      </c>
      <c r="R464">
        <v>14.866415999999999</v>
      </c>
      <c r="S464">
        <v>13.3382845</v>
      </c>
      <c r="T464">
        <v>14.203828</v>
      </c>
      <c r="U464">
        <v>14.228996</v>
      </c>
      <c r="V464">
        <v>13.815141000000001</v>
      </c>
      <c r="W464">
        <v>13.633713</v>
      </c>
      <c r="X464">
        <v>13.723903999999999</v>
      </c>
      <c r="Y464">
        <v>14.323394</v>
      </c>
      <c r="Z464">
        <v>14.366467</v>
      </c>
      <c r="AA464">
        <v>14.871432</v>
      </c>
      <c r="AB464">
        <v>14.865703999999999</v>
      </c>
      <c r="AC464">
        <v>13.060973000000001</v>
      </c>
      <c r="AD464">
        <v>14.788902999999999</v>
      </c>
      <c r="AE464">
        <v>14.176608</v>
      </c>
      <c r="AF464">
        <v>14.599042000000001</v>
      </c>
      <c r="AG464">
        <v>14.83841</v>
      </c>
    </row>
    <row r="465" spans="1:33" x14ac:dyDescent="0.25">
      <c r="A465" s="1">
        <v>44516</v>
      </c>
      <c r="B465">
        <v>14.767617</v>
      </c>
      <c r="C465">
        <v>15.01817</v>
      </c>
      <c r="D465">
        <v>14.887721000000001</v>
      </c>
      <c r="E465">
        <v>14.918343999999999</v>
      </c>
      <c r="F465">
        <v>15.182019</v>
      </c>
      <c r="G465">
        <v>15.265048999999999</v>
      </c>
      <c r="H465">
        <v>16.39021</v>
      </c>
      <c r="I465">
        <v>14.881558</v>
      </c>
      <c r="J465">
        <v>14.281276</v>
      </c>
      <c r="K465">
        <v>15.070152999999999</v>
      </c>
      <c r="L465">
        <v>14.737396</v>
      </c>
      <c r="M465">
        <v>15.164853000000001</v>
      </c>
      <c r="N465">
        <v>14.552681</v>
      </c>
      <c r="O465">
        <v>14.642739000000001</v>
      </c>
      <c r="P465">
        <v>14.779904</v>
      </c>
      <c r="Q465">
        <v>15.01942</v>
      </c>
      <c r="R465">
        <v>14.766671000000001</v>
      </c>
      <c r="S465">
        <v>13.328956</v>
      </c>
      <c r="T465">
        <v>14.053663999999999</v>
      </c>
      <c r="U465">
        <v>14.252447999999999</v>
      </c>
      <c r="V465">
        <v>13.714881</v>
      </c>
      <c r="W465">
        <v>13.852452</v>
      </c>
      <c r="X465">
        <v>13.647212</v>
      </c>
      <c r="Y465">
        <v>14.369835</v>
      </c>
      <c r="Z465">
        <v>14.211091</v>
      </c>
      <c r="AA465">
        <v>14.753387999999999</v>
      </c>
      <c r="AB465">
        <v>14.769727</v>
      </c>
      <c r="AC465">
        <v>13.127974999999999</v>
      </c>
      <c r="AD465">
        <v>14.715615</v>
      </c>
      <c r="AE465">
        <v>13.963882</v>
      </c>
      <c r="AF465">
        <v>14.603145</v>
      </c>
      <c r="AG465">
        <v>14.68713</v>
      </c>
    </row>
    <row r="466" spans="1:33" x14ac:dyDescent="0.25">
      <c r="A466" s="1">
        <v>44517</v>
      </c>
      <c r="B466">
        <v>14.367535</v>
      </c>
      <c r="C466">
        <v>14.732552999999999</v>
      </c>
      <c r="D466">
        <v>14.627395</v>
      </c>
      <c r="E466">
        <v>14.6457405</v>
      </c>
      <c r="F466">
        <v>14.870606</v>
      </c>
      <c r="G466">
        <v>15.166988</v>
      </c>
      <c r="H466">
        <v>16.186337999999999</v>
      </c>
      <c r="I466">
        <v>14.255801999999999</v>
      </c>
      <c r="J466">
        <v>13.764049999999999</v>
      </c>
      <c r="K466">
        <v>14.907657</v>
      </c>
      <c r="L466">
        <v>14.486095000000001</v>
      </c>
      <c r="M466">
        <v>15.042591</v>
      </c>
      <c r="N466">
        <v>14.354039</v>
      </c>
      <c r="O466">
        <v>14.425382000000001</v>
      </c>
      <c r="P466">
        <v>14.597797</v>
      </c>
      <c r="Q466">
        <v>14.899896</v>
      </c>
      <c r="R466">
        <v>14.586577</v>
      </c>
      <c r="S466">
        <v>12.61866</v>
      </c>
      <c r="T466">
        <v>13.772558999999999</v>
      </c>
      <c r="U466">
        <v>13.981641</v>
      </c>
      <c r="V466">
        <v>13.588564999999999</v>
      </c>
      <c r="W466">
        <v>13.908896</v>
      </c>
      <c r="X466">
        <v>13.525762</v>
      </c>
      <c r="Y466">
        <v>14.029363</v>
      </c>
      <c r="Z466">
        <v>13.889485000000001</v>
      </c>
      <c r="AA466">
        <v>14.4683075</v>
      </c>
      <c r="AB466">
        <v>14.401984000000001</v>
      </c>
      <c r="AC466">
        <v>12.851231</v>
      </c>
      <c r="AD466">
        <v>14.513541</v>
      </c>
      <c r="AE466">
        <v>13.76423</v>
      </c>
      <c r="AF466">
        <v>14.437969000000001</v>
      </c>
      <c r="AG466">
        <v>14.261013999999999</v>
      </c>
    </row>
    <row r="467" spans="1:33" x14ac:dyDescent="0.25">
      <c r="A467" s="1">
        <v>44518</v>
      </c>
      <c r="B467">
        <v>14.128409</v>
      </c>
      <c r="C467">
        <v>14.512938999999999</v>
      </c>
      <c r="D467">
        <v>14.438777999999999</v>
      </c>
      <c r="E467">
        <v>14.38622</v>
      </c>
      <c r="F467">
        <v>14.812301</v>
      </c>
      <c r="G467">
        <v>15.045184000000001</v>
      </c>
      <c r="H467">
        <v>16.148737000000001</v>
      </c>
      <c r="I467">
        <v>14.04721</v>
      </c>
      <c r="J467">
        <v>13.443851</v>
      </c>
      <c r="K467">
        <v>14.785398000000001</v>
      </c>
      <c r="L467">
        <v>14.33966</v>
      </c>
      <c r="M467">
        <v>14.940011</v>
      </c>
      <c r="N467">
        <v>14.218754000000001</v>
      </c>
      <c r="O467">
        <v>14.302552</v>
      </c>
      <c r="P467">
        <v>14.441090000000001</v>
      </c>
      <c r="Q467">
        <v>14.789718000000001</v>
      </c>
      <c r="R467">
        <v>14.441765999999999</v>
      </c>
      <c r="S467">
        <v>12.179376</v>
      </c>
      <c r="T467">
        <v>13.591328000000001</v>
      </c>
      <c r="U467">
        <v>13.826373999999999</v>
      </c>
      <c r="V467">
        <v>13.589625</v>
      </c>
      <c r="W467">
        <v>13.702035</v>
      </c>
      <c r="X467">
        <v>13.562578999999999</v>
      </c>
      <c r="Y467">
        <v>13.795292</v>
      </c>
      <c r="Z467">
        <v>13.6373415</v>
      </c>
      <c r="AA467">
        <v>14.259080000000001</v>
      </c>
      <c r="AB467">
        <v>14.066421</v>
      </c>
      <c r="AC467">
        <v>12.705213000000001</v>
      </c>
      <c r="AD467">
        <v>14.356949</v>
      </c>
      <c r="AE467">
        <v>13.359127000000001</v>
      </c>
      <c r="AF467">
        <v>14.334844</v>
      </c>
      <c r="AG467">
        <v>14.028885000000001</v>
      </c>
    </row>
    <row r="468" spans="1:33" x14ac:dyDescent="0.25">
      <c r="A468" s="1">
        <v>44519</v>
      </c>
      <c r="B468">
        <v>14.142447000000001</v>
      </c>
      <c r="C468">
        <v>14.443866999999999</v>
      </c>
      <c r="D468">
        <v>14.342295999999999</v>
      </c>
      <c r="E468">
        <v>14.296287</v>
      </c>
      <c r="F468">
        <v>14.836881</v>
      </c>
      <c r="G468">
        <v>14.996753999999999</v>
      </c>
      <c r="H468">
        <v>16.073519999999998</v>
      </c>
      <c r="I468">
        <v>14.122185999999999</v>
      </c>
      <c r="J468">
        <v>13.486977</v>
      </c>
      <c r="K468">
        <v>14.720071000000001</v>
      </c>
      <c r="L468">
        <v>14.285252</v>
      </c>
      <c r="M468">
        <v>14.902278000000001</v>
      </c>
      <c r="N468">
        <v>14.179688000000001</v>
      </c>
      <c r="O468">
        <v>14.242834999999999</v>
      </c>
      <c r="P468">
        <v>14.359856000000001</v>
      </c>
      <c r="Q468">
        <v>14.748530000000001</v>
      </c>
      <c r="R468">
        <v>14.368290999999999</v>
      </c>
      <c r="S468">
        <v>12.23626</v>
      </c>
      <c r="T468">
        <v>13.56376</v>
      </c>
      <c r="U468">
        <v>13.677702999999999</v>
      </c>
      <c r="V468">
        <v>13.713533999999999</v>
      </c>
      <c r="W468">
        <v>13.583862999999999</v>
      </c>
      <c r="X468">
        <v>13.751366000000001</v>
      </c>
      <c r="Y468">
        <v>13.686764999999999</v>
      </c>
      <c r="Z468">
        <v>13.521515000000001</v>
      </c>
      <c r="AA468">
        <v>14.179828000000001</v>
      </c>
      <c r="AB468">
        <v>13.886813999999999</v>
      </c>
      <c r="AC468">
        <v>12.718646</v>
      </c>
      <c r="AD468">
        <v>14.286670000000001</v>
      </c>
      <c r="AE468">
        <v>13.838695</v>
      </c>
      <c r="AF468">
        <v>14.295619</v>
      </c>
      <c r="AG468">
        <v>13.957341</v>
      </c>
    </row>
    <row r="469" spans="1:33" x14ac:dyDescent="0.25">
      <c r="A469" s="1">
        <v>44520</v>
      </c>
      <c r="B469">
        <v>13.9892</v>
      </c>
      <c r="C469">
        <v>14.406605000000001</v>
      </c>
      <c r="D469">
        <v>14.226139</v>
      </c>
      <c r="E469">
        <v>14.178046</v>
      </c>
      <c r="F469">
        <v>14.818713000000001</v>
      </c>
      <c r="G469">
        <v>14.921417</v>
      </c>
      <c r="H469">
        <v>15.885484</v>
      </c>
      <c r="I469">
        <v>14.199303</v>
      </c>
      <c r="J469">
        <v>13.415435</v>
      </c>
      <c r="K469">
        <v>14.640415000000001</v>
      </c>
      <c r="L469">
        <v>14.153369</v>
      </c>
      <c r="M469">
        <v>14.837578000000001</v>
      </c>
      <c r="N469">
        <v>14.063575999999999</v>
      </c>
      <c r="O469">
        <v>14.043472</v>
      </c>
      <c r="P469">
        <v>14.273361</v>
      </c>
      <c r="Q469">
        <v>14.667014999999999</v>
      </c>
      <c r="R469">
        <v>14.205486000000001</v>
      </c>
      <c r="S469">
        <v>12.095216000000001</v>
      </c>
      <c r="T469">
        <v>13.507552</v>
      </c>
      <c r="U469">
        <v>13.5487175</v>
      </c>
      <c r="V469">
        <v>13.622706000000001</v>
      </c>
      <c r="W469">
        <v>13.625503999999999</v>
      </c>
      <c r="X469">
        <v>13.615565</v>
      </c>
      <c r="Y469">
        <v>13.527939999999999</v>
      </c>
      <c r="Z469">
        <v>13.430391999999999</v>
      </c>
      <c r="AA469">
        <v>14.077558</v>
      </c>
      <c r="AB469">
        <v>13.743668</v>
      </c>
      <c r="AC469">
        <v>12.643917</v>
      </c>
      <c r="AD469">
        <v>14.165717000000001</v>
      </c>
      <c r="AE469">
        <v>14.506123000000001</v>
      </c>
      <c r="AF469">
        <v>14.226692</v>
      </c>
      <c r="AG469">
        <v>13.821671500000001</v>
      </c>
    </row>
    <row r="470" spans="1:33" x14ac:dyDescent="0.25">
      <c r="A470" s="1">
        <v>44521</v>
      </c>
      <c r="B470">
        <v>13.514735999999999</v>
      </c>
      <c r="C470">
        <v>14.100417</v>
      </c>
      <c r="D470">
        <v>13.909737</v>
      </c>
      <c r="E470">
        <v>13.846225</v>
      </c>
      <c r="F470">
        <v>14.381478</v>
      </c>
      <c r="G470">
        <v>14.71022</v>
      </c>
      <c r="H470">
        <v>15.538306</v>
      </c>
      <c r="I470">
        <v>13.571609499999999</v>
      </c>
      <c r="J470">
        <v>12.905135</v>
      </c>
      <c r="K470">
        <v>14.443027000000001</v>
      </c>
      <c r="L470">
        <v>13.880253</v>
      </c>
      <c r="M470">
        <v>14.630198500000001</v>
      </c>
      <c r="N470">
        <v>13.855489</v>
      </c>
      <c r="O470">
        <v>13.760963</v>
      </c>
      <c r="P470">
        <v>14.070209500000001</v>
      </c>
      <c r="Q470">
        <v>14.44506</v>
      </c>
      <c r="R470">
        <v>13.944998999999999</v>
      </c>
      <c r="S470">
        <v>11.199496</v>
      </c>
      <c r="T470">
        <v>13.242381</v>
      </c>
      <c r="U470">
        <v>13.42984</v>
      </c>
      <c r="V470">
        <v>13.259034</v>
      </c>
      <c r="W470">
        <v>13.20435</v>
      </c>
      <c r="X470">
        <v>13.187165</v>
      </c>
      <c r="Y470">
        <v>13.172593000000001</v>
      </c>
      <c r="Z470">
        <v>13.233223000000001</v>
      </c>
      <c r="AA470">
        <v>13.805213</v>
      </c>
      <c r="AB470">
        <v>13.361884</v>
      </c>
      <c r="AC470">
        <v>12.235688</v>
      </c>
      <c r="AD470">
        <v>13.928703000000001</v>
      </c>
      <c r="AE470">
        <v>13.849956000000001</v>
      </c>
      <c r="AF470">
        <v>14.036057</v>
      </c>
      <c r="AG470">
        <v>13.419464</v>
      </c>
    </row>
    <row r="471" spans="1:33" x14ac:dyDescent="0.25">
      <c r="A471" s="1">
        <v>44522</v>
      </c>
      <c r="B471">
        <v>13.265343</v>
      </c>
      <c r="C471">
        <v>13.856090999999999</v>
      </c>
      <c r="D471">
        <v>13.630086</v>
      </c>
      <c r="E471">
        <v>13.556362</v>
      </c>
      <c r="F471">
        <v>14.238296999999999</v>
      </c>
      <c r="G471">
        <v>14.530651000000001</v>
      </c>
      <c r="H471">
        <v>15.569768</v>
      </c>
      <c r="I471">
        <v>13.375579</v>
      </c>
      <c r="J471">
        <v>12.738085999999999</v>
      </c>
      <c r="K471">
        <v>14.313927</v>
      </c>
      <c r="L471">
        <v>13.728538</v>
      </c>
      <c r="M471">
        <v>14.472244999999999</v>
      </c>
      <c r="N471">
        <v>13.724532</v>
      </c>
      <c r="O471">
        <v>13.650271</v>
      </c>
      <c r="P471">
        <v>13.870949</v>
      </c>
      <c r="Q471">
        <v>14.274891</v>
      </c>
      <c r="R471">
        <v>13.795386000000001</v>
      </c>
      <c r="S471">
        <v>10.7902</v>
      </c>
      <c r="T471">
        <v>13.070171</v>
      </c>
      <c r="U471">
        <v>12.988918</v>
      </c>
      <c r="V471">
        <v>13.166728000000001</v>
      </c>
      <c r="W471">
        <v>12.964363000000001</v>
      </c>
      <c r="X471">
        <v>13.109723000000001</v>
      </c>
      <c r="Y471">
        <v>12.888282</v>
      </c>
      <c r="Z471">
        <v>13.031677</v>
      </c>
      <c r="AA471">
        <v>13.597492000000001</v>
      </c>
      <c r="AB471">
        <v>13.08371</v>
      </c>
      <c r="AC471">
        <v>11.985917000000001</v>
      </c>
      <c r="AD471">
        <v>13.760175</v>
      </c>
      <c r="AE471">
        <v>13.338801999999999</v>
      </c>
      <c r="AF471">
        <v>13.901081</v>
      </c>
      <c r="AG471">
        <v>13.211304999999999</v>
      </c>
    </row>
    <row r="472" spans="1:33" x14ac:dyDescent="0.25">
      <c r="A472" s="1">
        <v>44523</v>
      </c>
      <c r="B472">
        <v>13.000159999999999</v>
      </c>
      <c r="C472">
        <v>13.691615000000001</v>
      </c>
      <c r="D472">
        <v>13.390307999999999</v>
      </c>
      <c r="E472">
        <v>13.313834</v>
      </c>
      <c r="F472">
        <v>14.130704</v>
      </c>
      <c r="G472">
        <v>14.408778999999999</v>
      </c>
      <c r="H472">
        <v>15.532101000000001</v>
      </c>
      <c r="I472">
        <v>13.235764</v>
      </c>
      <c r="J472">
        <v>12.653033000000001</v>
      </c>
      <c r="K472">
        <v>14.223259000000001</v>
      </c>
      <c r="L472">
        <v>13.629398</v>
      </c>
      <c r="M472">
        <v>14.327498</v>
      </c>
      <c r="N472">
        <v>13.615938999999999</v>
      </c>
      <c r="O472">
        <v>13.53955</v>
      </c>
      <c r="P472">
        <v>13.726584000000001</v>
      </c>
      <c r="Q472">
        <v>14.146267</v>
      </c>
      <c r="R472">
        <v>13.668952000000001</v>
      </c>
      <c r="S472">
        <v>10.642991</v>
      </c>
      <c r="T472">
        <v>12.958625</v>
      </c>
      <c r="U472">
        <v>12.94131</v>
      </c>
      <c r="V472">
        <v>13.077171</v>
      </c>
      <c r="W472">
        <v>12.563694999999999</v>
      </c>
      <c r="X472">
        <v>13.025204</v>
      </c>
      <c r="Y472">
        <v>12.782669</v>
      </c>
      <c r="Z472">
        <v>12.909203</v>
      </c>
      <c r="AA472">
        <v>13.478744499999999</v>
      </c>
      <c r="AB472">
        <v>13.022809000000001</v>
      </c>
      <c r="AC472">
        <v>11.899495</v>
      </c>
      <c r="AD472">
        <v>13.634746</v>
      </c>
      <c r="AE472">
        <v>12.925219999999999</v>
      </c>
      <c r="AF472">
        <v>13.836377000000001</v>
      </c>
      <c r="AG472">
        <v>13.149483999999999</v>
      </c>
    </row>
    <row r="473" spans="1:33" x14ac:dyDescent="0.25">
      <c r="A473" s="1">
        <v>44524</v>
      </c>
      <c r="B473">
        <v>12.482267999999999</v>
      </c>
      <c r="C473">
        <v>13.3304405</v>
      </c>
      <c r="D473">
        <v>12.991289999999999</v>
      </c>
      <c r="E473">
        <v>12.856429</v>
      </c>
      <c r="F473">
        <v>13.762683000000001</v>
      </c>
      <c r="G473">
        <v>14.073674</v>
      </c>
      <c r="H473">
        <v>15.207718</v>
      </c>
      <c r="I473">
        <v>12.729526999999999</v>
      </c>
      <c r="J473">
        <v>11.955377</v>
      </c>
      <c r="K473">
        <v>13.923278</v>
      </c>
      <c r="L473">
        <v>13.25489</v>
      </c>
      <c r="M473">
        <v>13.988638999999999</v>
      </c>
      <c r="N473">
        <v>13.200806999999999</v>
      </c>
      <c r="O473">
        <v>13.195926</v>
      </c>
      <c r="P473">
        <v>13.403544999999999</v>
      </c>
      <c r="Q473">
        <v>13.824883</v>
      </c>
      <c r="R473">
        <v>13.326790000000001</v>
      </c>
      <c r="S473">
        <v>9.7452345000000005</v>
      </c>
      <c r="T473">
        <v>12.51615</v>
      </c>
      <c r="U473">
        <v>12.406547</v>
      </c>
      <c r="V473">
        <v>12.414690999999999</v>
      </c>
      <c r="W473">
        <v>12.028881999999999</v>
      </c>
      <c r="X473">
        <v>12.368501</v>
      </c>
      <c r="Y473">
        <v>12.290158</v>
      </c>
      <c r="Z473">
        <v>12.562016</v>
      </c>
      <c r="AA473">
        <v>13.10796</v>
      </c>
      <c r="AB473">
        <v>12.577965000000001</v>
      </c>
      <c r="AC473">
        <v>11.249034999999999</v>
      </c>
      <c r="AD473">
        <v>13.311139000000001</v>
      </c>
      <c r="AE473">
        <v>12.163933999999999</v>
      </c>
      <c r="AF473">
        <v>13.536842</v>
      </c>
      <c r="AG473">
        <v>12.614924999999999</v>
      </c>
    </row>
    <row r="474" spans="1:33" x14ac:dyDescent="0.25">
      <c r="A474" s="1">
        <v>44525</v>
      </c>
      <c r="B474">
        <v>12.177742</v>
      </c>
      <c r="C474">
        <v>13.084270500000001</v>
      </c>
      <c r="D474">
        <v>12.627098</v>
      </c>
      <c r="E474">
        <v>12.482250000000001</v>
      </c>
      <c r="F474">
        <v>13.495177</v>
      </c>
      <c r="G474">
        <v>13.770621999999999</v>
      </c>
      <c r="H474">
        <v>14.965135</v>
      </c>
      <c r="I474">
        <v>12.280677000000001</v>
      </c>
      <c r="J474">
        <v>11.487771</v>
      </c>
      <c r="K474">
        <v>13.710756999999999</v>
      </c>
      <c r="L474">
        <v>12.9417715</v>
      </c>
      <c r="M474">
        <v>13.691247000000001</v>
      </c>
      <c r="N474">
        <v>12.885536</v>
      </c>
      <c r="O474">
        <v>12.927367</v>
      </c>
      <c r="P474">
        <v>13.112874</v>
      </c>
      <c r="Q474">
        <v>13.50423</v>
      </c>
      <c r="R474">
        <v>13.072829</v>
      </c>
      <c r="S474">
        <v>9.1036230000000007</v>
      </c>
      <c r="T474">
        <v>12.107951</v>
      </c>
      <c r="U474">
        <v>12.12778</v>
      </c>
      <c r="V474">
        <v>11.949574</v>
      </c>
      <c r="W474">
        <v>11.617932</v>
      </c>
      <c r="X474">
        <v>11.914437</v>
      </c>
      <c r="Y474">
        <v>11.749639999999999</v>
      </c>
      <c r="Z474">
        <v>12.172905999999999</v>
      </c>
      <c r="AA474">
        <v>12.744910000000001</v>
      </c>
      <c r="AB474">
        <v>12.030326000000001</v>
      </c>
      <c r="AC474">
        <v>10.579855999999999</v>
      </c>
      <c r="AD474">
        <v>13.009930000000001</v>
      </c>
      <c r="AE474">
        <v>11.545055</v>
      </c>
      <c r="AF474">
        <v>13.271049</v>
      </c>
      <c r="AG474">
        <v>12.198752000000001</v>
      </c>
    </row>
    <row r="475" spans="1:33" x14ac:dyDescent="0.25">
      <c r="A475" s="1">
        <v>44526</v>
      </c>
      <c r="B475">
        <v>12.158234999999999</v>
      </c>
      <c r="C475">
        <v>13.006562000000001</v>
      </c>
      <c r="D475">
        <v>12.452645</v>
      </c>
      <c r="E475">
        <v>12.342784999999999</v>
      </c>
      <c r="F475">
        <v>13.475942</v>
      </c>
      <c r="G475">
        <v>13.62994</v>
      </c>
      <c r="H475">
        <v>15.006092000000001</v>
      </c>
      <c r="I475">
        <v>12.313936999999999</v>
      </c>
      <c r="J475">
        <v>11.459573000000001</v>
      </c>
      <c r="K475">
        <v>13.574541999999999</v>
      </c>
      <c r="L475">
        <v>12.805175999999999</v>
      </c>
      <c r="M475">
        <v>13.554452</v>
      </c>
      <c r="N475">
        <v>12.737218</v>
      </c>
      <c r="O475">
        <v>12.804311</v>
      </c>
      <c r="P475">
        <v>12.958354999999999</v>
      </c>
      <c r="Q475">
        <v>13.346107999999999</v>
      </c>
      <c r="R475">
        <v>12.950583999999999</v>
      </c>
      <c r="S475">
        <v>8.7165890000000008</v>
      </c>
      <c r="T475">
        <v>11.8809</v>
      </c>
      <c r="U475">
        <v>11.700336</v>
      </c>
      <c r="V475">
        <v>11.876633</v>
      </c>
      <c r="W475">
        <v>11.341918</v>
      </c>
      <c r="X475">
        <v>11.763935</v>
      </c>
      <c r="Y475">
        <v>11.537194</v>
      </c>
      <c r="Z475">
        <v>11.971177000000001</v>
      </c>
      <c r="AA475">
        <v>12.557271</v>
      </c>
      <c r="AB475">
        <v>11.855676000000001</v>
      </c>
      <c r="AC475">
        <v>10.150539</v>
      </c>
      <c r="AD475">
        <v>12.842427000000001</v>
      </c>
      <c r="AE475">
        <v>11.427167000000001</v>
      </c>
      <c r="AF475">
        <v>13.130668</v>
      </c>
      <c r="AG475">
        <v>12.095783000000001</v>
      </c>
    </row>
    <row r="476" spans="1:33" x14ac:dyDescent="0.25">
      <c r="A476" s="1">
        <v>44527</v>
      </c>
      <c r="B476">
        <v>12.30796</v>
      </c>
      <c r="C476">
        <v>13.025166499999999</v>
      </c>
      <c r="D476">
        <v>12.395930999999999</v>
      </c>
      <c r="E476">
        <v>12.343158000000001</v>
      </c>
      <c r="F476">
        <v>13.5708275</v>
      </c>
      <c r="G476">
        <v>13.6031</v>
      </c>
      <c r="H476">
        <v>15.081153</v>
      </c>
      <c r="I476">
        <v>12.539437</v>
      </c>
      <c r="J476">
        <v>11.42769</v>
      </c>
      <c r="K476">
        <v>13.486274999999999</v>
      </c>
      <c r="L476">
        <v>12.726452999999999</v>
      </c>
      <c r="M476">
        <v>13.51233</v>
      </c>
      <c r="N476">
        <v>12.674477</v>
      </c>
      <c r="O476">
        <v>12.690970999999999</v>
      </c>
      <c r="P476">
        <v>12.845464</v>
      </c>
      <c r="Q476">
        <v>13.326143999999999</v>
      </c>
      <c r="R476">
        <v>12.891849000000001</v>
      </c>
      <c r="S476">
        <v>8.6915270000000007</v>
      </c>
      <c r="T476">
        <v>11.78485</v>
      </c>
      <c r="U476">
        <v>11.326340999999999</v>
      </c>
      <c r="V476">
        <v>11.78368</v>
      </c>
      <c r="W476">
        <v>11.263672</v>
      </c>
      <c r="X476">
        <v>11.635802</v>
      </c>
      <c r="Y476">
        <v>11.449351</v>
      </c>
      <c r="Z476">
        <v>11.872002999999999</v>
      </c>
      <c r="AA476">
        <v>12.480782</v>
      </c>
      <c r="AB476">
        <v>11.774933000000001</v>
      </c>
      <c r="AC476">
        <v>9.9327780000000008</v>
      </c>
      <c r="AD476">
        <v>12.727257</v>
      </c>
      <c r="AE476">
        <v>11.507768</v>
      </c>
      <c r="AF476">
        <v>13.052740999999999</v>
      </c>
      <c r="AG476">
        <v>12.089575999999999</v>
      </c>
    </row>
    <row r="477" spans="1:33" x14ac:dyDescent="0.25">
      <c r="A477" s="1">
        <v>44528</v>
      </c>
      <c r="B477">
        <v>12.395509000000001</v>
      </c>
      <c r="C477">
        <v>13.050359</v>
      </c>
      <c r="D477">
        <v>12.344028</v>
      </c>
      <c r="E477">
        <v>12.357901999999999</v>
      </c>
      <c r="F477">
        <v>13.610169000000001</v>
      </c>
      <c r="G477">
        <v>13.596175000000001</v>
      </c>
      <c r="H477">
        <v>15.044416999999999</v>
      </c>
      <c r="I477">
        <v>12.738265999999999</v>
      </c>
      <c r="J477">
        <v>11.448026</v>
      </c>
      <c r="K477">
        <v>13.423133999999999</v>
      </c>
      <c r="L477">
        <v>12.660583000000001</v>
      </c>
      <c r="M477">
        <v>13.4716</v>
      </c>
      <c r="N477">
        <v>12.607224</v>
      </c>
      <c r="O477">
        <v>12.532375</v>
      </c>
      <c r="P477">
        <v>12.786934</v>
      </c>
      <c r="Q477">
        <v>13.289941000000001</v>
      </c>
      <c r="R477">
        <v>12.805033999999999</v>
      </c>
      <c r="S477">
        <v>8.7916509999999999</v>
      </c>
      <c r="T477">
        <v>11.719105000000001</v>
      </c>
      <c r="U477">
        <v>11.291919999999999</v>
      </c>
      <c r="V477">
        <v>11.670775000000001</v>
      </c>
      <c r="W477">
        <v>11.225533499999999</v>
      </c>
      <c r="X477">
        <v>11.523875</v>
      </c>
      <c r="Y477">
        <v>11.269876</v>
      </c>
      <c r="Z477">
        <v>11.896603000000001</v>
      </c>
      <c r="AA477">
        <v>12.439155</v>
      </c>
      <c r="AB477">
        <v>11.730594</v>
      </c>
      <c r="AC477">
        <v>9.6829280000000004</v>
      </c>
      <c r="AD477">
        <v>12.651405</v>
      </c>
      <c r="AE477">
        <v>11.6270895</v>
      </c>
      <c r="AF477">
        <v>12.973808</v>
      </c>
      <c r="AG477">
        <v>12.077704000000001</v>
      </c>
    </row>
    <row r="478" spans="1:33" x14ac:dyDescent="0.25">
      <c r="A478" s="1">
        <v>44529</v>
      </c>
      <c r="B478">
        <v>12.547527000000001</v>
      </c>
      <c r="C478">
        <v>13.101265</v>
      </c>
      <c r="D478">
        <v>12.403228</v>
      </c>
      <c r="E478">
        <v>12.516109999999999</v>
      </c>
      <c r="F478">
        <v>13.679736</v>
      </c>
      <c r="G478">
        <v>13.666036</v>
      </c>
      <c r="H478">
        <v>15.241406</v>
      </c>
      <c r="I478">
        <v>13.000645</v>
      </c>
      <c r="J478">
        <v>11.574668000000001</v>
      </c>
      <c r="K478">
        <v>13.373773</v>
      </c>
      <c r="L478">
        <v>12.63898</v>
      </c>
      <c r="M478">
        <v>13.502044</v>
      </c>
      <c r="N478">
        <v>12.598782</v>
      </c>
      <c r="O478">
        <v>12.496307</v>
      </c>
      <c r="P478">
        <v>12.763804</v>
      </c>
      <c r="Q478">
        <v>13.302344</v>
      </c>
      <c r="R478">
        <v>12.755027</v>
      </c>
      <c r="S478">
        <v>9.0624730000000007</v>
      </c>
      <c r="T478">
        <v>11.697775999999999</v>
      </c>
      <c r="U478">
        <v>11.321148000000001</v>
      </c>
      <c r="V478">
        <v>11.654548</v>
      </c>
      <c r="W478">
        <v>11.480091</v>
      </c>
      <c r="X478">
        <v>11.512691999999999</v>
      </c>
      <c r="Y478">
        <v>11.233886</v>
      </c>
      <c r="Z478">
        <v>11.954274</v>
      </c>
      <c r="AA478">
        <v>12.443443</v>
      </c>
      <c r="AB478">
        <v>11.762874999999999</v>
      </c>
      <c r="AC478">
        <v>9.6484100000000002</v>
      </c>
      <c r="AD478">
        <v>12.622437</v>
      </c>
      <c r="AE478">
        <v>11.7268715</v>
      </c>
      <c r="AF478">
        <v>12.960995</v>
      </c>
      <c r="AG478">
        <v>12.128968</v>
      </c>
    </row>
    <row r="479" spans="1:33" x14ac:dyDescent="0.25">
      <c r="A479" s="1">
        <v>44530</v>
      </c>
      <c r="B479">
        <v>12.604953</v>
      </c>
      <c r="C479">
        <v>13.318580000000001</v>
      </c>
      <c r="D479">
        <v>12.410923</v>
      </c>
      <c r="E479">
        <v>12.669501</v>
      </c>
      <c r="F479">
        <v>13.736924</v>
      </c>
      <c r="G479">
        <v>13.767727000000001</v>
      </c>
      <c r="H479">
        <v>15.341939</v>
      </c>
      <c r="I479">
        <v>13.214351000000001</v>
      </c>
      <c r="J479">
        <v>11.681915999999999</v>
      </c>
      <c r="K479">
        <v>13.301095</v>
      </c>
      <c r="L479">
        <v>12.632770000000001</v>
      </c>
      <c r="M479">
        <v>13.575355999999999</v>
      </c>
      <c r="N479">
        <v>12.625870000000001</v>
      </c>
      <c r="O479">
        <v>12.482811</v>
      </c>
      <c r="P479">
        <v>12.744538</v>
      </c>
      <c r="Q479">
        <v>13.367171000000001</v>
      </c>
      <c r="R479">
        <v>12.738424999999999</v>
      </c>
      <c r="S479">
        <v>9.4388799999999993</v>
      </c>
      <c r="T479">
        <v>11.738277</v>
      </c>
      <c r="U479">
        <v>11.658637000000001</v>
      </c>
      <c r="V479">
        <v>11.710990000000001</v>
      </c>
      <c r="W479">
        <v>11.786666</v>
      </c>
      <c r="X479">
        <v>11.565884</v>
      </c>
      <c r="Y479">
        <v>11.339718</v>
      </c>
      <c r="Z479">
        <v>11.965838</v>
      </c>
      <c r="AA479">
        <v>12.490131999999999</v>
      </c>
      <c r="AB479">
        <v>11.857806</v>
      </c>
      <c r="AC479">
        <v>9.7976039999999998</v>
      </c>
      <c r="AD479">
        <v>12.61562</v>
      </c>
      <c r="AE479">
        <v>11.894284000000001</v>
      </c>
      <c r="AF479">
        <v>12.998638</v>
      </c>
      <c r="AG479">
        <v>12.177505500000001</v>
      </c>
    </row>
    <row r="480" spans="1:33" x14ac:dyDescent="0.25">
      <c r="A480" s="1">
        <v>44531</v>
      </c>
      <c r="B480">
        <v>12.60374</v>
      </c>
      <c r="C480">
        <v>13.315842</v>
      </c>
      <c r="D480">
        <v>12.520984</v>
      </c>
      <c r="E480">
        <v>12.760982</v>
      </c>
      <c r="F480">
        <v>13.737852999999999</v>
      </c>
      <c r="G480">
        <v>13.827271</v>
      </c>
      <c r="H480">
        <v>15.333633000000001</v>
      </c>
      <c r="I480">
        <v>13.287229</v>
      </c>
      <c r="J480">
        <v>11.821873</v>
      </c>
      <c r="K480">
        <v>13.276794000000001</v>
      </c>
      <c r="L480">
        <v>12.634461</v>
      </c>
      <c r="M480">
        <v>13.632015000000001</v>
      </c>
      <c r="N480">
        <v>12.633675999999999</v>
      </c>
      <c r="O480">
        <v>12.546697</v>
      </c>
      <c r="P480">
        <v>12.747051000000001</v>
      </c>
      <c r="Q480">
        <v>13.416952999999999</v>
      </c>
      <c r="R480">
        <v>12.732348999999999</v>
      </c>
      <c r="S480">
        <v>9.7793709999999994</v>
      </c>
      <c r="T480">
        <v>11.775898</v>
      </c>
      <c r="U480">
        <v>11.759846</v>
      </c>
      <c r="V480">
        <v>11.722604</v>
      </c>
      <c r="W480">
        <v>12.139226000000001</v>
      </c>
      <c r="X480">
        <v>11.595283500000001</v>
      </c>
      <c r="Y480">
        <v>11.357217</v>
      </c>
      <c r="Z480">
        <v>11.952515</v>
      </c>
      <c r="AA480">
        <v>12.550973000000001</v>
      </c>
      <c r="AB480">
        <v>11.940994</v>
      </c>
      <c r="AC480">
        <v>9.8795959999999994</v>
      </c>
      <c r="AD480">
        <v>12.604633</v>
      </c>
      <c r="AE480">
        <v>12.128745</v>
      </c>
      <c r="AF480">
        <v>12.992156</v>
      </c>
      <c r="AG480">
        <v>12.222274000000001</v>
      </c>
    </row>
    <row r="481" spans="1:33" x14ac:dyDescent="0.25">
      <c r="A481" s="1">
        <v>44532</v>
      </c>
      <c r="B481">
        <v>12.587543</v>
      </c>
      <c r="C481">
        <v>13.336584999999999</v>
      </c>
      <c r="D481">
        <v>12.706657</v>
      </c>
      <c r="E481">
        <v>12.87457</v>
      </c>
      <c r="F481">
        <v>13.832017</v>
      </c>
      <c r="G481">
        <v>13.964046</v>
      </c>
      <c r="H481">
        <v>15.485495999999999</v>
      </c>
      <c r="I481">
        <v>13.377281</v>
      </c>
      <c r="J481">
        <v>11.985203</v>
      </c>
      <c r="K481">
        <v>13.254237</v>
      </c>
      <c r="L481">
        <v>12.638672</v>
      </c>
      <c r="M481">
        <v>13.758891999999999</v>
      </c>
      <c r="N481">
        <v>12.715460999999999</v>
      </c>
      <c r="O481">
        <v>12.60474</v>
      </c>
      <c r="P481">
        <v>12.759471</v>
      </c>
      <c r="Q481">
        <v>13.550242000000001</v>
      </c>
      <c r="R481">
        <v>12.732367500000001</v>
      </c>
      <c r="S481">
        <v>10.2430105</v>
      </c>
      <c r="T481">
        <v>11.872214</v>
      </c>
      <c r="U481">
        <v>11.849971</v>
      </c>
      <c r="V481">
        <v>11.926311</v>
      </c>
      <c r="W481">
        <v>12.324754</v>
      </c>
      <c r="X481">
        <v>11.865902</v>
      </c>
      <c r="Y481">
        <v>11.501773</v>
      </c>
      <c r="Z481">
        <v>11.925757000000001</v>
      </c>
      <c r="AA481">
        <v>12.579561999999999</v>
      </c>
      <c r="AB481">
        <v>11.981647000000001</v>
      </c>
      <c r="AC481">
        <v>9.9660449999999994</v>
      </c>
      <c r="AD481">
        <v>12.604977</v>
      </c>
      <c r="AE481">
        <v>12.028324</v>
      </c>
      <c r="AF481">
        <v>12.976426</v>
      </c>
      <c r="AG481">
        <v>12.220834</v>
      </c>
    </row>
    <row r="482" spans="1:33" x14ac:dyDescent="0.25">
      <c r="A482" s="1">
        <v>44533</v>
      </c>
      <c r="B482">
        <v>12.603721</v>
      </c>
      <c r="C482">
        <v>13.326283</v>
      </c>
      <c r="D482">
        <v>12.855676000000001</v>
      </c>
      <c r="E482">
        <v>12.944175</v>
      </c>
      <c r="F482">
        <v>13.793056</v>
      </c>
      <c r="G482">
        <v>14.038201000000001</v>
      </c>
      <c r="H482">
        <v>15.602353000000001</v>
      </c>
      <c r="I482">
        <v>13.297537999999999</v>
      </c>
      <c r="J482">
        <v>12.016937</v>
      </c>
      <c r="K482">
        <v>13.163684</v>
      </c>
      <c r="L482">
        <v>12.606204</v>
      </c>
      <c r="M482">
        <v>13.811278</v>
      </c>
      <c r="N482">
        <v>12.77633</v>
      </c>
      <c r="O482">
        <v>12.592979</v>
      </c>
      <c r="P482">
        <v>12.723274999999999</v>
      </c>
      <c r="Q482">
        <v>13.635823</v>
      </c>
      <c r="R482">
        <v>12.674424</v>
      </c>
      <c r="S482">
        <v>10.452356999999999</v>
      </c>
      <c r="T482">
        <v>11.952918</v>
      </c>
      <c r="U482">
        <v>11.90601</v>
      </c>
      <c r="V482">
        <v>12.054565999999999</v>
      </c>
      <c r="W482">
        <v>12.355605000000001</v>
      </c>
      <c r="X482">
        <v>12.038339000000001</v>
      </c>
      <c r="Y482">
        <v>11.606194500000001</v>
      </c>
      <c r="Z482">
        <v>11.890136</v>
      </c>
      <c r="AA482">
        <v>12.578598</v>
      </c>
      <c r="AB482">
        <v>11.971428</v>
      </c>
      <c r="AC482">
        <v>10.15704</v>
      </c>
      <c r="AD482">
        <v>12.59728</v>
      </c>
      <c r="AE482">
        <v>11.800761</v>
      </c>
      <c r="AF482">
        <v>12.981674999999999</v>
      </c>
      <c r="AG482">
        <v>12.241336</v>
      </c>
    </row>
    <row r="483" spans="1:33" x14ac:dyDescent="0.25">
      <c r="A483" s="1">
        <v>44534</v>
      </c>
      <c r="B483">
        <v>12.628671000000001</v>
      </c>
      <c r="C483">
        <v>13.399782999999999</v>
      </c>
      <c r="D483">
        <v>12.945309</v>
      </c>
      <c r="E483">
        <v>12.908946</v>
      </c>
      <c r="F483">
        <v>13.746646</v>
      </c>
      <c r="G483">
        <v>13.905486</v>
      </c>
      <c r="H483">
        <v>15.366785999999999</v>
      </c>
      <c r="I483">
        <v>13.183071</v>
      </c>
      <c r="J483">
        <v>11.817658</v>
      </c>
      <c r="K483">
        <v>12.997871</v>
      </c>
      <c r="L483">
        <v>12.465560999999999</v>
      </c>
      <c r="M483">
        <v>13.71411</v>
      </c>
      <c r="N483">
        <v>12.702325</v>
      </c>
      <c r="O483">
        <v>12.452067</v>
      </c>
      <c r="P483">
        <v>12.599866</v>
      </c>
      <c r="Q483">
        <v>13.537096999999999</v>
      </c>
      <c r="R483">
        <v>12.540153999999999</v>
      </c>
      <c r="S483">
        <v>10.353342</v>
      </c>
      <c r="T483">
        <v>11.936208000000001</v>
      </c>
      <c r="U483">
        <v>11.89104</v>
      </c>
      <c r="V483">
        <v>12.108369</v>
      </c>
      <c r="W483">
        <v>12.327629999999999</v>
      </c>
      <c r="X483">
        <v>12.157544</v>
      </c>
      <c r="Y483">
        <v>11.563860999999999</v>
      </c>
      <c r="Z483">
        <v>11.7080345</v>
      </c>
      <c r="AA483">
        <v>12.494553</v>
      </c>
      <c r="AB483">
        <v>11.924918</v>
      </c>
      <c r="AC483">
        <v>10.1058035</v>
      </c>
      <c r="AD483">
        <v>12.472885</v>
      </c>
      <c r="AE483">
        <v>11.9762945</v>
      </c>
      <c r="AF483">
        <v>12.892287</v>
      </c>
      <c r="AG483">
        <v>12.166524000000001</v>
      </c>
    </row>
    <row r="484" spans="1:33" x14ac:dyDescent="0.25">
      <c r="A484" s="1">
        <v>44535</v>
      </c>
      <c r="B484">
        <v>12.572374999999999</v>
      </c>
      <c r="C484">
        <v>13.240970000000001</v>
      </c>
      <c r="D484">
        <v>12.963478</v>
      </c>
      <c r="E484">
        <v>12.809215999999999</v>
      </c>
      <c r="F484">
        <v>13.562972</v>
      </c>
      <c r="G484">
        <v>13.681331999999999</v>
      </c>
      <c r="H484">
        <v>14.999862</v>
      </c>
      <c r="I484">
        <v>13.161133</v>
      </c>
      <c r="J484">
        <v>11.940896</v>
      </c>
      <c r="K484">
        <v>12.945909</v>
      </c>
      <c r="L484">
        <v>12.383247000000001</v>
      </c>
      <c r="M484">
        <v>13.526490000000001</v>
      </c>
      <c r="N484">
        <v>12.543426999999999</v>
      </c>
      <c r="O484">
        <v>12.371318</v>
      </c>
      <c r="P484">
        <v>12.553843499999999</v>
      </c>
      <c r="Q484">
        <v>13.315977999999999</v>
      </c>
      <c r="R484">
        <v>12.448588000000001</v>
      </c>
      <c r="S484">
        <v>10.441442500000001</v>
      </c>
      <c r="T484">
        <v>11.896499</v>
      </c>
      <c r="U484">
        <v>11.938762000000001</v>
      </c>
      <c r="V484">
        <v>12.160015</v>
      </c>
      <c r="W484">
        <v>12.451229</v>
      </c>
      <c r="X484">
        <v>12.23047</v>
      </c>
      <c r="Y484">
        <v>11.351398</v>
      </c>
      <c r="Z484">
        <v>11.620704</v>
      </c>
      <c r="AA484">
        <v>12.469196999999999</v>
      </c>
      <c r="AB484">
        <v>11.773281000000001</v>
      </c>
      <c r="AC484">
        <v>10.032492</v>
      </c>
      <c r="AD484">
        <v>12.396398</v>
      </c>
      <c r="AE484">
        <v>12.276588</v>
      </c>
      <c r="AF484">
        <v>12.787039999999999</v>
      </c>
      <c r="AG484">
        <v>12.148491</v>
      </c>
    </row>
    <row r="485" spans="1:33" x14ac:dyDescent="0.25">
      <c r="A485" s="1">
        <v>44536</v>
      </c>
      <c r="B485">
        <v>12.411161999999999</v>
      </c>
      <c r="C485">
        <v>13.039657</v>
      </c>
      <c r="D485">
        <v>12.857259000000001</v>
      </c>
      <c r="E485">
        <v>12.707915</v>
      </c>
      <c r="F485">
        <v>13.336747000000001</v>
      </c>
      <c r="G485">
        <v>13.528689</v>
      </c>
      <c r="H485">
        <v>14.8087435</v>
      </c>
      <c r="I485">
        <v>13.056312</v>
      </c>
      <c r="J485">
        <v>11.858399</v>
      </c>
      <c r="K485">
        <v>12.821243000000001</v>
      </c>
      <c r="L485">
        <v>12.227138500000001</v>
      </c>
      <c r="M485">
        <v>13.373514999999999</v>
      </c>
      <c r="N485">
        <v>12.414903000000001</v>
      </c>
      <c r="O485">
        <v>12.216157000000001</v>
      </c>
      <c r="P485">
        <v>12.446097</v>
      </c>
      <c r="Q485">
        <v>13.1526785</v>
      </c>
      <c r="R485">
        <v>12.302115000000001</v>
      </c>
      <c r="S485">
        <v>10.1152525</v>
      </c>
      <c r="T485">
        <v>11.820339000000001</v>
      </c>
      <c r="U485">
        <v>11.791029999999999</v>
      </c>
      <c r="V485">
        <v>12.051349</v>
      </c>
      <c r="W485">
        <v>12.221213000000001</v>
      </c>
      <c r="X485">
        <v>12.112347</v>
      </c>
      <c r="Y485">
        <v>11.19722</v>
      </c>
      <c r="Z485">
        <v>11.471579999999999</v>
      </c>
      <c r="AA485">
        <v>12.287618</v>
      </c>
      <c r="AB485">
        <v>11.616199</v>
      </c>
      <c r="AC485">
        <v>9.8353450000000002</v>
      </c>
      <c r="AD485">
        <v>12.24976</v>
      </c>
      <c r="AE485">
        <v>11.807116499999999</v>
      </c>
      <c r="AF485">
        <v>12.573554</v>
      </c>
      <c r="AG485">
        <v>11.9077</v>
      </c>
    </row>
    <row r="486" spans="1:33" x14ac:dyDescent="0.25">
      <c r="A486" s="1">
        <v>44537</v>
      </c>
      <c r="B486">
        <v>12.399570000000001</v>
      </c>
      <c r="C486">
        <v>12.966820999999999</v>
      </c>
      <c r="D486">
        <v>12.706526999999999</v>
      </c>
      <c r="E486">
        <v>12.633805000000001</v>
      </c>
      <c r="F486">
        <v>13.294072</v>
      </c>
      <c r="G486">
        <v>13.424811999999999</v>
      </c>
      <c r="H486">
        <v>14.723678</v>
      </c>
      <c r="I486">
        <v>13.010586</v>
      </c>
      <c r="J486">
        <v>11.931037999999999</v>
      </c>
      <c r="K486">
        <v>12.735035999999999</v>
      </c>
      <c r="L486">
        <v>12.170014</v>
      </c>
      <c r="M486">
        <v>13.295795999999999</v>
      </c>
      <c r="N486">
        <v>12.358833000000001</v>
      </c>
      <c r="O486">
        <v>12.197791</v>
      </c>
      <c r="P486">
        <v>12.374691</v>
      </c>
      <c r="Q486">
        <v>13.054411999999999</v>
      </c>
      <c r="R486">
        <v>12.249668</v>
      </c>
      <c r="S486">
        <v>10.262813</v>
      </c>
      <c r="T486">
        <v>11.808631999999999</v>
      </c>
      <c r="U486">
        <v>11.790723</v>
      </c>
      <c r="V486">
        <v>12.090443</v>
      </c>
      <c r="W486">
        <v>12.168927</v>
      </c>
      <c r="X486">
        <v>12.195256000000001</v>
      </c>
      <c r="Y486">
        <v>11.305004</v>
      </c>
      <c r="Z486">
        <v>11.453238499999999</v>
      </c>
      <c r="AA486">
        <v>12.211681</v>
      </c>
      <c r="AB486">
        <v>11.618365000000001</v>
      </c>
      <c r="AC486">
        <v>9.8510139999999993</v>
      </c>
      <c r="AD486">
        <v>12.186733</v>
      </c>
      <c r="AE486">
        <v>11.955874</v>
      </c>
      <c r="AF486">
        <v>12.495525000000001</v>
      </c>
      <c r="AG486">
        <v>11.910015</v>
      </c>
    </row>
    <row r="487" spans="1:33" x14ac:dyDescent="0.25">
      <c r="A487" s="1">
        <v>44538</v>
      </c>
      <c r="B487">
        <v>12.115041</v>
      </c>
      <c r="C487">
        <v>12.818345000000001</v>
      </c>
      <c r="D487">
        <v>12.518122999999999</v>
      </c>
      <c r="E487">
        <v>12.435078000000001</v>
      </c>
      <c r="F487">
        <v>13.160519000000001</v>
      </c>
      <c r="G487">
        <v>13.304672</v>
      </c>
      <c r="H487">
        <v>14.696823999999999</v>
      </c>
      <c r="I487">
        <v>12.826673</v>
      </c>
      <c r="J487">
        <v>11.756055</v>
      </c>
      <c r="K487">
        <v>12.592556999999999</v>
      </c>
      <c r="L487">
        <v>12.058838</v>
      </c>
      <c r="M487">
        <v>13.173946000000001</v>
      </c>
      <c r="N487">
        <v>12.247802</v>
      </c>
      <c r="O487">
        <v>12.0854645</v>
      </c>
      <c r="P487">
        <v>12.240504</v>
      </c>
      <c r="Q487">
        <v>12.932309</v>
      </c>
      <c r="R487">
        <v>12.131081</v>
      </c>
      <c r="S487">
        <v>10.124152</v>
      </c>
      <c r="T487">
        <v>11.731593999999999</v>
      </c>
      <c r="U487">
        <v>11.666019</v>
      </c>
      <c r="V487">
        <v>11.955472</v>
      </c>
      <c r="W487">
        <v>12.04073</v>
      </c>
      <c r="X487">
        <v>12.019761000000001</v>
      </c>
      <c r="Y487">
        <v>11.235977999999999</v>
      </c>
      <c r="Z487">
        <v>11.387027</v>
      </c>
      <c r="AA487">
        <v>12.085189</v>
      </c>
      <c r="AB487">
        <v>11.531124</v>
      </c>
      <c r="AC487">
        <v>9.767258</v>
      </c>
      <c r="AD487">
        <v>12.075832999999999</v>
      </c>
      <c r="AE487">
        <v>11.733601999999999</v>
      </c>
      <c r="AF487">
        <v>12.343933</v>
      </c>
      <c r="AG487">
        <v>11.776483000000001</v>
      </c>
    </row>
    <row r="488" spans="1:33" x14ac:dyDescent="0.25">
      <c r="A488" s="1">
        <v>44539</v>
      </c>
      <c r="B488">
        <v>11.929316999999999</v>
      </c>
      <c r="C488">
        <v>12.698674</v>
      </c>
      <c r="D488">
        <v>12.335224999999999</v>
      </c>
      <c r="E488">
        <v>12.226433</v>
      </c>
      <c r="F488">
        <v>12.932036</v>
      </c>
      <c r="G488">
        <v>13.110397000000001</v>
      </c>
      <c r="H488">
        <v>14.405025500000001</v>
      </c>
      <c r="I488">
        <v>12.441976</v>
      </c>
      <c r="J488">
        <v>11.571751000000001</v>
      </c>
      <c r="K488">
        <v>12.479516</v>
      </c>
      <c r="L488">
        <v>12.016175</v>
      </c>
      <c r="M488">
        <v>12.935700000000001</v>
      </c>
      <c r="N488">
        <v>12.100631999999999</v>
      </c>
      <c r="O488">
        <v>12.04095</v>
      </c>
      <c r="P488">
        <v>12.117352</v>
      </c>
      <c r="Q488">
        <v>12.760605</v>
      </c>
      <c r="R488">
        <v>12.080920000000001</v>
      </c>
      <c r="S488">
        <v>10.1103945</v>
      </c>
      <c r="T488">
        <v>11.691658</v>
      </c>
      <c r="U488">
        <v>11.630302</v>
      </c>
      <c r="V488">
        <v>11.893988999999999</v>
      </c>
      <c r="W488">
        <v>11.970344000000001</v>
      </c>
      <c r="X488">
        <v>11.974106000000001</v>
      </c>
      <c r="Y488">
        <v>11.227193</v>
      </c>
      <c r="Z488">
        <v>11.371815</v>
      </c>
      <c r="AA488">
        <v>12.013051000000001</v>
      </c>
      <c r="AB488">
        <v>11.505191999999999</v>
      </c>
      <c r="AC488">
        <v>9.8585630000000002</v>
      </c>
      <c r="AD488">
        <v>12.019057999999999</v>
      </c>
      <c r="AE488">
        <v>12.02608</v>
      </c>
      <c r="AF488">
        <v>12.248965999999999</v>
      </c>
      <c r="AG488">
        <v>11.734349</v>
      </c>
    </row>
    <row r="489" spans="1:33" x14ac:dyDescent="0.25">
      <c r="A489" s="1">
        <v>44540</v>
      </c>
      <c r="B489">
        <v>11.332330000000001</v>
      </c>
      <c r="C489">
        <v>12.330238</v>
      </c>
      <c r="D489">
        <v>11.938297</v>
      </c>
      <c r="E489">
        <v>11.720874</v>
      </c>
      <c r="F489">
        <v>12.436344</v>
      </c>
      <c r="G489">
        <v>12.636626</v>
      </c>
      <c r="H489">
        <v>13.689354</v>
      </c>
      <c r="I489">
        <v>11.706120500000001</v>
      </c>
      <c r="J489">
        <v>10.7807</v>
      </c>
      <c r="K489">
        <v>12.211459</v>
      </c>
      <c r="L489">
        <v>11.573022</v>
      </c>
      <c r="M489">
        <v>12.467629000000001</v>
      </c>
      <c r="N489">
        <v>11.696636</v>
      </c>
      <c r="O489">
        <v>11.647201000000001</v>
      </c>
      <c r="P489">
        <v>11.818467</v>
      </c>
      <c r="Q489">
        <v>12.304264</v>
      </c>
      <c r="R489">
        <v>11.714683000000001</v>
      </c>
      <c r="S489">
        <v>9.0142199999999999</v>
      </c>
      <c r="T489">
        <v>11.324446999999999</v>
      </c>
      <c r="U489">
        <v>11.188668</v>
      </c>
      <c r="V489">
        <v>11.45678</v>
      </c>
      <c r="W489">
        <v>11.539909</v>
      </c>
      <c r="X489">
        <v>11.497081</v>
      </c>
      <c r="Y489">
        <v>10.544242000000001</v>
      </c>
      <c r="Z489">
        <v>10.973316000000001</v>
      </c>
      <c r="AA489">
        <v>11.560798</v>
      </c>
      <c r="AB489">
        <v>10.918310999999999</v>
      </c>
      <c r="AC489">
        <v>9.4296760000000006</v>
      </c>
      <c r="AD489">
        <v>11.677152</v>
      </c>
      <c r="AE489">
        <v>11.240688</v>
      </c>
      <c r="AF489">
        <v>11.858855</v>
      </c>
      <c r="AG489">
        <v>10.959372999999999</v>
      </c>
    </row>
    <row r="490" spans="1:33" x14ac:dyDescent="0.25">
      <c r="A490" s="1">
        <v>44541</v>
      </c>
      <c r="B490">
        <v>10.999039</v>
      </c>
      <c r="C490">
        <v>11.928412</v>
      </c>
      <c r="D490">
        <v>11.5369215</v>
      </c>
      <c r="E490">
        <v>11.375436000000001</v>
      </c>
      <c r="F490">
        <v>12.151376000000001</v>
      </c>
      <c r="G490">
        <v>12.343332999999999</v>
      </c>
      <c r="H490">
        <v>13.436927000000001</v>
      </c>
      <c r="I490">
        <v>11.353210000000001</v>
      </c>
      <c r="J490">
        <v>10.108784999999999</v>
      </c>
      <c r="K490">
        <v>11.975849999999999</v>
      </c>
      <c r="L490">
        <v>11.174168</v>
      </c>
      <c r="M490">
        <v>12.188750000000001</v>
      </c>
      <c r="N490">
        <v>11.405842</v>
      </c>
      <c r="O490">
        <v>11.284617000000001</v>
      </c>
      <c r="P490">
        <v>11.519024999999999</v>
      </c>
      <c r="Q490">
        <v>12.013161</v>
      </c>
      <c r="R490">
        <v>11.399136</v>
      </c>
      <c r="S490">
        <v>7.9142679999999999</v>
      </c>
      <c r="T490">
        <v>10.920944</v>
      </c>
      <c r="U490">
        <v>10.702667</v>
      </c>
      <c r="V490">
        <v>11.117596000000001</v>
      </c>
      <c r="W490">
        <v>11.260788</v>
      </c>
      <c r="X490">
        <v>11.142450999999999</v>
      </c>
      <c r="Y490">
        <v>9.9473120000000002</v>
      </c>
      <c r="Z490">
        <v>10.524425000000001</v>
      </c>
      <c r="AA490">
        <v>11.107899</v>
      </c>
      <c r="AB490">
        <v>10.368247999999999</v>
      </c>
      <c r="AC490">
        <v>8.8872689999999999</v>
      </c>
      <c r="AD490">
        <v>11.314812</v>
      </c>
      <c r="AE490">
        <v>10.218717</v>
      </c>
      <c r="AF490">
        <v>11.486159000000001</v>
      </c>
      <c r="AG490">
        <v>10.3512</v>
      </c>
    </row>
    <row r="491" spans="1:33" x14ac:dyDescent="0.25">
      <c r="A491" s="1">
        <v>44542</v>
      </c>
      <c r="B491">
        <v>10.967014000000001</v>
      </c>
      <c r="C491">
        <v>11.713737</v>
      </c>
      <c r="D491">
        <v>11.321514000000001</v>
      </c>
      <c r="E491">
        <v>11.333019999999999</v>
      </c>
      <c r="F491">
        <v>12.044924999999999</v>
      </c>
      <c r="G491">
        <v>12.301596999999999</v>
      </c>
      <c r="H491">
        <v>13.542223999999999</v>
      </c>
      <c r="I491">
        <v>11.378024999999999</v>
      </c>
      <c r="J491">
        <v>9.8853445000000004</v>
      </c>
      <c r="K491">
        <v>11.656442</v>
      </c>
      <c r="L491">
        <v>10.958672</v>
      </c>
      <c r="M491">
        <v>12.141145</v>
      </c>
      <c r="N491">
        <v>11.304752000000001</v>
      </c>
      <c r="O491">
        <v>11.072471</v>
      </c>
      <c r="P491">
        <v>11.276332999999999</v>
      </c>
      <c r="Q491">
        <v>11.950526</v>
      </c>
      <c r="R491">
        <v>11.192169</v>
      </c>
      <c r="S491">
        <v>7.7829126999999998</v>
      </c>
      <c r="T491">
        <v>10.675762000000001</v>
      </c>
      <c r="U491">
        <v>10.307969999999999</v>
      </c>
      <c r="V491">
        <v>10.833085000000001</v>
      </c>
      <c r="W491">
        <v>10.902063999999999</v>
      </c>
      <c r="X491">
        <v>10.832767</v>
      </c>
      <c r="Y491">
        <v>9.7855419999999995</v>
      </c>
      <c r="Z491">
        <v>10.237332</v>
      </c>
      <c r="AA491">
        <v>10.793189999999999</v>
      </c>
      <c r="AB491">
        <v>10.147149000000001</v>
      </c>
      <c r="AC491">
        <v>8.522653</v>
      </c>
      <c r="AD491">
        <v>11.084422999999999</v>
      </c>
      <c r="AE491">
        <v>9.8633930000000003</v>
      </c>
      <c r="AF491">
        <v>11.229003000000001</v>
      </c>
      <c r="AG491">
        <v>9.9929970000000008</v>
      </c>
    </row>
    <row r="492" spans="1:33" x14ac:dyDescent="0.25">
      <c r="A492" s="1">
        <v>44543</v>
      </c>
      <c r="B492">
        <v>10.655404000000001</v>
      </c>
      <c r="C492">
        <v>11.723661999999999</v>
      </c>
      <c r="D492">
        <v>11.244853000000001</v>
      </c>
      <c r="E492">
        <v>11.341792999999999</v>
      </c>
      <c r="F492">
        <v>12.12326</v>
      </c>
      <c r="G492">
        <v>12.261149</v>
      </c>
      <c r="H492">
        <v>13.409642</v>
      </c>
      <c r="I492">
        <v>11.631783</v>
      </c>
      <c r="J492">
        <v>9.9671599999999998</v>
      </c>
      <c r="K492">
        <v>11.433914</v>
      </c>
      <c r="L492">
        <v>10.805313999999999</v>
      </c>
      <c r="M492">
        <v>12.100212000000001</v>
      </c>
      <c r="N492">
        <v>11.229134</v>
      </c>
      <c r="O492">
        <v>10.903964</v>
      </c>
      <c r="P492">
        <v>11.110302000000001</v>
      </c>
      <c r="Q492">
        <v>11.884318</v>
      </c>
      <c r="R492">
        <v>11.021369999999999</v>
      </c>
      <c r="S492">
        <v>8.5142799999999994</v>
      </c>
      <c r="T492">
        <v>10.531230000000001</v>
      </c>
      <c r="U492">
        <v>10.076064000000001</v>
      </c>
      <c r="V492">
        <v>10.707013</v>
      </c>
      <c r="W492">
        <v>10.420424000000001</v>
      </c>
      <c r="X492">
        <v>10.697257</v>
      </c>
      <c r="Y492">
        <v>9.7132120000000004</v>
      </c>
      <c r="Z492">
        <v>10.095715</v>
      </c>
      <c r="AA492">
        <v>10.605180000000001</v>
      </c>
      <c r="AB492">
        <v>10.097493</v>
      </c>
      <c r="AC492">
        <v>8.5579319999999992</v>
      </c>
      <c r="AD492">
        <v>10.901097</v>
      </c>
      <c r="AE492">
        <v>10.023588</v>
      </c>
      <c r="AF492">
        <v>11.002022</v>
      </c>
      <c r="AG492">
        <v>9.8434270000000001</v>
      </c>
    </row>
    <row r="493" spans="1:33" x14ac:dyDescent="0.25">
      <c r="A493" s="1">
        <v>44544</v>
      </c>
      <c r="B493">
        <v>9.9953164999999995</v>
      </c>
      <c r="C493">
        <v>11.568345000000001</v>
      </c>
      <c r="D493">
        <v>11.100735999999999</v>
      </c>
      <c r="E493">
        <v>10.981987</v>
      </c>
      <c r="F493">
        <v>11.730473</v>
      </c>
      <c r="G493">
        <v>11.918126000000001</v>
      </c>
      <c r="H493">
        <v>12.768528999999999</v>
      </c>
      <c r="I493">
        <v>11.086944000000001</v>
      </c>
      <c r="J493">
        <v>9.848903</v>
      </c>
      <c r="K493">
        <v>11.268463000000001</v>
      </c>
      <c r="L493">
        <v>10.6344385</v>
      </c>
      <c r="M493">
        <v>11.688769000000001</v>
      </c>
      <c r="N493">
        <v>10.821908000000001</v>
      </c>
      <c r="O493">
        <v>10.674108</v>
      </c>
      <c r="P493">
        <v>10.97181</v>
      </c>
      <c r="Q493">
        <v>11.535615</v>
      </c>
      <c r="R493">
        <v>10.819561</v>
      </c>
      <c r="S493">
        <v>8.9923219999999997</v>
      </c>
      <c r="T493">
        <v>10.286961</v>
      </c>
      <c r="U493">
        <v>9.9593889999999998</v>
      </c>
      <c r="V493">
        <v>10.493410000000001</v>
      </c>
      <c r="W493">
        <v>10.093757</v>
      </c>
      <c r="X493">
        <v>10.5039835</v>
      </c>
      <c r="Y493">
        <v>9.422326</v>
      </c>
      <c r="Z493">
        <v>10.082081000000001</v>
      </c>
      <c r="AA493">
        <v>10.506582999999999</v>
      </c>
      <c r="AB493">
        <v>9.8887830000000001</v>
      </c>
      <c r="AC493">
        <v>8.5984569999999998</v>
      </c>
      <c r="AD493">
        <v>10.729753000000001</v>
      </c>
      <c r="AE493">
        <v>10.107487000000001</v>
      </c>
      <c r="AF493">
        <v>10.847358</v>
      </c>
      <c r="AG493">
        <v>10.091082999999999</v>
      </c>
    </row>
    <row r="494" spans="1:33" x14ac:dyDescent="0.25">
      <c r="A494" s="1">
        <v>44545</v>
      </c>
      <c r="B494">
        <v>8.9287290000000006</v>
      </c>
      <c r="C494">
        <v>10.998004</v>
      </c>
      <c r="D494">
        <v>10.770476</v>
      </c>
      <c r="E494">
        <v>10.534628</v>
      </c>
      <c r="F494">
        <v>11.139245000000001</v>
      </c>
      <c r="G494">
        <v>11.366504000000001</v>
      </c>
      <c r="H494">
        <v>12.0769415</v>
      </c>
      <c r="I494">
        <v>10.347270999999999</v>
      </c>
      <c r="J494">
        <v>9.1792990000000003</v>
      </c>
      <c r="K494">
        <v>10.95786</v>
      </c>
      <c r="L494">
        <v>10.207461</v>
      </c>
      <c r="M494">
        <v>11.205995</v>
      </c>
      <c r="N494">
        <v>10.339594</v>
      </c>
      <c r="O494">
        <v>10.176743</v>
      </c>
      <c r="P494">
        <v>10.681587</v>
      </c>
      <c r="Q494">
        <v>10.985604</v>
      </c>
      <c r="R494">
        <v>10.365187000000001</v>
      </c>
      <c r="S494">
        <v>8.5207569999999997</v>
      </c>
      <c r="T494">
        <v>9.8178380000000001</v>
      </c>
      <c r="U494">
        <v>9.6023034999999997</v>
      </c>
      <c r="V494">
        <v>9.7688179999999996</v>
      </c>
      <c r="W494">
        <v>9.9192029999999995</v>
      </c>
      <c r="X494">
        <v>9.7766695000000006</v>
      </c>
      <c r="Y494">
        <v>8.7781839999999995</v>
      </c>
      <c r="Z494">
        <v>9.7197390000000006</v>
      </c>
      <c r="AA494">
        <v>10.15245</v>
      </c>
      <c r="AB494">
        <v>9.5538570000000007</v>
      </c>
      <c r="AC494">
        <v>7.9226264999999998</v>
      </c>
      <c r="AD494">
        <v>10.363515</v>
      </c>
      <c r="AE494">
        <v>9.5155519999999996</v>
      </c>
      <c r="AF494">
        <v>10.514075</v>
      </c>
      <c r="AG494">
        <v>9.6504630000000002</v>
      </c>
    </row>
    <row r="495" spans="1:33" x14ac:dyDescent="0.25">
      <c r="A495" s="1">
        <v>44546</v>
      </c>
      <c r="B495">
        <v>8.8539870000000001</v>
      </c>
      <c r="C495">
        <v>10.798404</v>
      </c>
      <c r="D495">
        <v>10.654828</v>
      </c>
      <c r="E495">
        <v>10.377756</v>
      </c>
      <c r="F495">
        <v>11.101467</v>
      </c>
      <c r="G495">
        <v>10.951711</v>
      </c>
      <c r="H495">
        <v>11.833873000000001</v>
      </c>
      <c r="I495">
        <v>10.419</v>
      </c>
      <c r="J495">
        <v>9.2876159999999999</v>
      </c>
      <c r="K495">
        <v>10.815014</v>
      </c>
      <c r="L495">
        <v>10.078784000000001</v>
      </c>
      <c r="M495">
        <v>10.885873</v>
      </c>
      <c r="N495">
        <v>10.067455000000001</v>
      </c>
      <c r="O495">
        <v>9.9730279999999993</v>
      </c>
      <c r="P495">
        <v>10.488823999999999</v>
      </c>
      <c r="Q495">
        <v>10.58122</v>
      </c>
      <c r="R495">
        <v>10.201535</v>
      </c>
      <c r="S495">
        <v>8.7177849999999992</v>
      </c>
      <c r="T495">
        <v>9.590757</v>
      </c>
      <c r="U495">
        <v>9.3642959999999995</v>
      </c>
      <c r="V495">
        <v>9.9419240000000002</v>
      </c>
      <c r="W495">
        <v>10.362361999999999</v>
      </c>
      <c r="X495">
        <v>9.9664529999999996</v>
      </c>
      <c r="Y495">
        <v>9.0850989999999996</v>
      </c>
      <c r="Z495">
        <v>9.6829900000000002</v>
      </c>
      <c r="AA495">
        <v>10.003746</v>
      </c>
      <c r="AB495">
        <v>9.6342949999999998</v>
      </c>
      <c r="AC495">
        <v>7.8974666999999998</v>
      </c>
      <c r="AD495">
        <v>10.121316999999999</v>
      </c>
      <c r="AE495">
        <v>9.3805139999999998</v>
      </c>
      <c r="AF495">
        <v>10.25184</v>
      </c>
      <c r="AG495">
        <v>9.7263090000000005</v>
      </c>
    </row>
    <row r="496" spans="1:33" x14ac:dyDescent="0.25">
      <c r="A496" s="1">
        <v>44547</v>
      </c>
      <c r="B496">
        <v>8.2829169999999994</v>
      </c>
      <c r="C496">
        <v>10.18093</v>
      </c>
      <c r="D496">
        <v>10.461468999999999</v>
      </c>
      <c r="E496">
        <v>10.112861000000001</v>
      </c>
      <c r="F496">
        <v>10.472118999999999</v>
      </c>
      <c r="G496">
        <v>10.447907000000001</v>
      </c>
      <c r="H496">
        <v>11.360908</v>
      </c>
      <c r="I496">
        <v>10.112966</v>
      </c>
      <c r="J496">
        <v>9.0651960000000003</v>
      </c>
      <c r="K496">
        <v>10.672585</v>
      </c>
      <c r="L496">
        <v>9.8742284999999992</v>
      </c>
      <c r="M496">
        <v>10.3993</v>
      </c>
      <c r="N496">
        <v>9.7798370000000006</v>
      </c>
      <c r="O496">
        <v>9.8895309999999998</v>
      </c>
      <c r="P496">
        <v>10.277962</v>
      </c>
      <c r="Q496">
        <v>10.139357</v>
      </c>
      <c r="R496">
        <v>9.9451009999999993</v>
      </c>
      <c r="S496">
        <v>8.2650400000000008</v>
      </c>
      <c r="T496">
        <v>9.7007569999999994</v>
      </c>
      <c r="U496">
        <v>9.1602099999999993</v>
      </c>
      <c r="V496">
        <v>10.497987</v>
      </c>
      <c r="W496">
        <v>10.283778</v>
      </c>
      <c r="X496">
        <v>10.505293999999999</v>
      </c>
      <c r="Y496">
        <v>8.6305169999999993</v>
      </c>
      <c r="Z496">
        <v>9.5614480000000004</v>
      </c>
      <c r="AA496">
        <v>9.8598649999999992</v>
      </c>
      <c r="AB496">
        <v>9.4077999999999999</v>
      </c>
      <c r="AC496">
        <v>7.8499600000000003</v>
      </c>
      <c r="AD496">
        <v>9.9218469999999996</v>
      </c>
      <c r="AE496">
        <v>9.208278</v>
      </c>
      <c r="AF496">
        <v>10.056397</v>
      </c>
      <c r="AG496">
        <v>9.6405469999999998</v>
      </c>
    </row>
    <row r="497" spans="1:33" x14ac:dyDescent="0.25">
      <c r="A497" s="1">
        <v>44548</v>
      </c>
      <c r="B497">
        <v>8.7322659999999992</v>
      </c>
      <c r="C497">
        <v>9.7083100000000009</v>
      </c>
      <c r="D497">
        <v>10.130932</v>
      </c>
      <c r="E497">
        <v>9.8601670000000006</v>
      </c>
      <c r="F497">
        <v>9.9224370000000004</v>
      </c>
      <c r="G497">
        <v>10.0810175</v>
      </c>
      <c r="H497">
        <v>10.99038</v>
      </c>
      <c r="I497">
        <v>9.6806459999999994</v>
      </c>
      <c r="J497">
        <v>8.75014</v>
      </c>
      <c r="K497">
        <v>10.49705</v>
      </c>
      <c r="L497">
        <v>9.7179330000000004</v>
      </c>
      <c r="M497">
        <v>10.022811000000001</v>
      </c>
      <c r="N497">
        <v>9.8471440000000001</v>
      </c>
      <c r="O497">
        <v>9.8478790000000007</v>
      </c>
      <c r="P497">
        <v>10.005189</v>
      </c>
      <c r="Q497">
        <v>9.8842379999999999</v>
      </c>
      <c r="R497">
        <v>9.8464480000000005</v>
      </c>
      <c r="S497">
        <v>7.6902337000000003</v>
      </c>
      <c r="T497">
        <v>9.4282409999999999</v>
      </c>
      <c r="U497">
        <v>8.9391610000000004</v>
      </c>
      <c r="V497">
        <v>9.7043160000000004</v>
      </c>
      <c r="W497">
        <v>9.2576370000000008</v>
      </c>
      <c r="X497">
        <v>9.6953534999999995</v>
      </c>
      <c r="Y497">
        <v>8.2570429999999995</v>
      </c>
      <c r="Z497">
        <v>9.475123</v>
      </c>
      <c r="AA497">
        <v>9.6488589999999999</v>
      </c>
      <c r="AB497">
        <v>9.1553869999999993</v>
      </c>
      <c r="AC497">
        <v>7.6125170000000004</v>
      </c>
      <c r="AD497">
        <v>9.7688070000000007</v>
      </c>
      <c r="AE497">
        <v>8.6834589999999992</v>
      </c>
      <c r="AF497">
        <v>9.8527819999999995</v>
      </c>
      <c r="AG497">
        <v>9.3827979999999993</v>
      </c>
    </row>
    <row r="498" spans="1:33" x14ac:dyDescent="0.25">
      <c r="A498" s="1">
        <v>44549</v>
      </c>
      <c r="B498">
        <v>9.2086020000000008</v>
      </c>
      <c r="C498">
        <v>9.6574279999999995</v>
      </c>
      <c r="D498">
        <v>9.8470589999999998</v>
      </c>
      <c r="E498">
        <v>9.7853709999999996</v>
      </c>
      <c r="F498">
        <v>9.7524879999999996</v>
      </c>
      <c r="G498">
        <v>9.9171095000000005</v>
      </c>
      <c r="H498">
        <v>10.91681</v>
      </c>
      <c r="I498">
        <v>9.4851890000000001</v>
      </c>
      <c r="J498">
        <v>8.932499</v>
      </c>
      <c r="K498">
        <v>10.337869</v>
      </c>
      <c r="L498">
        <v>9.6690559999999994</v>
      </c>
      <c r="M498">
        <v>9.8818199999999994</v>
      </c>
      <c r="N498">
        <v>9.6956629999999997</v>
      </c>
      <c r="O498">
        <v>9.6747940000000003</v>
      </c>
      <c r="P498">
        <v>9.8426439999999999</v>
      </c>
      <c r="Q498">
        <v>9.7732340000000004</v>
      </c>
      <c r="R498">
        <v>9.7780930000000001</v>
      </c>
      <c r="S498">
        <v>7.5465679999999997</v>
      </c>
      <c r="T498">
        <v>9.0415980000000005</v>
      </c>
      <c r="U498">
        <v>8.8791685000000005</v>
      </c>
      <c r="V498">
        <v>8.8934890000000006</v>
      </c>
      <c r="W498">
        <v>8.8318860000000008</v>
      </c>
      <c r="X498">
        <v>8.8842459999999992</v>
      </c>
      <c r="Y498">
        <v>8.1075459999999993</v>
      </c>
      <c r="Z498">
        <v>9.4425930000000005</v>
      </c>
      <c r="AA498">
        <v>9.5319129999999994</v>
      </c>
      <c r="AB498">
        <v>9.0511730000000004</v>
      </c>
      <c r="AC498">
        <v>7.5960736000000004</v>
      </c>
      <c r="AD498">
        <v>9.6775059999999993</v>
      </c>
      <c r="AE498">
        <v>8.4251839999999998</v>
      </c>
      <c r="AF498">
        <v>9.7254090000000009</v>
      </c>
      <c r="AG498">
        <v>9.2875270000000008</v>
      </c>
    </row>
    <row r="499" spans="1:33" x14ac:dyDescent="0.25">
      <c r="A499" s="1">
        <v>44550</v>
      </c>
      <c r="B499">
        <v>9.4242910000000002</v>
      </c>
      <c r="C499">
        <v>9.5988600000000002</v>
      </c>
      <c r="D499">
        <v>9.6234110000000008</v>
      </c>
      <c r="E499">
        <v>9.6960669999999993</v>
      </c>
      <c r="F499">
        <v>9.5958179999999995</v>
      </c>
      <c r="G499">
        <v>9.7723289999999992</v>
      </c>
      <c r="H499">
        <v>10.775309999999999</v>
      </c>
      <c r="I499">
        <v>9.3582219999999996</v>
      </c>
      <c r="J499">
        <v>8.7357840000000007</v>
      </c>
      <c r="K499">
        <v>10.184381500000001</v>
      </c>
      <c r="L499">
        <v>9.5153339999999993</v>
      </c>
      <c r="M499">
        <v>9.7488165000000002</v>
      </c>
      <c r="N499">
        <v>9.2797590000000003</v>
      </c>
      <c r="O499">
        <v>9.3710450000000005</v>
      </c>
      <c r="P499">
        <v>9.6643799999999995</v>
      </c>
      <c r="Q499">
        <v>9.571923</v>
      </c>
      <c r="R499">
        <v>9.5930219999999995</v>
      </c>
      <c r="S499">
        <v>7.3336787000000001</v>
      </c>
      <c r="T499">
        <v>8.7548060000000003</v>
      </c>
      <c r="U499">
        <v>8.7653970000000001</v>
      </c>
      <c r="V499">
        <v>8.6524990000000006</v>
      </c>
      <c r="W499">
        <v>8.4957360000000008</v>
      </c>
      <c r="X499">
        <v>8.6460919999999994</v>
      </c>
      <c r="Y499">
        <v>8.3733740000000001</v>
      </c>
      <c r="Z499">
        <v>9.3288510000000002</v>
      </c>
      <c r="AA499">
        <v>9.3153430000000004</v>
      </c>
      <c r="AB499">
        <v>8.7280569999999997</v>
      </c>
      <c r="AC499">
        <v>7.3888506999999999</v>
      </c>
      <c r="AD499">
        <v>9.495025</v>
      </c>
      <c r="AE499">
        <v>8.5135280000000009</v>
      </c>
      <c r="AF499">
        <v>9.5576159999999994</v>
      </c>
      <c r="AG499">
        <v>9.0658010000000004</v>
      </c>
    </row>
    <row r="500" spans="1:33" x14ac:dyDescent="0.25">
      <c r="A500" s="1">
        <v>44551</v>
      </c>
      <c r="B500">
        <v>9.2242529999999991</v>
      </c>
      <c r="C500">
        <v>9.4243659999999991</v>
      </c>
      <c r="D500">
        <v>9.3882209999999997</v>
      </c>
      <c r="E500">
        <v>9.4596160000000005</v>
      </c>
      <c r="F500">
        <v>9.4152299999999993</v>
      </c>
      <c r="G500">
        <v>9.5618479999999995</v>
      </c>
      <c r="H500">
        <v>10.543385499999999</v>
      </c>
      <c r="I500">
        <v>9.1397519999999997</v>
      </c>
      <c r="J500">
        <v>8.6341520000000003</v>
      </c>
      <c r="K500">
        <v>9.9769559999999995</v>
      </c>
      <c r="L500">
        <v>9.3510249999999999</v>
      </c>
      <c r="M500">
        <v>9.5607319999999998</v>
      </c>
      <c r="N500">
        <v>8.9488880000000002</v>
      </c>
      <c r="O500">
        <v>9.1505574999999997</v>
      </c>
      <c r="P500">
        <v>9.5349454999999992</v>
      </c>
      <c r="Q500">
        <v>9.3079230000000006</v>
      </c>
      <c r="R500">
        <v>9.3812329999999999</v>
      </c>
      <c r="S500">
        <v>7.3047880000000003</v>
      </c>
      <c r="T500">
        <v>8.4969210000000004</v>
      </c>
      <c r="U500">
        <v>8.7624089999999999</v>
      </c>
      <c r="V500">
        <v>8.3931909999999998</v>
      </c>
      <c r="W500">
        <v>8.2287940000000006</v>
      </c>
      <c r="X500">
        <v>8.3912460000000006</v>
      </c>
      <c r="Y500">
        <v>8.2919479999999997</v>
      </c>
      <c r="Z500">
        <v>9.0972930000000005</v>
      </c>
      <c r="AA500">
        <v>9.2116190000000007</v>
      </c>
      <c r="AB500">
        <v>8.6616029999999995</v>
      </c>
      <c r="AC500">
        <v>7.0124599999999999</v>
      </c>
      <c r="AD500">
        <v>9.3418740000000007</v>
      </c>
      <c r="AE500">
        <v>8.6619879999999991</v>
      </c>
      <c r="AF500">
        <v>9.4170529999999992</v>
      </c>
      <c r="AG500">
        <v>8.95383</v>
      </c>
    </row>
    <row r="501" spans="1:33" x14ac:dyDescent="0.25">
      <c r="A501" s="1">
        <v>44552</v>
      </c>
      <c r="B501">
        <v>8.9970490000000005</v>
      </c>
      <c r="C501">
        <v>9.1705710000000007</v>
      </c>
      <c r="D501">
        <v>9.2603089999999995</v>
      </c>
      <c r="E501">
        <v>9.2783359999999995</v>
      </c>
      <c r="F501">
        <v>9.3375059999999994</v>
      </c>
      <c r="G501">
        <v>9.4190970000000007</v>
      </c>
      <c r="H501">
        <v>10.780467</v>
      </c>
      <c r="I501">
        <v>9.0470915000000005</v>
      </c>
      <c r="J501">
        <v>8.6882859999999997</v>
      </c>
      <c r="K501">
        <v>9.8270459999999993</v>
      </c>
      <c r="L501">
        <v>9.2271920000000005</v>
      </c>
      <c r="M501">
        <v>9.4287720000000004</v>
      </c>
      <c r="N501">
        <v>8.7812719999999995</v>
      </c>
      <c r="O501">
        <v>9.0469460000000002</v>
      </c>
      <c r="P501">
        <v>9.3864509999999992</v>
      </c>
      <c r="Q501">
        <v>9.1516380000000002</v>
      </c>
      <c r="R501">
        <v>9.2656379999999992</v>
      </c>
      <c r="S501">
        <v>7.4409650000000003</v>
      </c>
      <c r="T501">
        <v>8.3592960000000005</v>
      </c>
      <c r="U501">
        <v>8.8001179999999994</v>
      </c>
      <c r="V501">
        <v>8.2188639999999999</v>
      </c>
      <c r="W501">
        <v>8.0473029999999994</v>
      </c>
      <c r="X501">
        <v>8.2087050000000001</v>
      </c>
      <c r="Y501">
        <v>8.1986550000000005</v>
      </c>
      <c r="Z501">
        <v>8.906466</v>
      </c>
      <c r="AA501">
        <v>9.1258920000000003</v>
      </c>
      <c r="AB501">
        <v>8.5991149999999994</v>
      </c>
      <c r="AC501">
        <v>6.8846819999999997</v>
      </c>
      <c r="AD501">
        <v>9.2204540000000001</v>
      </c>
      <c r="AE501">
        <v>9.0423629999999999</v>
      </c>
      <c r="AF501">
        <v>9.2849629999999994</v>
      </c>
      <c r="AG501">
        <v>8.9062929999999998</v>
      </c>
    </row>
    <row r="502" spans="1:33" x14ac:dyDescent="0.25">
      <c r="A502" s="1">
        <v>44553</v>
      </c>
      <c r="B502">
        <v>9.1404709999999998</v>
      </c>
      <c r="C502">
        <v>9.2619170000000004</v>
      </c>
      <c r="D502">
        <v>9.3724749999999997</v>
      </c>
      <c r="E502">
        <v>9.4297889999999995</v>
      </c>
      <c r="F502">
        <v>9.6034089999999992</v>
      </c>
      <c r="G502">
        <v>9.4809219999999996</v>
      </c>
      <c r="H502">
        <v>11.164859999999999</v>
      </c>
      <c r="I502">
        <v>9.5143950000000004</v>
      </c>
      <c r="J502">
        <v>8.9853050000000003</v>
      </c>
      <c r="K502">
        <v>9.7848559999999996</v>
      </c>
      <c r="L502">
        <v>9.2872570000000003</v>
      </c>
      <c r="M502">
        <v>9.4791550000000004</v>
      </c>
      <c r="N502">
        <v>8.7469900000000003</v>
      </c>
      <c r="O502">
        <v>9.1292480000000005</v>
      </c>
      <c r="P502">
        <v>9.3344199999999997</v>
      </c>
      <c r="Q502">
        <v>9.1568439999999995</v>
      </c>
      <c r="R502">
        <v>9.3245339999999999</v>
      </c>
      <c r="S502">
        <v>7.9700356000000001</v>
      </c>
      <c r="T502">
        <v>8.4319240000000004</v>
      </c>
      <c r="U502">
        <v>8.9445505000000001</v>
      </c>
      <c r="V502">
        <v>8.2685449999999996</v>
      </c>
      <c r="W502">
        <v>8.1879399999999993</v>
      </c>
      <c r="X502">
        <v>8.2612050000000004</v>
      </c>
      <c r="Y502">
        <v>8.4731529999999999</v>
      </c>
      <c r="Z502">
        <v>9.0124449999999996</v>
      </c>
      <c r="AA502">
        <v>9.2357399999999998</v>
      </c>
      <c r="AB502">
        <v>8.7480840000000004</v>
      </c>
      <c r="AC502">
        <v>7.4444413000000003</v>
      </c>
      <c r="AD502">
        <v>9.2584809999999997</v>
      </c>
      <c r="AE502">
        <v>9.8396460000000001</v>
      </c>
      <c r="AF502">
        <v>9.3163879999999999</v>
      </c>
      <c r="AG502">
        <v>9.1155259999999991</v>
      </c>
    </row>
    <row r="503" spans="1:33" x14ac:dyDescent="0.25">
      <c r="A503" s="1">
        <v>44554</v>
      </c>
      <c r="B503">
        <v>9.1282169999999994</v>
      </c>
      <c r="C503">
        <v>9.3324719999999992</v>
      </c>
      <c r="D503">
        <v>9.4370469999999997</v>
      </c>
      <c r="E503">
        <v>9.5014280000000007</v>
      </c>
      <c r="F503">
        <v>9.6441870000000005</v>
      </c>
      <c r="G503">
        <v>9.3626229999999993</v>
      </c>
      <c r="H503">
        <v>10.910622999999999</v>
      </c>
      <c r="I503">
        <v>9.7050295000000002</v>
      </c>
      <c r="J503">
        <v>9.1086209999999994</v>
      </c>
      <c r="K503">
        <v>9.7904420000000005</v>
      </c>
      <c r="L503">
        <v>9.3431730000000002</v>
      </c>
      <c r="M503">
        <v>9.3797219999999992</v>
      </c>
      <c r="N503">
        <v>8.7427879999999991</v>
      </c>
      <c r="O503">
        <v>9.0596169999999994</v>
      </c>
      <c r="P503">
        <v>9.3467439999999993</v>
      </c>
      <c r="Q503">
        <v>9.0806730000000009</v>
      </c>
      <c r="R503">
        <v>9.278613</v>
      </c>
      <c r="S503">
        <v>8.4307979999999993</v>
      </c>
      <c r="T503">
        <v>8.5629120000000007</v>
      </c>
      <c r="U503">
        <v>9.1398480000000006</v>
      </c>
      <c r="V503">
        <v>8.3988910000000008</v>
      </c>
      <c r="W503">
        <v>8.6228280000000002</v>
      </c>
      <c r="X503">
        <v>8.4004150000000006</v>
      </c>
      <c r="Y503">
        <v>8.5083350000000006</v>
      </c>
      <c r="Z503">
        <v>9.2188379999999999</v>
      </c>
      <c r="AA503">
        <v>9.3523610000000001</v>
      </c>
      <c r="AB503">
        <v>8.7739349999999998</v>
      </c>
      <c r="AC503">
        <v>8.0146359999999994</v>
      </c>
      <c r="AD503">
        <v>9.2930259999999993</v>
      </c>
      <c r="AE503">
        <v>10.574284</v>
      </c>
      <c r="AF503">
        <v>9.3365849999999995</v>
      </c>
      <c r="AG503">
        <v>9.2934549999999998</v>
      </c>
    </row>
    <row r="504" spans="1:33" x14ac:dyDescent="0.25">
      <c r="A504" s="1">
        <v>44555</v>
      </c>
      <c r="B504">
        <v>8.6990040000000004</v>
      </c>
      <c r="C504">
        <v>9.1664700000000003</v>
      </c>
      <c r="D504">
        <v>9.3345889999999994</v>
      </c>
      <c r="E504">
        <v>9.3455359999999992</v>
      </c>
      <c r="F504">
        <v>9.3643579999999993</v>
      </c>
      <c r="G504">
        <v>9.0959140000000005</v>
      </c>
      <c r="H504">
        <v>10.494239</v>
      </c>
      <c r="I504">
        <v>9.5324629999999999</v>
      </c>
      <c r="J504">
        <v>8.9555849999999992</v>
      </c>
      <c r="K504">
        <v>9.6532300000000006</v>
      </c>
      <c r="L504">
        <v>9.2294219999999996</v>
      </c>
      <c r="M504">
        <v>9.2042190000000002</v>
      </c>
      <c r="N504">
        <v>8.6599170000000001</v>
      </c>
      <c r="O504">
        <v>9.0713810000000006</v>
      </c>
      <c r="P504">
        <v>9.3023439999999997</v>
      </c>
      <c r="Q504">
        <v>8.8902339999999995</v>
      </c>
      <c r="R504">
        <v>9.1474729999999997</v>
      </c>
      <c r="S504">
        <v>8.4557905000000009</v>
      </c>
      <c r="T504">
        <v>8.6426289999999995</v>
      </c>
      <c r="U504">
        <v>9.1432310000000001</v>
      </c>
      <c r="V504">
        <v>8.7469169999999998</v>
      </c>
      <c r="W504">
        <v>9.0116239999999994</v>
      </c>
      <c r="X504">
        <v>8.7639169999999993</v>
      </c>
      <c r="Y504">
        <v>8.3169310000000003</v>
      </c>
      <c r="Z504">
        <v>9.8403349999999996</v>
      </c>
      <c r="AA504">
        <v>9.2684519999999999</v>
      </c>
      <c r="AB504">
        <v>8.5667580000000001</v>
      </c>
      <c r="AC504">
        <v>8.5932589999999998</v>
      </c>
      <c r="AD504">
        <v>9.2342329999999997</v>
      </c>
      <c r="AE504">
        <v>10.531218000000001</v>
      </c>
      <c r="AF504">
        <v>9.2232330000000005</v>
      </c>
      <c r="AG504">
        <v>9.2819450000000003</v>
      </c>
    </row>
    <row r="505" spans="1:33" x14ac:dyDescent="0.25">
      <c r="A505" s="1">
        <v>44556</v>
      </c>
      <c r="B505">
        <v>7.8271980000000001</v>
      </c>
      <c r="C505">
        <v>8.7367659999999994</v>
      </c>
      <c r="D505">
        <v>9.0560919999999996</v>
      </c>
      <c r="E505">
        <v>8.9671334999999992</v>
      </c>
      <c r="F505">
        <v>8.8168729999999993</v>
      </c>
      <c r="G505">
        <v>8.7185950000000005</v>
      </c>
      <c r="H505">
        <v>9.7405930000000005</v>
      </c>
      <c r="I505">
        <v>8.7820215000000008</v>
      </c>
      <c r="J505">
        <v>8.3675529999999991</v>
      </c>
      <c r="K505">
        <v>9.3705420000000004</v>
      </c>
      <c r="L505">
        <v>8.8885149999999999</v>
      </c>
      <c r="M505">
        <v>8.8578860000000006</v>
      </c>
      <c r="N505">
        <v>8.5259750000000007</v>
      </c>
      <c r="O505">
        <v>8.9107120000000002</v>
      </c>
      <c r="P505">
        <v>9.0758914999999991</v>
      </c>
      <c r="Q505">
        <v>8.6098970000000001</v>
      </c>
      <c r="R505">
        <v>8.9347180000000002</v>
      </c>
      <c r="S505">
        <v>7.8035240000000003</v>
      </c>
      <c r="T505">
        <v>8.6485800000000008</v>
      </c>
      <c r="U505">
        <v>8.9257960000000001</v>
      </c>
      <c r="V505">
        <v>9.1885180000000002</v>
      </c>
      <c r="W505">
        <v>9.4871739999999996</v>
      </c>
      <c r="X505">
        <v>9.2149940000000008</v>
      </c>
      <c r="Y505">
        <v>8.3703810000000001</v>
      </c>
      <c r="Z505">
        <v>9.7653280000000002</v>
      </c>
      <c r="AA505">
        <v>9.0171449999999993</v>
      </c>
      <c r="AB505">
        <v>8.4570150000000002</v>
      </c>
      <c r="AC505">
        <v>8.5329894999999993</v>
      </c>
      <c r="AD505">
        <v>9.0064139999999995</v>
      </c>
      <c r="AE505">
        <v>9.7654200000000007</v>
      </c>
      <c r="AF505">
        <v>8.9633819999999993</v>
      </c>
      <c r="AG505">
        <v>9.0104799999999994</v>
      </c>
    </row>
    <row r="506" spans="1:33" x14ac:dyDescent="0.25">
      <c r="A506" s="1">
        <v>44557</v>
      </c>
      <c r="B506">
        <v>7.3538249999999996</v>
      </c>
      <c r="C506">
        <v>8.4898930000000004</v>
      </c>
      <c r="D506">
        <v>8.7901720000000001</v>
      </c>
      <c r="E506">
        <v>8.7163590000000006</v>
      </c>
      <c r="F506">
        <v>8.5397079999999992</v>
      </c>
      <c r="G506">
        <v>8.6298019999999998</v>
      </c>
      <c r="H506">
        <v>9.263223</v>
      </c>
      <c r="I506">
        <v>8.4278449999999996</v>
      </c>
      <c r="J506">
        <v>8.2241890000000009</v>
      </c>
      <c r="K506">
        <v>9.2264180000000007</v>
      </c>
      <c r="L506">
        <v>8.7446300000000008</v>
      </c>
      <c r="M506">
        <v>8.7370649999999994</v>
      </c>
      <c r="N506">
        <v>8.7432770000000009</v>
      </c>
      <c r="O506">
        <v>9.1174710000000001</v>
      </c>
      <c r="P506">
        <v>8.911994</v>
      </c>
      <c r="Q506">
        <v>8.6657639999999994</v>
      </c>
      <c r="R506">
        <v>8.9593070000000008</v>
      </c>
      <c r="S506">
        <v>7.7278479999999998</v>
      </c>
      <c r="T506">
        <v>8.6436759999999992</v>
      </c>
      <c r="U506">
        <v>8.7553490000000007</v>
      </c>
      <c r="V506">
        <v>9.3178260000000002</v>
      </c>
      <c r="W506">
        <v>9.2326969999999999</v>
      </c>
      <c r="X506">
        <v>9.3237869999999994</v>
      </c>
      <c r="Y506">
        <v>8.5731549999999999</v>
      </c>
      <c r="Z506">
        <v>9.5395520000000005</v>
      </c>
      <c r="AA506">
        <v>8.8731539999999995</v>
      </c>
      <c r="AB506">
        <v>8.5976040000000005</v>
      </c>
      <c r="AC506">
        <v>8.4431940000000001</v>
      </c>
      <c r="AD506">
        <v>8.8971119999999999</v>
      </c>
      <c r="AE506">
        <v>9.459225</v>
      </c>
      <c r="AF506">
        <v>8.7311180000000004</v>
      </c>
      <c r="AG506">
        <v>8.861421</v>
      </c>
    </row>
    <row r="507" spans="1:33" x14ac:dyDescent="0.25">
      <c r="A507" s="1">
        <v>44558</v>
      </c>
      <c r="B507">
        <v>6.6266036000000001</v>
      </c>
      <c r="C507">
        <v>8.1599889999999995</v>
      </c>
      <c r="D507">
        <v>8.3671310000000005</v>
      </c>
      <c r="E507">
        <v>8.3163140000000002</v>
      </c>
      <c r="F507">
        <v>8.1577330000000003</v>
      </c>
      <c r="G507">
        <v>8.6001480000000008</v>
      </c>
      <c r="H507">
        <v>8.7278184999999997</v>
      </c>
      <c r="I507">
        <v>7.6928080000000003</v>
      </c>
      <c r="J507">
        <v>7.7169299999999996</v>
      </c>
      <c r="K507">
        <v>8.9771470000000004</v>
      </c>
      <c r="L507">
        <v>8.5029780000000006</v>
      </c>
      <c r="M507">
        <v>8.5455120000000004</v>
      </c>
      <c r="N507">
        <v>8.7138229999999997</v>
      </c>
      <c r="O507">
        <v>8.8943560000000002</v>
      </c>
      <c r="P507">
        <v>8.7199010000000001</v>
      </c>
      <c r="Q507">
        <v>8.7157610000000005</v>
      </c>
      <c r="R507">
        <v>8.8228445000000004</v>
      </c>
      <c r="S507">
        <v>7.0977407000000001</v>
      </c>
      <c r="T507">
        <v>8.332713</v>
      </c>
      <c r="U507">
        <v>8.5528230000000001</v>
      </c>
      <c r="V507">
        <v>8.8173279999999998</v>
      </c>
      <c r="W507">
        <v>8.626652</v>
      </c>
      <c r="X507">
        <v>8.8175760000000007</v>
      </c>
      <c r="Y507">
        <v>8.2047600000000003</v>
      </c>
      <c r="Z507">
        <v>8.9568779999999997</v>
      </c>
      <c r="AA507">
        <v>8.5624059999999993</v>
      </c>
      <c r="AB507">
        <v>8.2841159999999991</v>
      </c>
      <c r="AC507">
        <v>7.7631899999999998</v>
      </c>
      <c r="AD507">
        <v>8.6999779999999998</v>
      </c>
      <c r="AE507">
        <v>9.1267270000000007</v>
      </c>
      <c r="AF507">
        <v>8.3440200000000004</v>
      </c>
      <c r="AG507">
        <v>8.3124920000000007</v>
      </c>
    </row>
    <row r="508" spans="1:33" x14ac:dyDescent="0.25">
      <c r="A508" s="1">
        <v>44559</v>
      </c>
      <c r="B508">
        <v>6.5600332999999997</v>
      </c>
      <c r="C508">
        <v>8.115335</v>
      </c>
      <c r="D508">
        <v>8.1282019999999999</v>
      </c>
      <c r="E508">
        <v>8.1259969999999999</v>
      </c>
      <c r="F508">
        <v>8.1969379999999994</v>
      </c>
      <c r="G508">
        <v>8.5299980000000009</v>
      </c>
      <c r="H508">
        <v>8.7983630000000002</v>
      </c>
      <c r="I508">
        <v>7.5348724999999996</v>
      </c>
      <c r="J508">
        <v>7.5994305999999998</v>
      </c>
      <c r="K508">
        <v>8.7507520000000003</v>
      </c>
      <c r="L508">
        <v>8.4361560000000004</v>
      </c>
      <c r="M508">
        <v>8.4601769999999998</v>
      </c>
      <c r="N508">
        <v>8.5666329999999995</v>
      </c>
      <c r="O508">
        <v>8.5378474999999998</v>
      </c>
      <c r="P508">
        <v>8.6171950000000006</v>
      </c>
      <c r="Q508">
        <v>8.5569314999999992</v>
      </c>
      <c r="R508">
        <v>8.6027290000000001</v>
      </c>
      <c r="S508">
        <v>7.1242390000000002</v>
      </c>
      <c r="T508">
        <v>8.0960245000000004</v>
      </c>
      <c r="U508">
        <v>8.3316110000000005</v>
      </c>
      <c r="V508">
        <v>8.0551480000000009</v>
      </c>
      <c r="W508">
        <v>7.869154</v>
      </c>
      <c r="X508">
        <v>8.0422329999999995</v>
      </c>
      <c r="Y508">
        <v>7.9493565999999998</v>
      </c>
      <c r="Z508">
        <v>8.649858</v>
      </c>
      <c r="AA508">
        <v>8.3697710000000001</v>
      </c>
      <c r="AB508">
        <v>8.1082909999999995</v>
      </c>
      <c r="AC508">
        <v>7.2767086000000001</v>
      </c>
      <c r="AD508">
        <v>8.5711770000000005</v>
      </c>
      <c r="AE508">
        <v>8.7258779999999998</v>
      </c>
      <c r="AF508">
        <v>8.203894</v>
      </c>
      <c r="AG508">
        <v>8.0415390000000002</v>
      </c>
    </row>
    <row r="509" spans="1:33" x14ac:dyDescent="0.25">
      <c r="A509" s="1">
        <v>44560</v>
      </c>
      <c r="B509">
        <v>7.2373824000000004</v>
      </c>
      <c r="C509">
        <v>8.195157</v>
      </c>
      <c r="D509">
        <v>8.0039289999999994</v>
      </c>
      <c r="E509">
        <v>8.0806020000000007</v>
      </c>
      <c r="F509">
        <v>8.3576549999999994</v>
      </c>
      <c r="G509">
        <v>8.4287814999999995</v>
      </c>
      <c r="H509">
        <v>9.0105190000000004</v>
      </c>
      <c r="I509">
        <v>7.5306435</v>
      </c>
      <c r="J509">
        <v>7.6426309999999997</v>
      </c>
      <c r="K509">
        <v>8.5720150000000004</v>
      </c>
      <c r="L509">
        <v>8.3641480000000001</v>
      </c>
      <c r="M509">
        <v>8.4373059999999995</v>
      </c>
      <c r="N509">
        <v>8.2601680000000002</v>
      </c>
      <c r="O509">
        <v>8.2559199999999997</v>
      </c>
      <c r="P509">
        <v>8.5211919999999992</v>
      </c>
      <c r="Q509">
        <v>8.334066</v>
      </c>
      <c r="R509">
        <v>8.4453569999999996</v>
      </c>
      <c r="S509">
        <v>7.4445815</v>
      </c>
      <c r="T509">
        <v>7.789669</v>
      </c>
      <c r="U509">
        <v>8.1638629999999992</v>
      </c>
      <c r="V509">
        <v>7.8285007000000002</v>
      </c>
      <c r="W509">
        <v>7.7897460000000001</v>
      </c>
      <c r="X509">
        <v>7.8283953999999998</v>
      </c>
      <c r="Y509">
        <v>7.7881026000000002</v>
      </c>
      <c r="Z509">
        <v>8.3783080000000005</v>
      </c>
      <c r="AA509">
        <v>8.3023249999999997</v>
      </c>
      <c r="AB509">
        <v>8.0273679999999992</v>
      </c>
      <c r="AC509">
        <v>7.6501749999999999</v>
      </c>
      <c r="AD509">
        <v>8.4455384999999996</v>
      </c>
      <c r="AE509">
        <v>8.8733970000000006</v>
      </c>
      <c r="AF509">
        <v>8.1930940000000003</v>
      </c>
      <c r="AG509">
        <v>8.1253659999999996</v>
      </c>
    </row>
    <row r="510" spans="1:33" x14ac:dyDescent="0.25">
      <c r="A510" s="1">
        <v>44561</v>
      </c>
      <c r="B510">
        <v>7.5423511999999997</v>
      </c>
      <c r="C510">
        <v>8.2270230000000009</v>
      </c>
      <c r="D510">
        <v>7.9621750000000002</v>
      </c>
      <c r="E510">
        <v>8.0392419999999998</v>
      </c>
      <c r="F510">
        <v>8.2698145000000007</v>
      </c>
      <c r="G510">
        <v>8.3202049999999996</v>
      </c>
      <c r="H510">
        <v>9.1298530000000007</v>
      </c>
      <c r="I510">
        <v>7.5982403999999999</v>
      </c>
      <c r="J510">
        <v>7.5387120000000003</v>
      </c>
      <c r="K510">
        <v>8.5422100000000007</v>
      </c>
      <c r="L510">
        <v>8.2806899999999999</v>
      </c>
      <c r="M510">
        <v>8.3948049999999999</v>
      </c>
      <c r="N510">
        <v>7.9964899999999997</v>
      </c>
      <c r="O510">
        <v>8.1152300000000004</v>
      </c>
      <c r="P510">
        <v>8.3863660000000007</v>
      </c>
      <c r="Q510">
        <v>8.1812120000000004</v>
      </c>
      <c r="R510">
        <v>8.3123389999999997</v>
      </c>
      <c r="S510">
        <v>7.3282470000000002</v>
      </c>
      <c r="T510">
        <v>7.6849293999999997</v>
      </c>
      <c r="U510">
        <v>8.1411429999999996</v>
      </c>
      <c r="V510">
        <v>7.7947253999999999</v>
      </c>
      <c r="W510">
        <v>7.9460835000000003</v>
      </c>
      <c r="X510">
        <v>7.8061004000000001</v>
      </c>
      <c r="Y510">
        <v>7.6756349999999998</v>
      </c>
      <c r="Z510">
        <v>8.1711989999999997</v>
      </c>
      <c r="AA510">
        <v>8.2363999999999997</v>
      </c>
      <c r="AB510">
        <v>7.9048759999999998</v>
      </c>
      <c r="AC510">
        <v>10.401538</v>
      </c>
      <c r="AD510">
        <v>8.3328369999999996</v>
      </c>
      <c r="AE510">
        <v>9.2520199999999999</v>
      </c>
      <c r="AF510">
        <v>8.0420829999999999</v>
      </c>
      <c r="AG510">
        <v>8.0258450000000003</v>
      </c>
    </row>
    <row r="511" spans="1:33" x14ac:dyDescent="0.25">
      <c r="A511" s="1">
        <v>44562</v>
      </c>
      <c r="B511">
        <v>7.4353484999999999</v>
      </c>
      <c r="C511">
        <v>8.0554799999999993</v>
      </c>
      <c r="D511">
        <v>7.8378170000000003</v>
      </c>
      <c r="E511">
        <v>7.8816509999999997</v>
      </c>
      <c r="F511">
        <v>7.9853170000000002</v>
      </c>
      <c r="G511">
        <v>8.1216880000000007</v>
      </c>
      <c r="H511">
        <v>8.8741660000000007</v>
      </c>
      <c r="I511">
        <v>7.5504565000000001</v>
      </c>
      <c r="J511">
        <v>7.2021240000000004</v>
      </c>
      <c r="K511">
        <v>8.4033890000000007</v>
      </c>
      <c r="L511">
        <v>8.0533579999999994</v>
      </c>
      <c r="M511">
        <v>8.2303010000000008</v>
      </c>
      <c r="N511">
        <v>7.7664432999999997</v>
      </c>
      <c r="O511">
        <v>7.9237120000000001</v>
      </c>
      <c r="P511">
        <v>8.190391</v>
      </c>
      <c r="Q511">
        <v>7.9660859999999998</v>
      </c>
      <c r="R511">
        <v>8.0831780000000002</v>
      </c>
      <c r="S511">
        <v>6.8539580000000004</v>
      </c>
      <c r="T511">
        <v>7.5490320000000004</v>
      </c>
      <c r="U511">
        <v>7.9171633999999997</v>
      </c>
      <c r="V511">
        <v>7.8152710000000001</v>
      </c>
      <c r="W511">
        <v>7.7451850000000002</v>
      </c>
      <c r="X511">
        <v>7.8240970000000001</v>
      </c>
      <c r="Y511">
        <v>8.2132290000000001</v>
      </c>
      <c r="Z511">
        <v>7.9778776000000002</v>
      </c>
      <c r="AA511">
        <v>8.0450619999999997</v>
      </c>
      <c r="AB511">
        <v>7.7070727000000003</v>
      </c>
      <c r="AC511">
        <v>11.915046</v>
      </c>
      <c r="AD511">
        <v>8.1268100000000008</v>
      </c>
      <c r="AE511">
        <v>8.7818480000000001</v>
      </c>
      <c r="AF511">
        <v>7.6617920000000002</v>
      </c>
      <c r="AG511">
        <v>7.7270126000000001</v>
      </c>
    </row>
    <row r="512" spans="1:33" x14ac:dyDescent="0.25">
      <c r="A512" t="s">
        <v>37</v>
      </c>
      <c r="B512">
        <f>COUNTIF(B$3:B$511,"&gt;=19")</f>
        <v>199</v>
      </c>
      <c r="C512">
        <f t="shared" ref="C512:AG512" si="0">COUNTIF(C$3:C$511,"&gt;=19")</f>
        <v>210</v>
      </c>
      <c r="D512">
        <f t="shared" si="0"/>
        <v>199</v>
      </c>
      <c r="E512">
        <f t="shared" si="0"/>
        <v>198</v>
      </c>
      <c r="F512">
        <f t="shared" si="0"/>
        <v>201</v>
      </c>
      <c r="G512">
        <f t="shared" si="0"/>
        <v>206</v>
      </c>
      <c r="H512">
        <f t="shared" si="0"/>
        <v>171</v>
      </c>
      <c r="I512">
        <f t="shared" si="0"/>
        <v>161</v>
      </c>
      <c r="J512">
        <f t="shared" si="0"/>
        <v>219</v>
      </c>
      <c r="K512">
        <f t="shared" si="0"/>
        <v>228</v>
      </c>
      <c r="L512">
        <f t="shared" si="0"/>
        <v>232</v>
      </c>
      <c r="M512">
        <f t="shared" si="0"/>
        <v>209</v>
      </c>
      <c r="N512">
        <f t="shared" si="0"/>
        <v>216</v>
      </c>
      <c r="O512">
        <f t="shared" si="0"/>
        <v>232</v>
      </c>
      <c r="P512">
        <f t="shared" si="0"/>
        <v>226</v>
      </c>
      <c r="Q512">
        <f t="shared" si="0"/>
        <v>207</v>
      </c>
      <c r="R512">
        <f t="shared" si="0"/>
        <v>232</v>
      </c>
      <c r="S512">
        <f t="shared" si="0"/>
        <v>153</v>
      </c>
      <c r="T512">
        <f t="shared" si="0"/>
        <v>213</v>
      </c>
      <c r="U512">
        <f t="shared" si="0"/>
        <v>208</v>
      </c>
      <c r="V512">
        <f t="shared" si="0"/>
        <v>214</v>
      </c>
      <c r="W512">
        <f t="shared" si="0"/>
        <v>205</v>
      </c>
      <c r="X512">
        <f t="shared" si="0"/>
        <v>213</v>
      </c>
      <c r="Y512">
        <f t="shared" si="0"/>
        <v>227</v>
      </c>
      <c r="Z512">
        <f t="shared" si="0"/>
        <v>228</v>
      </c>
      <c r="AA512">
        <f t="shared" si="0"/>
        <v>245</v>
      </c>
      <c r="AB512">
        <f t="shared" si="0"/>
        <v>228</v>
      </c>
      <c r="AC512">
        <f t="shared" si="0"/>
        <v>195</v>
      </c>
      <c r="AD512">
        <f t="shared" si="0"/>
        <v>233</v>
      </c>
      <c r="AE512">
        <f t="shared" si="0"/>
        <v>202</v>
      </c>
      <c r="AF512">
        <f t="shared" si="0"/>
        <v>239</v>
      </c>
      <c r="AG512">
        <f t="shared" si="0"/>
        <v>232</v>
      </c>
    </row>
    <row r="513" spans="1:57" x14ac:dyDescent="0.25">
      <c r="A513" t="s">
        <v>38</v>
      </c>
      <c r="B513">
        <f>COUNTIF(B$54:B$235,"&gt;=19")</f>
        <v>22</v>
      </c>
      <c r="C513">
        <f t="shared" ref="C513:AG513" si="1">COUNTIF(C$54:C$235,"&gt;=19")</f>
        <v>23</v>
      </c>
      <c r="D513">
        <f t="shared" si="1"/>
        <v>23</v>
      </c>
      <c r="E513">
        <f t="shared" si="1"/>
        <v>22</v>
      </c>
      <c r="F513">
        <f t="shared" si="1"/>
        <v>22</v>
      </c>
      <c r="G513">
        <f t="shared" si="1"/>
        <v>23</v>
      </c>
      <c r="H513">
        <f t="shared" si="1"/>
        <v>8</v>
      </c>
      <c r="I513">
        <f t="shared" si="1"/>
        <v>6</v>
      </c>
      <c r="J513">
        <f t="shared" si="1"/>
        <v>22</v>
      </c>
      <c r="K513">
        <f t="shared" si="1"/>
        <v>23</v>
      </c>
      <c r="L513">
        <f t="shared" si="1"/>
        <v>23</v>
      </c>
      <c r="M513">
        <f t="shared" si="1"/>
        <v>23</v>
      </c>
      <c r="N513">
        <f t="shared" si="1"/>
        <v>22</v>
      </c>
      <c r="O513">
        <f t="shared" si="1"/>
        <v>23</v>
      </c>
      <c r="P513">
        <f t="shared" si="1"/>
        <v>23</v>
      </c>
      <c r="Q513">
        <f t="shared" si="1"/>
        <v>23</v>
      </c>
      <c r="R513">
        <f t="shared" si="1"/>
        <v>24</v>
      </c>
      <c r="S513">
        <f t="shared" si="1"/>
        <v>6</v>
      </c>
      <c r="T513">
        <f t="shared" si="1"/>
        <v>11</v>
      </c>
      <c r="U513">
        <f t="shared" si="1"/>
        <v>6</v>
      </c>
      <c r="V513">
        <f t="shared" si="1"/>
        <v>8</v>
      </c>
      <c r="W513">
        <f t="shared" si="1"/>
        <v>5</v>
      </c>
      <c r="X513">
        <f t="shared" si="1"/>
        <v>7</v>
      </c>
      <c r="Y513">
        <f t="shared" si="1"/>
        <v>24</v>
      </c>
      <c r="Z513">
        <f t="shared" si="1"/>
        <v>21</v>
      </c>
      <c r="AA513">
        <f t="shared" si="1"/>
        <v>25</v>
      </c>
      <c r="AB513">
        <f t="shared" si="1"/>
        <v>24</v>
      </c>
      <c r="AC513">
        <f t="shared" si="1"/>
        <v>12</v>
      </c>
      <c r="AD513">
        <f t="shared" si="1"/>
        <v>24</v>
      </c>
      <c r="AE513">
        <f t="shared" si="1"/>
        <v>16</v>
      </c>
      <c r="AF513">
        <f t="shared" si="1"/>
        <v>25</v>
      </c>
      <c r="AG513">
        <f t="shared" si="1"/>
        <v>24</v>
      </c>
      <c r="AH513" t="s">
        <v>139</v>
      </c>
    </row>
    <row r="514" spans="1:57" x14ac:dyDescent="0.25">
      <c r="A514" t="s">
        <v>39</v>
      </c>
      <c r="B514">
        <f>COUNTIF(B$419:B$511,"&gt;=19")</f>
        <v>5</v>
      </c>
      <c r="C514">
        <f t="shared" ref="C514:AG514" si="2">COUNTIF(C$419:C$511,"&gt;=19")</f>
        <v>6</v>
      </c>
      <c r="D514">
        <f t="shared" si="2"/>
        <v>5</v>
      </c>
      <c r="E514">
        <f t="shared" si="2"/>
        <v>4</v>
      </c>
      <c r="F514">
        <f t="shared" si="2"/>
        <v>5</v>
      </c>
      <c r="G514">
        <f t="shared" si="2"/>
        <v>6</v>
      </c>
      <c r="H514">
        <f t="shared" si="2"/>
        <v>4</v>
      </c>
      <c r="I514">
        <f t="shared" si="2"/>
        <v>3</v>
      </c>
      <c r="J514">
        <f t="shared" si="2"/>
        <v>5</v>
      </c>
      <c r="K514">
        <f t="shared" si="2"/>
        <v>10</v>
      </c>
      <c r="L514">
        <f t="shared" si="2"/>
        <v>8</v>
      </c>
      <c r="M514">
        <f t="shared" si="2"/>
        <v>6</v>
      </c>
      <c r="N514">
        <f t="shared" si="2"/>
        <v>6</v>
      </c>
      <c r="O514">
        <f t="shared" si="2"/>
        <v>8</v>
      </c>
      <c r="P514">
        <f t="shared" si="2"/>
        <v>7</v>
      </c>
      <c r="Q514">
        <f t="shared" si="2"/>
        <v>6</v>
      </c>
      <c r="R514">
        <f t="shared" si="2"/>
        <v>8</v>
      </c>
      <c r="S514">
        <f t="shared" si="2"/>
        <v>0</v>
      </c>
      <c r="T514">
        <f t="shared" si="2"/>
        <v>5</v>
      </c>
      <c r="U514">
        <f t="shared" si="2"/>
        <v>3</v>
      </c>
      <c r="V514">
        <f t="shared" si="2"/>
        <v>5</v>
      </c>
      <c r="W514">
        <f t="shared" si="2"/>
        <v>1</v>
      </c>
      <c r="X514">
        <f t="shared" si="2"/>
        <v>5</v>
      </c>
      <c r="Y514">
        <f t="shared" si="2"/>
        <v>7</v>
      </c>
      <c r="Z514">
        <f t="shared" si="2"/>
        <v>7</v>
      </c>
      <c r="AA514">
        <f t="shared" si="2"/>
        <v>10</v>
      </c>
      <c r="AB514">
        <f t="shared" si="2"/>
        <v>8</v>
      </c>
      <c r="AC514">
        <f t="shared" si="2"/>
        <v>0</v>
      </c>
      <c r="AD514">
        <f t="shared" si="2"/>
        <v>8</v>
      </c>
      <c r="AE514">
        <f t="shared" si="2"/>
        <v>5</v>
      </c>
      <c r="AF514">
        <f t="shared" si="2"/>
        <v>11</v>
      </c>
      <c r="AG514">
        <f t="shared" si="2"/>
        <v>8</v>
      </c>
      <c r="AH514" t="s">
        <v>140</v>
      </c>
    </row>
    <row r="515" spans="1:57" x14ac:dyDescent="0.25">
      <c r="A515" t="s">
        <v>40</v>
      </c>
      <c r="B515">
        <f>COUNTIF(B$3:B$53,"&gt;=19")</f>
        <v>51</v>
      </c>
      <c r="C515">
        <f t="shared" ref="C515:AG515" si="3">COUNTIF(C$3:C$53,"&gt;=19")</f>
        <v>51</v>
      </c>
      <c r="D515">
        <f t="shared" si="3"/>
        <v>51</v>
      </c>
      <c r="E515">
        <f t="shared" si="3"/>
        <v>51</v>
      </c>
      <c r="F515">
        <f t="shared" si="3"/>
        <v>51</v>
      </c>
      <c r="G515">
        <f t="shared" si="3"/>
        <v>51</v>
      </c>
      <c r="H515">
        <f t="shared" si="3"/>
        <v>51</v>
      </c>
      <c r="I515">
        <f t="shared" si="3"/>
        <v>49</v>
      </c>
      <c r="J515">
        <f t="shared" si="3"/>
        <v>51</v>
      </c>
      <c r="K515">
        <f t="shared" si="3"/>
        <v>51</v>
      </c>
      <c r="L515">
        <f t="shared" si="3"/>
        <v>51</v>
      </c>
      <c r="M515">
        <f t="shared" si="3"/>
        <v>51</v>
      </c>
      <c r="N515">
        <f t="shared" si="3"/>
        <v>51</v>
      </c>
      <c r="O515">
        <f t="shared" si="3"/>
        <v>51</v>
      </c>
      <c r="P515">
        <f t="shared" si="3"/>
        <v>51</v>
      </c>
      <c r="Q515">
        <f t="shared" si="3"/>
        <v>51</v>
      </c>
      <c r="R515">
        <f t="shared" si="3"/>
        <v>51</v>
      </c>
      <c r="S515">
        <f t="shared" si="3"/>
        <v>50</v>
      </c>
      <c r="T515">
        <f t="shared" si="3"/>
        <v>51</v>
      </c>
      <c r="U515">
        <f t="shared" si="3"/>
        <v>47</v>
      </c>
      <c r="V515">
        <f t="shared" si="3"/>
        <v>51</v>
      </c>
      <c r="W515">
        <f t="shared" si="3"/>
        <v>47</v>
      </c>
      <c r="X515">
        <f t="shared" si="3"/>
        <v>51</v>
      </c>
      <c r="Y515">
        <f t="shared" si="3"/>
        <v>51</v>
      </c>
      <c r="Z515">
        <f t="shared" si="3"/>
        <v>51</v>
      </c>
      <c r="AA515">
        <f t="shared" si="3"/>
        <v>51</v>
      </c>
      <c r="AB515">
        <f t="shared" si="3"/>
        <v>51</v>
      </c>
      <c r="AC515">
        <f t="shared" si="3"/>
        <v>51</v>
      </c>
      <c r="AD515">
        <f t="shared" si="3"/>
        <v>51</v>
      </c>
      <c r="AE515">
        <f t="shared" si="3"/>
        <v>51</v>
      </c>
      <c r="AF515">
        <f t="shared" si="3"/>
        <v>51</v>
      </c>
      <c r="AG515">
        <f t="shared" si="3"/>
        <v>51</v>
      </c>
      <c r="AH515" t="s">
        <v>141</v>
      </c>
    </row>
    <row r="516" spans="1:57" x14ac:dyDescent="0.25">
      <c r="A516" t="s">
        <v>41</v>
      </c>
      <c r="B516">
        <f>COUNTIF(B$236:B$418,"&gt;=19")</f>
        <v>121</v>
      </c>
      <c r="C516">
        <f t="shared" ref="C516:AG516" si="4">COUNTIF(C$236:C$418,"&gt;=19")</f>
        <v>130</v>
      </c>
      <c r="D516">
        <f t="shared" si="4"/>
        <v>120</v>
      </c>
      <c r="E516">
        <f t="shared" si="4"/>
        <v>121</v>
      </c>
      <c r="F516">
        <f t="shared" si="4"/>
        <v>123</v>
      </c>
      <c r="G516">
        <f t="shared" si="4"/>
        <v>126</v>
      </c>
      <c r="H516">
        <f t="shared" si="4"/>
        <v>108</v>
      </c>
      <c r="I516">
        <f t="shared" si="4"/>
        <v>103</v>
      </c>
      <c r="J516">
        <f t="shared" si="4"/>
        <v>141</v>
      </c>
      <c r="K516">
        <f t="shared" si="4"/>
        <v>144</v>
      </c>
      <c r="L516">
        <f t="shared" si="4"/>
        <v>150</v>
      </c>
      <c r="M516">
        <f t="shared" si="4"/>
        <v>129</v>
      </c>
      <c r="N516">
        <f t="shared" si="4"/>
        <v>137</v>
      </c>
      <c r="O516">
        <f t="shared" si="4"/>
        <v>150</v>
      </c>
      <c r="P516">
        <f t="shared" si="4"/>
        <v>145</v>
      </c>
      <c r="Q516">
        <f t="shared" si="4"/>
        <v>127</v>
      </c>
      <c r="R516">
        <f t="shared" si="4"/>
        <v>149</v>
      </c>
      <c r="S516">
        <f t="shared" si="4"/>
        <v>97</v>
      </c>
      <c r="T516">
        <f t="shared" si="4"/>
        <v>146</v>
      </c>
      <c r="U516">
        <f t="shared" si="4"/>
        <v>152</v>
      </c>
      <c r="V516">
        <f t="shared" si="4"/>
        <v>150</v>
      </c>
      <c r="W516">
        <f t="shared" si="4"/>
        <v>152</v>
      </c>
      <c r="X516">
        <f t="shared" si="4"/>
        <v>150</v>
      </c>
      <c r="Y516">
        <f t="shared" si="4"/>
        <v>145</v>
      </c>
      <c r="Z516">
        <f t="shared" si="4"/>
        <v>149</v>
      </c>
      <c r="AA516">
        <f t="shared" si="4"/>
        <v>159</v>
      </c>
      <c r="AB516">
        <f t="shared" si="4"/>
        <v>145</v>
      </c>
      <c r="AC516">
        <f t="shared" si="4"/>
        <v>132</v>
      </c>
      <c r="AD516">
        <f t="shared" si="4"/>
        <v>150</v>
      </c>
      <c r="AE516">
        <f t="shared" si="4"/>
        <v>130</v>
      </c>
      <c r="AF516">
        <f t="shared" si="4"/>
        <v>152</v>
      </c>
      <c r="AG516">
        <f t="shared" si="4"/>
        <v>149</v>
      </c>
      <c r="AH516" t="s">
        <v>142</v>
      </c>
    </row>
    <row r="517" spans="1:57" x14ac:dyDescent="0.25">
      <c r="A517" t="s">
        <v>42</v>
      </c>
      <c r="B517">
        <f>SUM(B$513,B$514)</f>
        <v>27</v>
      </c>
      <c r="C517">
        <f t="shared" ref="C517:AG517" si="5">SUM(C$513,C$514)</f>
        <v>29</v>
      </c>
      <c r="D517">
        <f t="shared" si="5"/>
        <v>28</v>
      </c>
      <c r="E517">
        <f t="shared" si="5"/>
        <v>26</v>
      </c>
      <c r="F517">
        <f t="shared" si="5"/>
        <v>27</v>
      </c>
      <c r="G517">
        <f t="shared" si="5"/>
        <v>29</v>
      </c>
      <c r="H517">
        <f t="shared" si="5"/>
        <v>12</v>
      </c>
      <c r="I517">
        <f t="shared" si="5"/>
        <v>9</v>
      </c>
      <c r="J517">
        <f t="shared" si="5"/>
        <v>27</v>
      </c>
      <c r="K517">
        <f t="shared" si="5"/>
        <v>33</v>
      </c>
      <c r="L517">
        <f t="shared" si="5"/>
        <v>31</v>
      </c>
      <c r="M517">
        <f t="shared" si="5"/>
        <v>29</v>
      </c>
      <c r="N517">
        <f t="shared" si="5"/>
        <v>28</v>
      </c>
      <c r="O517">
        <f t="shared" si="5"/>
        <v>31</v>
      </c>
      <c r="P517">
        <f t="shared" si="5"/>
        <v>30</v>
      </c>
      <c r="Q517">
        <f t="shared" si="5"/>
        <v>29</v>
      </c>
      <c r="R517">
        <f t="shared" si="5"/>
        <v>32</v>
      </c>
      <c r="S517">
        <f t="shared" si="5"/>
        <v>6</v>
      </c>
      <c r="T517">
        <f t="shared" si="5"/>
        <v>16</v>
      </c>
      <c r="U517">
        <f t="shared" si="5"/>
        <v>9</v>
      </c>
      <c r="V517">
        <f t="shared" si="5"/>
        <v>13</v>
      </c>
      <c r="W517">
        <f t="shared" si="5"/>
        <v>6</v>
      </c>
      <c r="X517">
        <f t="shared" si="5"/>
        <v>12</v>
      </c>
      <c r="Y517">
        <f t="shared" si="5"/>
        <v>31</v>
      </c>
      <c r="Z517">
        <f t="shared" si="5"/>
        <v>28</v>
      </c>
      <c r="AA517">
        <f t="shared" si="5"/>
        <v>35</v>
      </c>
      <c r="AB517">
        <f t="shared" si="5"/>
        <v>32</v>
      </c>
      <c r="AC517">
        <f t="shared" si="5"/>
        <v>12</v>
      </c>
      <c r="AD517">
        <f t="shared" si="5"/>
        <v>32</v>
      </c>
      <c r="AE517">
        <f t="shared" si="5"/>
        <v>21</v>
      </c>
      <c r="AF517">
        <f t="shared" si="5"/>
        <v>36</v>
      </c>
      <c r="AG517">
        <f t="shared" si="5"/>
        <v>32</v>
      </c>
    </row>
    <row r="518" spans="1:57" x14ac:dyDescent="0.25">
      <c r="A518" t="s">
        <v>43</v>
      </c>
      <c r="B518">
        <f>SUM(B$515,B$516)</f>
        <v>172</v>
      </c>
      <c r="C518">
        <f t="shared" ref="C518:AG518" si="6">SUM(C$515,C$516)</f>
        <v>181</v>
      </c>
      <c r="D518">
        <f t="shared" si="6"/>
        <v>171</v>
      </c>
      <c r="E518">
        <f t="shared" si="6"/>
        <v>172</v>
      </c>
      <c r="F518">
        <f t="shared" si="6"/>
        <v>174</v>
      </c>
      <c r="G518">
        <f t="shared" si="6"/>
        <v>177</v>
      </c>
      <c r="H518">
        <f t="shared" si="6"/>
        <v>159</v>
      </c>
      <c r="I518">
        <f t="shared" si="6"/>
        <v>152</v>
      </c>
      <c r="J518">
        <f t="shared" si="6"/>
        <v>192</v>
      </c>
      <c r="K518">
        <f t="shared" si="6"/>
        <v>195</v>
      </c>
      <c r="L518">
        <f t="shared" si="6"/>
        <v>201</v>
      </c>
      <c r="M518">
        <f t="shared" si="6"/>
        <v>180</v>
      </c>
      <c r="N518">
        <f t="shared" si="6"/>
        <v>188</v>
      </c>
      <c r="O518">
        <f t="shared" si="6"/>
        <v>201</v>
      </c>
      <c r="P518">
        <f t="shared" si="6"/>
        <v>196</v>
      </c>
      <c r="Q518">
        <f t="shared" si="6"/>
        <v>178</v>
      </c>
      <c r="R518">
        <f t="shared" si="6"/>
        <v>200</v>
      </c>
      <c r="S518">
        <f t="shared" si="6"/>
        <v>147</v>
      </c>
      <c r="T518">
        <f t="shared" si="6"/>
        <v>197</v>
      </c>
      <c r="U518">
        <f t="shared" si="6"/>
        <v>199</v>
      </c>
      <c r="V518">
        <f t="shared" si="6"/>
        <v>201</v>
      </c>
      <c r="W518">
        <f t="shared" si="6"/>
        <v>199</v>
      </c>
      <c r="X518">
        <f t="shared" si="6"/>
        <v>201</v>
      </c>
      <c r="Y518">
        <f t="shared" si="6"/>
        <v>196</v>
      </c>
      <c r="Z518">
        <f t="shared" si="6"/>
        <v>200</v>
      </c>
      <c r="AA518">
        <f t="shared" si="6"/>
        <v>210</v>
      </c>
      <c r="AB518">
        <f t="shared" si="6"/>
        <v>196</v>
      </c>
      <c r="AC518">
        <f t="shared" si="6"/>
        <v>183</v>
      </c>
      <c r="AD518">
        <f t="shared" si="6"/>
        <v>201</v>
      </c>
      <c r="AE518">
        <f t="shared" si="6"/>
        <v>181</v>
      </c>
      <c r="AF518">
        <f t="shared" si="6"/>
        <v>203</v>
      </c>
      <c r="AG518">
        <f t="shared" si="6"/>
        <v>200</v>
      </c>
    </row>
    <row r="521" spans="1:57" x14ac:dyDescent="0.25">
      <c r="D521" t="s">
        <v>70</v>
      </c>
      <c r="F521" t="s">
        <v>78</v>
      </c>
      <c r="S521" t="s">
        <v>44</v>
      </c>
      <c r="AA521" t="s">
        <v>44</v>
      </c>
      <c r="AE521" t="s">
        <v>44</v>
      </c>
      <c r="AI521" t="s">
        <v>44</v>
      </c>
      <c r="AQ521" t="s">
        <v>44</v>
      </c>
      <c r="AY521" t="s">
        <v>44</v>
      </c>
    </row>
    <row r="522" spans="1:57" x14ac:dyDescent="0.25">
      <c r="F522" t="s">
        <v>45</v>
      </c>
      <c r="S522" t="s">
        <v>46</v>
      </c>
      <c r="AA522" t="s">
        <v>47</v>
      </c>
      <c r="AE522" t="s">
        <v>48</v>
      </c>
      <c r="AI522" t="s">
        <v>46</v>
      </c>
      <c r="AK522" t="s">
        <v>49</v>
      </c>
      <c r="AL522" t="s">
        <v>33</v>
      </c>
      <c r="AM522" t="s">
        <v>34</v>
      </c>
      <c r="AN522" t="s">
        <v>35</v>
      </c>
      <c r="AO522" t="s">
        <v>36</v>
      </c>
      <c r="AQ522" t="s">
        <v>47</v>
      </c>
      <c r="AS522" t="s">
        <v>49</v>
      </c>
      <c r="AT522" t="s">
        <v>33</v>
      </c>
      <c r="AU522" t="s">
        <v>34</v>
      </c>
      <c r="AV522" t="s">
        <v>35</v>
      </c>
      <c r="AW522" t="s">
        <v>36</v>
      </c>
      <c r="AY522" t="s">
        <v>48</v>
      </c>
      <c r="BA522" t="s">
        <v>49</v>
      </c>
      <c r="BB522" t="s">
        <v>33</v>
      </c>
      <c r="BC522" t="s">
        <v>34</v>
      </c>
      <c r="BD522" t="s">
        <v>35</v>
      </c>
      <c r="BE522" t="s">
        <v>36</v>
      </c>
    </row>
    <row r="523" spans="1:57" x14ac:dyDescent="0.25">
      <c r="F523" t="s">
        <v>50</v>
      </c>
      <c r="M523" t="s">
        <v>51</v>
      </c>
      <c r="S523" t="s">
        <v>52</v>
      </c>
      <c r="U523">
        <f>COUNTIF(B2:AG2,"&lt;&gt;")</f>
        <v>32</v>
      </c>
      <c r="AA523" t="s">
        <v>52</v>
      </c>
      <c r="AC523">
        <f>COUNTIF(B2:AG2,"&lt;&gt;")</f>
        <v>32</v>
      </c>
      <c r="AE523" t="s">
        <v>52</v>
      </c>
      <c r="AG523">
        <f>COUNTIF(B2:AG2,"&lt;&gt;")</f>
        <v>32</v>
      </c>
      <c r="AI523" t="s">
        <v>52</v>
      </c>
      <c r="AK523">
        <f>COUNTIF($B$2:$AG$2,"&lt;&gt;")</f>
        <v>32</v>
      </c>
      <c r="AL523">
        <f>COUNTIF($B$2:$I$2,"&lt;&gt;")</f>
        <v>8</v>
      </c>
      <c r="AM523">
        <f>COUNTIF($J$2:$R$2,"&lt;&gt;")</f>
        <v>9</v>
      </c>
      <c r="AN523">
        <f>COUNTIF($S$2:$X$2,"&lt;&gt;")</f>
        <v>6</v>
      </c>
      <c r="AO523">
        <f>COUNTIF($Y$2:$AG$2,"&lt;&gt;")</f>
        <v>9</v>
      </c>
      <c r="AQ523" t="s">
        <v>52</v>
      </c>
      <c r="AS523">
        <f>COUNTIF($B$2:$AG$2,"&lt;&gt;")</f>
        <v>32</v>
      </c>
      <c r="AT523">
        <f>COUNTIF($B$2:$I$2,"&lt;&gt;")</f>
        <v>8</v>
      </c>
      <c r="AU523">
        <f>COUNTIF($J$2:$R$2,"&lt;&gt;")</f>
        <v>9</v>
      </c>
      <c r="AV523">
        <f>COUNTIF($S$2:$X$2,"&lt;&gt;")</f>
        <v>6</v>
      </c>
      <c r="AW523">
        <f>COUNTIF($Y$2:$AG$2,"&lt;&gt;")</f>
        <v>9</v>
      </c>
      <c r="AY523" t="s">
        <v>52</v>
      </c>
      <c r="BA523">
        <f>COUNTIF($B$2:$AG$2,"&lt;&gt;")</f>
        <v>32</v>
      </c>
      <c r="BB523">
        <f>COUNTIF($B$2:$I$2,"&lt;&gt;")</f>
        <v>8</v>
      </c>
      <c r="BC523">
        <f>COUNTIF($J$2:$R$2,"&lt;&gt;")</f>
        <v>9</v>
      </c>
      <c r="BD523">
        <f>COUNTIF($S$2:$X$2,"&lt;&gt;")</f>
        <v>6</v>
      </c>
      <c r="BE523">
        <f>COUNTIF($Y$2:$AG$2,"&lt;&gt;")</f>
        <v>9</v>
      </c>
    </row>
    <row r="524" spans="1:57" x14ac:dyDescent="0.25">
      <c r="F524" t="s">
        <v>53</v>
      </c>
      <c r="H524" t="s">
        <v>134</v>
      </c>
      <c r="J524">
        <f>COUNTIF($B$54:$B$235,"&lt;&gt;")</f>
        <v>182</v>
      </c>
      <c r="M524" t="s">
        <v>54</v>
      </c>
      <c r="S524" t="s">
        <v>55</v>
      </c>
      <c r="U524">
        <f>COUNTIF($A$3:$A$511,"&lt;&gt;")</f>
        <v>509</v>
      </c>
      <c r="AA524" t="s">
        <v>55</v>
      </c>
      <c r="AC524">
        <f>SUM($J$524:$J$525)</f>
        <v>275</v>
      </c>
      <c r="AE524" t="s">
        <v>55</v>
      </c>
      <c r="AG524">
        <f>SUM($Q$525:$Q$526)</f>
        <v>234</v>
      </c>
      <c r="AI524" t="s">
        <v>55</v>
      </c>
      <c r="AK524">
        <f>COUNTIF($A$3:$A$511,"&lt;&gt;")</f>
        <v>509</v>
      </c>
      <c r="AL524">
        <f t="shared" ref="AL524:AO524" si="7">COUNTIF($A$3:$A$511,"&lt;&gt;")</f>
        <v>509</v>
      </c>
      <c r="AM524">
        <f t="shared" si="7"/>
        <v>509</v>
      </c>
      <c r="AN524">
        <f t="shared" si="7"/>
        <v>509</v>
      </c>
      <c r="AO524">
        <f t="shared" si="7"/>
        <v>509</v>
      </c>
      <c r="AQ524" t="s">
        <v>55</v>
      </c>
      <c r="AS524">
        <f>SUM($J$524:$J$525)</f>
        <v>275</v>
      </c>
      <c r="AT524">
        <f t="shared" ref="AT524:AW524" si="8">SUM($J$524:$J$525)</f>
        <v>275</v>
      </c>
      <c r="AU524">
        <f t="shared" si="8"/>
        <v>275</v>
      </c>
      <c r="AV524">
        <f t="shared" si="8"/>
        <v>275</v>
      </c>
      <c r="AW524">
        <f t="shared" si="8"/>
        <v>275</v>
      </c>
      <c r="AY524" t="s">
        <v>55</v>
      </c>
      <c r="BA524">
        <f>SUM($Q$525:$Q$526)</f>
        <v>234</v>
      </c>
      <c r="BB524">
        <f t="shared" ref="BB524:BE524" si="9">SUM($Q$525:$Q$526)</f>
        <v>234</v>
      </c>
      <c r="BC524">
        <f t="shared" si="9"/>
        <v>234</v>
      </c>
      <c r="BD524">
        <f t="shared" si="9"/>
        <v>234</v>
      </c>
      <c r="BE524">
        <f t="shared" si="9"/>
        <v>234</v>
      </c>
    </row>
    <row r="525" spans="1:57" x14ac:dyDescent="0.25">
      <c r="F525" t="s">
        <v>56</v>
      </c>
      <c r="H525" t="s">
        <v>135</v>
      </c>
      <c r="J525">
        <f>COUNTIF($B$419:$B$511,"&lt;&gt;")</f>
        <v>93</v>
      </c>
      <c r="M525" t="s">
        <v>57</v>
      </c>
      <c r="O525" t="s">
        <v>137</v>
      </c>
      <c r="Q525">
        <f>COUNTIF($B$3:$B$53,"&lt;&gt;")</f>
        <v>51</v>
      </c>
      <c r="S525" t="s">
        <v>58</v>
      </c>
      <c r="U525">
        <f>U524*U523</f>
        <v>16288</v>
      </c>
      <c r="V525" t="s">
        <v>59</v>
      </c>
      <c r="AA525" t="s">
        <v>58</v>
      </c>
      <c r="AC525">
        <f>AC524*AC523</f>
        <v>8800</v>
      </c>
      <c r="AE525" t="s">
        <v>58</v>
      </c>
      <c r="AG525">
        <f>AG523*AG524</f>
        <v>7488</v>
      </c>
      <c r="AI525" t="s">
        <v>58</v>
      </c>
      <c r="AK525">
        <f>AK524*AK523</f>
        <v>16288</v>
      </c>
      <c r="AL525">
        <f t="shared" ref="AL525:AO525" si="10">AL524*AL523</f>
        <v>4072</v>
      </c>
      <c r="AM525">
        <f t="shared" si="10"/>
        <v>4581</v>
      </c>
      <c r="AN525">
        <f t="shared" si="10"/>
        <v>3054</v>
      </c>
      <c r="AO525">
        <f t="shared" si="10"/>
        <v>4581</v>
      </c>
      <c r="AQ525" t="s">
        <v>58</v>
      </c>
      <c r="AS525">
        <f>AS524*AS523</f>
        <v>8800</v>
      </c>
      <c r="AT525">
        <f t="shared" ref="AT525:AW525" si="11">AT524*AT523</f>
        <v>2200</v>
      </c>
      <c r="AU525">
        <f t="shared" si="11"/>
        <v>2475</v>
      </c>
      <c r="AV525">
        <f t="shared" si="11"/>
        <v>1650</v>
      </c>
      <c r="AW525">
        <f t="shared" si="11"/>
        <v>2475</v>
      </c>
      <c r="AY525" t="s">
        <v>58</v>
      </c>
      <c r="BA525">
        <f>BA524*BA523</f>
        <v>7488</v>
      </c>
      <c r="BB525">
        <f t="shared" ref="BB525:BE525" si="12">BB524*BB523</f>
        <v>1872</v>
      </c>
      <c r="BC525">
        <f t="shared" si="12"/>
        <v>2106</v>
      </c>
      <c r="BD525">
        <f t="shared" si="12"/>
        <v>1404</v>
      </c>
      <c r="BE525">
        <f t="shared" si="12"/>
        <v>2106</v>
      </c>
    </row>
    <row r="526" spans="1:57" x14ac:dyDescent="0.25">
      <c r="F526" t="s">
        <v>60</v>
      </c>
      <c r="H526" t="s">
        <v>136</v>
      </c>
      <c r="J526">
        <f>COUNTIF($A$737:$A$798,"&lt;&gt;")</f>
        <v>0</v>
      </c>
      <c r="M526" t="s">
        <v>61</v>
      </c>
      <c r="O526" t="s">
        <v>138</v>
      </c>
      <c r="Q526">
        <f>COUNTIF($B$236:$B$418,"&lt;&gt;")</f>
        <v>183</v>
      </c>
      <c r="S526" t="s">
        <v>75</v>
      </c>
      <c r="U526">
        <f>SUM(B512:AG512)</f>
        <v>6781</v>
      </c>
      <c r="V526" t="s">
        <v>63</v>
      </c>
      <c r="AA526" t="s">
        <v>75</v>
      </c>
      <c r="AC526">
        <f>SUM($B$517:$AG$517)</f>
        <v>778</v>
      </c>
      <c r="AE526" t="s">
        <v>75</v>
      </c>
      <c r="AG526">
        <f>SUM($B$518:$AG$518)</f>
        <v>6003</v>
      </c>
      <c r="AI526" t="s">
        <v>75</v>
      </c>
      <c r="AK526">
        <f>SUM(B512:AG512)</f>
        <v>6781</v>
      </c>
      <c r="AL526">
        <f>SUM(B512:I512)</f>
        <v>1545</v>
      </c>
      <c r="AM526">
        <f>SUM(J512:R512)</f>
        <v>2001</v>
      </c>
      <c r="AN526">
        <f>SUM(S512:X512)</f>
        <v>1206</v>
      </c>
      <c r="AO526">
        <f>SUM(Y512:AG512)</f>
        <v>2029</v>
      </c>
      <c r="AQ526" t="s">
        <v>75</v>
      </c>
      <c r="AS526">
        <f>SUM(B517:AG517)</f>
        <v>778</v>
      </c>
      <c r="AT526">
        <f>SUM(B517:I517)</f>
        <v>187</v>
      </c>
      <c r="AU526">
        <f>SUM(J517:R517)</f>
        <v>270</v>
      </c>
      <c r="AV526">
        <f>SUM(S517:X517)</f>
        <v>62</v>
      </c>
      <c r="AW526">
        <f>SUM(Y517:AG517)</f>
        <v>259</v>
      </c>
      <c r="AY526" t="s">
        <v>75</v>
      </c>
      <c r="BA526">
        <f>SUM($B518:$AG518)</f>
        <v>6003</v>
      </c>
      <c r="BB526">
        <f>SUM(B518:I518)</f>
        <v>1358</v>
      </c>
      <c r="BC526">
        <f>SUM(J518:R518)</f>
        <v>1731</v>
      </c>
      <c r="BD526">
        <f>SUM(S518:X518)</f>
        <v>1144</v>
      </c>
      <c r="BE526">
        <f>SUM(Y518:AG518)</f>
        <v>1770</v>
      </c>
    </row>
    <row r="527" spans="1:57" x14ac:dyDescent="0.25">
      <c r="S527" t="s">
        <v>64</v>
      </c>
      <c r="U527">
        <f>$U526/$U525</f>
        <v>0.4163187622789784</v>
      </c>
      <c r="AA527" t="s">
        <v>65</v>
      </c>
      <c r="AC527">
        <f>AC526/AC525</f>
        <v>8.8409090909090909E-2</v>
      </c>
      <c r="AE527" t="s">
        <v>66</v>
      </c>
      <c r="AG527">
        <f>AG526/AG525</f>
        <v>0.80168269230769229</v>
      </c>
      <c r="AI527" t="s">
        <v>64</v>
      </c>
      <c r="AK527">
        <f>AK526/AK525</f>
        <v>0.4163187622789784</v>
      </c>
      <c r="AL527">
        <f t="shared" ref="AL527:AO527" si="13">AL526/AL525</f>
        <v>0.37942043222003929</v>
      </c>
      <c r="AM527">
        <f t="shared" si="13"/>
        <v>0.43680419122462344</v>
      </c>
      <c r="AN527">
        <f t="shared" si="13"/>
        <v>0.39489194499017682</v>
      </c>
      <c r="AO527">
        <f t="shared" si="13"/>
        <v>0.44291639380048026</v>
      </c>
      <c r="AQ527" t="s">
        <v>65</v>
      </c>
      <c r="AS527">
        <f>AS526/AS525</f>
        <v>8.8409090909090909E-2</v>
      </c>
      <c r="AT527">
        <f t="shared" ref="AT527:AW527" si="14">AT526/AT525</f>
        <v>8.5000000000000006E-2</v>
      </c>
      <c r="AU527">
        <f t="shared" si="14"/>
        <v>0.10909090909090909</v>
      </c>
      <c r="AV527">
        <f t="shared" si="14"/>
        <v>3.7575757575757575E-2</v>
      </c>
      <c r="AW527">
        <f t="shared" si="14"/>
        <v>0.10464646464646464</v>
      </c>
      <c r="AY527" t="s">
        <v>66</v>
      </c>
      <c r="BA527">
        <f>BA526/BA525</f>
        <v>0.80168269230769229</v>
      </c>
      <c r="BB527">
        <f t="shared" ref="BB527:BE527" si="15">BB526/BB525</f>
        <v>0.7254273504273504</v>
      </c>
      <c r="BC527">
        <f t="shared" si="15"/>
        <v>0.82193732193732194</v>
      </c>
      <c r="BD527">
        <f t="shared" si="15"/>
        <v>0.81481481481481477</v>
      </c>
      <c r="BE527">
        <f t="shared" si="15"/>
        <v>0.84045584045584043</v>
      </c>
    </row>
    <row r="529" spans="1:57" x14ac:dyDescent="0.25">
      <c r="A529" t="s">
        <v>37</v>
      </c>
      <c r="B529">
        <f>COUNTIF(B$3:B$511,"&gt;=20")</f>
        <v>154</v>
      </c>
      <c r="C529">
        <f t="shared" ref="C529:AG529" si="16">COUNTIF(C$3:C$511,"&gt;=20")</f>
        <v>173</v>
      </c>
      <c r="D529">
        <f t="shared" si="16"/>
        <v>152</v>
      </c>
      <c r="E529">
        <f t="shared" si="16"/>
        <v>144</v>
      </c>
      <c r="F529">
        <f t="shared" si="16"/>
        <v>160</v>
      </c>
      <c r="G529">
        <f t="shared" si="16"/>
        <v>166</v>
      </c>
      <c r="H529">
        <f t="shared" si="16"/>
        <v>128</v>
      </c>
      <c r="I529">
        <f t="shared" si="16"/>
        <v>104</v>
      </c>
      <c r="J529">
        <f t="shared" si="16"/>
        <v>187</v>
      </c>
      <c r="K529">
        <f t="shared" si="16"/>
        <v>202</v>
      </c>
      <c r="L529">
        <f t="shared" si="16"/>
        <v>203</v>
      </c>
      <c r="M529">
        <f t="shared" si="16"/>
        <v>167</v>
      </c>
      <c r="N529">
        <f t="shared" si="16"/>
        <v>174</v>
      </c>
      <c r="O529">
        <f t="shared" si="16"/>
        <v>201</v>
      </c>
      <c r="P529">
        <f t="shared" si="16"/>
        <v>194</v>
      </c>
      <c r="Q529">
        <f t="shared" si="16"/>
        <v>169</v>
      </c>
      <c r="R529">
        <f t="shared" si="16"/>
        <v>202</v>
      </c>
      <c r="S529">
        <f t="shared" si="16"/>
        <v>106</v>
      </c>
      <c r="T529">
        <f t="shared" si="16"/>
        <v>179</v>
      </c>
      <c r="U529">
        <f t="shared" si="16"/>
        <v>180</v>
      </c>
      <c r="V529">
        <f t="shared" si="16"/>
        <v>186</v>
      </c>
      <c r="W529">
        <f t="shared" si="16"/>
        <v>181</v>
      </c>
      <c r="X529">
        <f t="shared" si="16"/>
        <v>189</v>
      </c>
      <c r="Y529">
        <f t="shared" si="16"/>
        <v>208</v>
      </c>
      <c r="Z529">
        <f t="shared" si="16"/>
        <v>196</v>
      </c>
      <c r="AA529">
        <f t="shared" si="16"/>
        <v>227</v>
      </c>
      <c r="AB529">
        <f t="shared" si="16"/>
        <v>212</v>
      </c>
      <c r="AC529">
        <f t="shared" si="16"/>
        <v>177</v>
      </c>
      <c r="AD529">
        <f t="shared" si="16"/>
        <v>209</v>
      </c>
      <c r="AE529">
        <f t="shared" si="16"/>
        <v>138</v>
      </c>
      <c r="AF529">
        <f t="shared" si="16"/>
        <v>228</v>
      </c>
      <c r="AG529">
        <f t="shared" si="16"/>
        <v>221</v>
      </c>
    </row>
    <row r="530" spans="1:57" x14ac:dyDescent="0.25">
      <c r="A530" t="s">
        <v>38</v>
      </c>
      <c r="B530">
        <f>COUNTIF(B$54:B$235,"&gt;=20")</f>
        <v>8</v>
      </c>
      <c r="C530">
        <f t="shared" ref="C530:AG530" si="17">COUNTIF(C$54:C$235,"&gt;=20")</f>
        <v>9</v>
      </c>
      <c r="D530">
        <f t="shared" si="17"/>
        <v>9</v>
      </c>
      <c r="E530">
        <f t="shared" si="17"/>
        <v>7</v>
      </c>
      <c r="F530">
        <f t="shared" si="17"/>
        <v>7</v>
      </c>
      <c r="G530">
        <f t="shared" si="17"/>
        <v>8</v>
      </c>
      <c r="H530">
        <f t="shared" si="17"/>
        <v>4</v>
      </c>
      <c r="I530">
        <f t="shared" si="17"/>
        <v>3</v>
      </c>
      <c r="J530">
        <f t="shared" si="17"/>
        <v>7</v>
      </c>
      <c r="K530">
        <f t="shared" si="17"/>
        <v>14</v>
      </c>
      <c r="L530">
        <f t="shared" si="17"/>
        <v>11</v>
      </c>
      <c r="M530">
        <f t="shared" si="17"/>
        <v>8</v>
      </c>
      <c r="N530">
        <f t="shared" si="17"/>
        <v>8</v>
      </c>
      <c r="O530">
        <f t="shared" si="17"/>
        <v>10</v>
      </c>
      <c r="P530">
        <f t="shared" si="17"/>
        <v>14</v>
      </c>
      <c r="Q530">
        <f t="shared" si="17"/>
        <v>8</v>
      </c>
      <c r="R530">
        <f t="shared" si="17"/>
        <v>13</v>
      </c>
      <c r="S530">
        <f t="shared" si="17"/>
        <v>3</v>
      </c>
      <c r="T530">
        <f t="shared" si="17"/>
        <v>7</v>
      </c>
      <c r="U530">
        <f t="shared" si="17"/>
        <v>1</v>
      </c>
      <c r="V530">
        <f t="shared" si="17"/>
        <v>6</v>
      </c>
      <c r="W530">
        <f t="shared" si="17"/>
        <v>0</v>
      </c>
      <c r="X530">
        <f t="shared" si="17"/>
        <v>5</v>
      </c>
      <c r="Y530">
        <f t="shared" si="17"/>
        <v>19</v>
      </c>
      <c r="Z530">
        <f t="shared" si="17"/>
        <v>8</v>
      </c>
      <c r="AA530">
        <f t="shared" si="17"/>
        <v>22</v>
      </c>
      <c r="AB530">
        <f t="shared" si="17"/>
        <v>21</v>
      </c>
      <c r="AC530">
        <f t="shared" si="17"/>
        <v>7</v>
      </c>
      <c r="AD530">
        <f t="shared" si="17"/>
        <v>14</v>
      </c>
      <c r="AE530">
        <f t="shared" si="17"/>
        <v>10</v>
      </c>
      <c r="AF530">
        <f t="shared" si="17"/>
        <v>19</v>
      </c>
      <c r="AG530">
        <f t="shared" si="17"/>
        <v>21</v>
      </c>
      <c r="AH530" t="s">
        <v>139</v>
      </c>
    </row>
    <row r="531" spans="1:57" x14ac:dyDescent="0.25">
      <c r="A531" t="s">
        <v>39</v>
      </c>
      <c r="B531">
        <f>COUNTIF(B$419:B$511,"&gt;=20")</f>
        <v>0</v>
      </c>
      <c r="C531">
        <f t="shared" ref="C531:AG531" si="18">COUNTIF(C$419:C$511,"&gt;=20")</f>
        <v>0</v>
      </c>
      <c r="D531">
        <f t="shared" si="18"/>
        <v>0</v>
      </c>
      <c r="E531">
        <f t="shared" si="18"/>
        <v>0</v>
      </c>
      <c r="F531">
        <f t="shared" si="18"/>
        <v>0</v>
      </c>
      <c r="G531">
        <f t="shared" si="18"/>
        <v>0</v>
      </c>
      <c r="H531">
        <f t="shared" si="18"/>
        <v>0</v>
      </c>
      <c r="I531">
        <f t="shared" si="18"/>
        <v>0</v>
      </c>
      <c r="J531">
        <f t="shared" si="18"/>
        <v>1</v>
      </c>
      <c r="K531">
        <f t="shared" si="18"/>
        <v>6</v>
      </c>
      <c r="L531">
        <f t="shared" si="18"/>
        <v>5</v>
      </c>
      <c r="M531">
        <f t="shared" si="18"/>
        <v>0</v>
      </c>
      <c r="N531">
        <f t="shared" si="18"/>
        <v>0</v>
      </c>
      <c r="O531">
        <f t="shared" si="18"/>
        <v>4</v>
      </c>
      <c r="P531">
        <f t="shared" si="18"/>
        <v>3</v>
      </c>
      <c r="Q531">
        <f t="shared" si="18"/>
        <v>0</v>
      </c>
      <c r="R531">
        <f t="shared" si="18"/>
        <v>4</v>
      </c>
      <c r="S531">
        <f t="shared" si="18"/>
        <v>0</v>
      </c>
      <c r="T531">
        <f t="shared" si="18"/>
        <v>0</v>
      </c>
      <c r="U531">
        <f t="shared" si="18"/>
        <v>0</v>
      </c>
      <c r="V531">
        <f t="shared" si="18"/>
        <v>0</v>
      </c>
      <c r="W531">
        <f t="shared" si="18"/>
        <v>0</v>
      </c>
      <c r="X531">
        <f t="shared" si="18"/>
        <v>0</v>
      </c>
      <c r="Y531">
        <f t="shared" si="18"/>
        <v>5</v>
      </c>
      <c r="Z531">
        <f t="shared" si="18"/>
        <v>0</v>
      </c>
      <c r="AA531">
        <f t="shared" si="18"/>
        <v>7</v>
      </c>
      <c r="AB531">
        <f t="shared" si="18"/>
        <v>6</v>
      </c>
      <c r="AC531">
        <f t="shared" si="18"/>
        <v>0</v>
      </c>
      <c r="AD531">
        <f t="shared" si="18"/>
        <v>5</v>
      </c>
      <c r="AE531">
        <f t="shared" si="18"/>
        <v>0</v>
      </c>
      <c r="AF531">
        <f t="shared" si="18"/>
        <v>9</v>
      </c>
      <c r="AG531">
        <f t="shared" si="18"/>
        <v>6</v>
      </c>
      <c r="AH531" t="s">
        <v>140</v>
      </c>
    </row>
    <row r="532" spans="1:57" x14ac:dyDescent="0.25">
      <c r="A532" t="s">
        <v>40</v>
      </c>
      <c r="B532">
        <f>COUNTIF(B$3:B$53,"&gt;=20")</f>
        <v>51</v>
      </c>
      <c r="C532">
        <f t="shared" ref="C532:AG532" si="19">COUNTIF(C$3:C$53,"&gt;=20")</f>
        <v>51</v>
      </c>
      <c r="D532">
        <f t="shared" si="19"/>
        <v>51</v>
      </c>
      <c r="E532">
        <f t="shared" si="19"/>
        <v>51</v>
      </c>
      <c r="F532">
        <f t="shared" si="19"/>
        <v>51</v>
      </c>
      <c r="G532">
        <f t="shared" si="19"/>
        <v>51</v>
      </c>
      <c r="H532">
        <f t="shared" si="19"/>
        <v>45</v>
      </c>
      <c r="I532">
        <f t="shared" si="19"/>
        <v>24</v>
      </c>
      <c r="J532">
        <f t="shared" si="19"/>
        <v>51</v>
      </c>
      <c r="K532">
        <f t="shared" si="19"/>
        <v>51</v>
      </c>
      <c r="L532">
        <f t="shared" si="19"/>
        <v>51</v>
      </c>
      <c r="M532">
        <f t="shared" si="19"/>
        <v>51</v>
      </c>
      <c r="N532">
        <f t="shared" si="19"/>
        <v>51</v>
      </c>
      <c r="O532">
        <f t="shared" si="19"/>
        <v>51</v>
      </c>
      <c r="P532">
        <f t="shared" si="19"/>
        <v>51</v>
      </c>
      <c r="Q532">
        <f t="shared" si="19"/>
        <v>51</v>
      </c>
      <c r="R532">
        <f t="shared" si="19"/>
        <v>51</v>
      </c>
      <c r="S532">
        <f t="shared" si="19"/>
        <v>29</v>
      </c>
      <c r="T532">
        <f t="shared" si="19"/>
        <v>51</v>
      </c>
      <c r="U532">
        <f t="shared" si="19"/>
        <v>39</v>
      </c>
      <c r="V532">
        <f t="shared" si="19"/>
        <v>46</v>
      </c>
      <c r="W532">
        <f t="shared" si="19"/>
        <v>37</v>
      </c>
      <c r="X532">
        <f t="shared" si="19"/>
        <v>44</v>
      </c>
      <c r="Y532">
        <f t="shared" si="19"/>
        <v>51</v>
      </c>
      <c r="Z532">
        <f t="shared" si="19"/>
        <v>51</v>
      </c>
      <c r="AA532">
        <f t="shared" si="19"/>
        <v>51</v>
      </c>
      <c r="AB532">
        <f t="shared" si="19"/>
        <v>51</v>
      </c>
      <c r="AC532">
        <f t="shared" si="19"/>
        <v>51</v>
      </c>
      <c r="AD532">
        <f t="shared" si="19"/>
        <v>51</v>
      </c>
      <c r="AE532">
        <f t="shared" si="19"/>
        <v>51</v>
      </c>
      <c r="AF532">
        <f t="shared" si="19"/>
        <v>51</v>
      </c>
      <c r="AG532">
        <f t="shared" si="19"/>
        <v>51</v>
      </c>
      <c r="AH532" t="s">
        <v>141</v>
      </c>
    </row>
    <row r="533" spans="1:57" x14ac:dyDescent="0.25">
      <c r="A533" t="s">
        <v>41</v>
      </c>
      <c r="B533">
        <f>COUNTIF(B$236:B$418,"&gt;=20")</f>
        <v>95</v>
      </c>
      <c r="C533">
        <f t="shared" ref="C533:AG533" si="20">COUNTIF(C$236:C$418,"&gt;=20")</f>
        <v>113</v>
      </c>
      <c r="D533">
        <f t="shared" si="20"/>
        <v>92</v>
      </c>
      <c r="E533">
        <f t="shared" si="20"/>
        <v>86</v>
      </c>
      <c r="F533">
        <f t="shared" si="20"/>
        <v>102</v>
      </c>
      <c r="G533">
        <f t="shared" si="20"/>
        <v>107</v>
      </c>
      <c r="H533">
        <f t="shared" si="20"/>
        <v>79</v>
      </c>
      <c r="I533">
        <f t="shared" si="20"/>
        <v>77</v>
      </c>
      <c r="J533">
        <f t="shared" si="20"/>
        <v>128</v>
      </c>
      <c r="K533">
        <f t="shared" si="20"/>
        <v>131</v>
      </c>
      <c r="L533">
        <f t="shared" si="20"/>
        <v>136</v>
      </c>
      <c r="M533">
        <f t="shared" si="20"/>
        <v>108</v>
      </c>
      <c r="N533">
        <f t="shared" si="20"/>
        <v>115</v>
      </c>
      <c r="O533">
        <f t="shared" si="20"/>
        <v>136</v>
      </c>
      <c r="P533">
        <f t="shared" si="20"/>
        <v>126</v>
      </c>
      <c r="Q533">
        <f t="shared" si="20"/>
        <v>110</v>
      </c>
      <c r="R533">
        <f t="shared" si="20"/>
        <v>134</v>
      </c>
      <c r="S533">
        <f t="shared" si="20"/>
        <v>74</v>
      </c>
      <c r="T533">
        <f t="shared" si="20"/>
        <v>121</v>
      </c>
      <c r="U533">
        <f t="shared" si="20"/>
        <v>140</v>
      </c>
      <c r="V533">
        <f t="shared" si="20"/>
        <v>134</v>
      </c>
      <c r="W533">
        <f t="shared" si="20"/>
        <v>144</v>
      </c>
      <c r="X533">
        <f t="shared" si="20"/>
        <v>140</v>
      </c>
      <c r="Y533">
        <f t="shared" si="20"/>
        <v>133</v>
      </c>
      <c r="Z533">
        <f t="shared" si="20"/>
        <v>137</v>
      </c>
      <c r="AA533">
        <f t="shared" si="20"/>
        <v>147</v>
      </c>
      <c r="AB533">
        <f t="shared" si="20"/>
        <v>134</v>
      </c>
      <c r="AC533">
        <f t="shared" si="20"/>
        <v>119</v>
      </c>
      <c r="AD533">
        <f t="shared" si="20"/>
        <v>139</v>
      </c>
      <c r="AE533">
        <f t="shared" si="20"/>
        <v>77</v>
      </c>
      <c r="AF533">
        <f t="shared" si="20"/>
        <v>149</v>
      </c>
      <c r="AG533">
        <f t="shared" si="20"/>
        <v>143</v>
      </c>
      <c r="AH533" t="s">
        <v>142</v>
      </c>
    </row>
    <row r="534" spans="1:57" x14ac:dyDescent="0.25">
      <c r="A534" t="s">
        <v>42</v>
      </c>
      <c r="B534">
        <f>SUM(B530,B531)</f>
        <v>8</v>
      </c>
      <c r="C534">
        <f t="shared" ref="C534:AG534" si="21">SUM(C530,C531)</f>
        <v>9</v>
      </c>
      <c r="D534">
        <f t="shared" si="21"/>
        <v>9</v>
      </c>
      <c r="E534">
        <f t="shared" si="21"/>
        <v>7</v>
      </c>
      <c r="F534">
        <f t="shared" si="21"/>
        <v>7</v>
      </c>
      <c r="G534">
        <f t="shared" si="21"/>
        <v>8</v>
      </c>
      <c r="H534">
        <f t="shared" si="21"/>
        <v>4</v>
      </c>
      <c r="I534">
        <f t="shared" si="21"/>
        <v>3</v>
      </c>
      <c r="J534">
        <f t="shared" si="21"/>
        <v>8</v>
      </c>
      <c r="K534">
        <f t="shared" si="21"/>
        <v>20</v>
      </c>
      <c r="L534">
        <f t="shared" si="21"/>
        <v>16</v>
      </c>
      <c r="M534">
        <f t="shared" si="21"/>
        <v>8</v>
      </c>
      <c r="N534">
        <f t="shared" si="21"/>
        <v>8</v>
      </c>
      <c r="O534">
        <f t="shared" si="21"/>
        <v>14</v>
      </c>
      <c r="P534">
        <f t="shared" si="21"/>
        <v>17</v>
      </c>
      <c r="Q534">
        <f t="shared" si="21"/>
        <v>8</v>
      </c>
      <c r="R534">
        <f t="shared" si="21"/>
        <v>17</v>
      </c>
      <c r="S534">
        <f t="shared" si="21"/>
        <v>3</v>
      </c>
      <c r="T534">
        <f t="shared" si="21"/>
        <v>7</v>
      </c>
      <c r="U534">
        <f t="shared" si="21"/>
        <v>1</v>
      </c>
      <c r="V534">
        <f t="shared" si="21"/>
        <v>6</v>
      </c>
      <c r="W534">
        <f t="shared" si="21"/>
        <v>0</v>
      </c>
      <c r="X534">
        <f t="shared" si="21"/>
        <v>5</v>
      </c>
      <c r="Y534">
        <f t="shared" si="21"/>
        <v>24</v>
      </c>
      <c r="Z534">
        <f t="shared" si="21"/>
        <v>8</v>
      </c>
      <c r="AA534">
        <f t="shared" si="21"/>
        <v>29</v>
      </c>
      <c r="AB534">
        <f t="shared" si="21"/>
        <v>27</v>
      </c>
      <c r="AC534">
        <f t="shared" si="21"/>
        <v>7</v>
      </c>
      <c r="AD534">
        <f t="shared" si="21"/>
        <v>19</v>
      </c>
      <c r="AE534">
        <f t="shared" si="21"/>
        <v>10</v>
      </c>
      <c r="AF534">
        <f t="shared" si="21"/>
        <v>28</v>
      </c>
      <c r="AG534">
        <f t="shared" si="21"/>
        <v>27</v>
      </c>
    </row>
    <row r="535" spans="1:57" x14ac:dyDescent="0.25">
      <c r="A535" t="s">
        <v>43</v>
      </c>
      <c r="B535">
        <f>SUM(B532,B533)</f>
        <v>146</v>
      </c>
      <c r="C535">
        <f t="shared" ref="C535:AG535" si="22">SUM(C532,C533)</f>
        <v>164</v>
      </c>
      <c r="D535">
        <f t="shared" si="22"/>
        <v>143</v>
      </c>
      <c r="E535">
        <f t="shared" si="22"/>
        <v>137</v>
      </c>
      <c r="F535">
        <f t="shared" si="22"/>
        <v>153</v>
      </c>
      <c r="G535">
        <f t="shared" si="22"/>
        <v>158</v>
      </c>
      <c r="H535">
        <f t="shared" si="22"/>
        <v>124</v>
      </c>
      <c r="I535">
        <f t="shared" si="22"/>
        <v>101</v>
      </c>
      <c r="J535">
        <f t="shared" si="22"/>
        <v>179</v>
      </c>
      <c r="K535">
        <f t="shared" si="22"/>
        <v>182</v>
      </c>
      <c r="L535">
        <f t="shared" si="22"/>
        <v>187</v>
      </c>
      <c r="M535">
        <f t="shared" si="22"/>
        <v>159</v>
      </c>
      <c r="N535">
        <f t="shared" si="22"/>
        <v>166</v>
      </c>
      <c r="O535">
        <f t="shared" si="22"/>
        <v>187</v>
      </c>
      <c r="P535">
        <f t="shared" si="22"/>
        <v>177</v>
      </c>
      <c r="Q535">
        <f t="shared" si="22"/>
        <v>161</v>
      </c>
      <c r="R535">
        <f t="shared" si="22"/>
        <v>185</v>
      </c>
      <c r="S535">
        <f t="shared" si="22"/>
        <v>103</v>
      </c>
      <c r="T535">
        <f t="shared" si="22"/>
        <v>172</v>
      </c>
      <c r="U535">
        <f t="shared" si="22"/>
        <v>179</v>
      </c>
      <c r="V535">
        <f t="shared" si="22"/>
        <v>180</v>
      </c>
      <c r="W535">
        <f t="shared" si="22"/>
        <v>181</v>
      </c>
      <c r="X535">
        <f t="shared" si="22"/>
        <v>184</v>
      </c>
      <c r="Y535">
        <f t="shared" si="22"/>
        <v>184</v>
      </c>
      <c r="Z535">
        <f t="shared" si="22"/>
        <v>188</v>
      </c>
      <c r="AA535">
        <f t="shared" si="22"/>
        <v>198</v>
      </c>
      <c r="AB535">
        <f t="shared" si="22"/>
        <v>185</v>
      </c>
      <c r="AC535">
        <f t="shared" si="22"/>
        <v>170</v>
      </c>
      <c r="AD535">
        <f t="shared" si="22"/>
        <v>190</v>
      </c>
      <c r="AE535">
        <f t="shared" si="22"/>
        <v>128</v>
      </c>
      <c r="AF535">
        <f t="shared" si="22"/>
        <v>200</v>
      </c>
      <c r="AG535">
        <f t="shared" si="22"/>
        <v>194</v>
      </c>
    </row>
    <row r="538" spans="1:57" x14ac:dyDescent="0.25">
      <c r="D538" t="s">
        <v>71</v>
      </c>
      <c r="F538" t="s">
        <v>77</v>
      </c>
      <c r="S538" t="s">
        <v>67</v>
      </c>
      <c r="AA538" t="s">
        <v>67</v>
      </c>
      <c r="AE538" t="s">
        <v>67</v>
      </c>
      <c r="AI538" t="s">
        <v>67</v>
      </c>
      <c r="AQ538" t="s">
        <v>67</v>
      </c>
      <c r="AY538" t="s">
        <v>67</v>
      </c>
    </row>
    <row r="539" spans="1:57" x14ac:dyDescent="0.25">
      <c r="F539" t="s">
        <v>45</v>
      </c>
      <c r="S539" t="s">
        <v>46</v>
      </c>
      <c r="AA539" t="s">
        <v>47</v>
      </c>
      <c r="AE539" t="s">
        <v>48</v>
      </c>
      <c r="AI539" t="s">
        <v>46</v>
      </c>
      <c r="AK539" t="s">
        <v>49</v>
      </c>
      <c r="AL539" t="s">
        <v>33</v>
      </c>
      <c r="AM539" t="s">
        <v>34</v>
      </c>
      <c r="AN539" t="s">
        <v>35</v>
      </c>
      <c r="AO539" t="s">
        <v>36</v>
      </c>
      <c r="AQ539" t="s">
        <v>47</v>
      </c>
      <c r="AS539" t="s">
        <v>49</v>
      </c>
      <c r="AT539" t="s">
        <v>33</v>
      </c>
      <c r="AU539" t="s">
        <v>34</v>
      </c>
      <c r="AV539" t="s">
        <v>35</v>
      </c>
      <c r="AW539" t="s">
        <v>36</v>
      </c>
      <c r="AY539" t="s">
        <v>48</v>
      </c>
      <c r="BA539" t="s">
        <v>49</v>
      </c>
      <c r="BB539" t="s">
        <v>33</v>
      </c>
      <c r="BC539" t="s">
        <v>34</v>
      </c>
      <c r="BD539" t="s">
        <v>35</v>
      </c>
      <c r="BE539" t="s">
        <v>36</v>
      </c>
    </row>
    <row r="540" spans="1:57" x14ac:dyDescent="0.25">
      <c r="F540" t="s">
        <v>50</v>
      </c>
      <c r="M540" t="s">
        <v>51</v>
      </c>
      <c r="S540" t="s">
        <v>52</v>
      </c>
      <c r="U540">
        <f>COUNTIF(B18:AG18,"&lt;&gt;")</f>
        <v>32</v>
      </c>
      <c r="AA540" t="s">
        <v>52</v>
      </c>
      <c r="AC540">
        <f>COUNTIF(B18:AG18,"&lt;&gt;")</f>
        <v>32</v>
      </c>
      <c r="AE540" t="s">
        <v>52</v>
      </c>
      <c r="AG540">
        <f>COUNTIF(B18:AG18,"&lt;&gt;")</f>
        <v>32</v>
      </c>
      <c r="AI540" t="s">
        <v>52</v>
      </c>
      <c r="AK540">
        <f>COUNTIF($B$2:$AG$2,"&lt;&gt;")</f>
        <v>32</v>
      </c>
      <c r="AL540">
        <f>COUNTIF($B$2:$I$2,"&lt;&gt;")</f>
        <v>8</v>
      </c>
      <c r="AM540">
        <f>COUNTIF($J$2:$R$2,"&lt;&gt;")</f>
        <v>9</v>
      </c>
      <c r="AN540">
        <f>COUNTIF($S$2:$X$2,"&lt;&gt;")</f>
        <v>6</v>
      </c>
      <c r="AO540">
        <f>COUNTIF($Y$2:$AG$2,"&lt;&gt;")</f>
        <v>9</v>
      </c>
      <c r="AQ540" t="s">
        <v>52</v>
      </c>
      <c r="AS540">
        <f>COUNTIF($B$2:$AG$2,"&lt;&gt;")</f>
        <v>32</v>
      </c>
      <c r="AT540">
        <f>COUNTIF($B$2:$I$2,"&lt;&gt;")</f>
        <v>8</v>
      </c>
      <c r="AU540">
        <f>COUNTIF($J$2:$R$2,"&lt;&gt;")</f>
        <v>9</v>
      </c>
      <c r="AV540">
        <f>COUNTIF($S$2:$X$2,"&lt;&gt;")</f>
        <v>6</v>
      </c>
      <c r="AW540">
        <f>COUNTIF($Y$2:$AG$2,"&lt;&gt;")</f>
        <v>9</v>
      </c>
      <c r="AY540" t="s">
        <v>52</v>
      </c>
      <c r="BA540">
        <f>COUNTIF($B$2:$AG$2,"&lt;&gt;")</f>
        <v>32</v>
      </c>
      <c r="BB540">
        <f>COUNTIF($B$2:$I$2,"&lt;&gt;")</f>
        <v>8</v>
      </c>
      <c r="BC540">
        <f>COUNTIF($J$2:$R$2,"&lt;&gt;")</f>
        <v>9</v>
      </c>
      <c r="BD540">
        <f>COUNTIF($S$2:$X$2,"&lt;&gt;")</f>
        <v>6</v>
      </c>
      <c r="BE540">
        <f>COUNTIF($Y$2:$AG$2,"&lt;&gt;")</f>
        <v>9</v>
      </c>
    </row>
    <row r="541" spans="1:57" x14ac:dyDescent="0.25">
      <c r="F541" t="s">
        <v>53</v>
      </c>
      <c r="H541" t="s">
        <v>134</v>
      </c>
      <c r="J541">
        <f>COUNTIF($B$54:$B$235,"&lt;&gt;")</f>
        <v>182</v>
      </c>
      <c r="M541" t="s">
        <v>54</v>
      </c>
      <c r="S541" t="s">
        <v>55</v>
      </c>
      <c r="U541">
        <f>COUNTIF($A$3:$A$511,"&lt;&gt;")</f>
        <v>509</v>
      </c>
      <c r="AA541" t="s">
        <v>55</v>
      </c>
      <c r="AC541">
        <f>SUM($J$524:$J$525)</f>
        <v>275</v>
      </c>
      <c r="AE541" t="s">
        <v>55</v>
      </c>
      <c r="AG541">
        <f>SUM($Q$525:$Q$526)</f>
        <v>234</v>
      </c>
      <c r="AI541" t="s">
        <v>55</v>
      </c>
      <c r="AK541">
        <f>COUNTIF($A$3:$A$511,"&lt;&gt;")</f>
        <v>509</v>
      </c>
      <c r="AL541">
        <f t="shared" ref="AL541:AO541" si="23">COUNTIF($A$3:$A$511,"&lt;&gt;")</f>
        <v>509</v>
      </c>
      <c r="AM541">
        <f t="shared" si="23"/>
        <v>509</v>
      </c>
      <c r="AN541">
        <f t="shared" si="23"/>
        <v>509</v>
      </c>
      <c r="AO541">
        <f t="shared" si="23"/>
        <v>509</v>
      </c>
      <c r="AQ541" t="s">
        <v>55</v>
      </c>
      <c r="AS541">
        <f>SUM($J$524:$J$525)</f>
        <v>275</v>
      </c>
      <c r="AT541">
        <f t="shared" ref="AT541:AW541" si="24">SUM($J$524:$J$525)</f>
        <v>275</v>
      </c>
      <c r="AU541">
        <f t="shared" si="24"/>
        <v>275</v>
      </c>
      <c r="AV541">
        <f t="shared" si="24"/>
        <v>275</v>
      </c>
      <c r="AW541">
        <f t="shared" si="24"/>
        <v>275</v>
      </c>
      <c r="AY541" t="s">
        <v>55</v>
      </c>
      <c r="BA541">
        <f>SUM($Q$525:$Q$526)</f>
        <v>234</v>
      </c>
      <c r="BB541">
        <f t="shared" ref="BB541:BE541" si="25">SUM($Q$525:$Q$526)</f>
        <v>234</v>
      </c>
      <c r="BC541">
        <f t="shared" si="25"/>
        <v>234</v>
      </c>
      <c r="BD541">
        <f t="shared" si="25"/>
        <v>234</v>
      </c>
      <c r="BE541">
        <f t="shared" si="25"/>
        <v>234</v>
      </c>
    </row>
    <row r="542" spans="1:57" x14ac:dyDescent="0.25">
      <c r="F542" t="s">
        <v>56</v>
      </c>
      <c r="H542" t="s">
        <v>135</v>
      </c>
      <c r="J542">
        <f>COUNTIF($B$419:$B$511,"&lt;&gt;")</f>
        <v>93</v>
      </c>
      <c r="M542" t="s">
        <v>57</v>
      </c>
      <c r="O542" t="s">
        <v>137</v>
      </c>
      <c r="Q542">
        <f>COUNTIF($B$3:$B$53,"&lt;&gt;")</f>
        <v>51</v>
      </c>
      <c r="S542" t="s">
        <v>58</v>
      </c>
      <c r="U542">
        <f>U541*U540</f>
        <v>16288</v>
      </c>
      <c r="V542" t="s">
        <v>59</v>
      </c>
      <c r="AA542" t="s">
        <v>58</v>
      </c>
      <c r="AC542">
        <f>AC541*AC540</f>
        <v>8800</v>
      </c>
      <c r="AE542" t="s">
        <v>58</v>
      </c>
      <c r="AG542">
        <f>AG540*AG541</f>
        <v>7488</v>
      </c>
      <c r="AI542" t="s">
        <v>58</v>
      </c>
      <c r="AK542">
        <f>AK541*AK540</f>
        <v>16288</v>
      </c>
      <c r="AL542">
        <f t="shared" ref="AL542:AO542" si="26">AL541*AL540</f>
        <v>4072</v>
      </c>
      <c r="AM542">
        <f t="shared" si="26"/>
        <v>4581</v>
      </c>
      <c r="AN542">
        <f t="shared" si="26"/>
        <v>3054</v>
      </c>
      <c r="AO542">
        <f t="shared" si="26"/>
        <v>4581</v>
      </c>
      <c r="AQ542" t="s">
        <v>58</v>
      </c>
      <c r="AS542">
        <f>AS541*AS540</f>
        <v>8800</v>
      </c>
      <c r="AT542">
        <f t="shared" ref="AT542:AW542" si="27">AT541*AT540</f>
        <v>2200</v>
      </c>
      <c r="AU542">
        <f t="shared" si="27"/>
        <v>2475</v>
      </c>
      <c r="AV542">
        <f t="shared" si="27"/>
        <v>1650</v>
      </c>
      <c r="AW542">
        <f t="shared" si="27"/>
        <v>2475</v>
      </c>
      <c r="AY542" t="s">
        <v>58</v>
      </c>
      <c r="BA542">
        <f>BA541*BA540</f>
        <v>7488</v>
      </c>
      <c r="BB542">
        <f t="shared" ref="BB542:BE542" si="28">BB541*BB540</f>
        <v>1872</v>
      </c>
      <c r="BC542">
        <f t="shared" si="28"/>
        <v>2106</v>
      </c>
      <c r="BD542">
        <f t="shared" si="28"/>
        <v>1404</v>
      </c>
      <c r="BE542">
        <f t="shared" si="28"/>
        <v>2106</v>
      </c>
    </row>
    <row r="543" spans="1:57" x14ac:dyDescent="0.25">
      <c r="F543" t="s">
        <v>60</v>
      </c>
      <c r="H543" t="s">
        <v>136</v>
      </c>
      <c r="J543">
        <f>COUNTIF($A$737:$A$798,"&lt;&gt;")</f>
        <v>0</v>
      </c>
      <c r="M543" t="s">
        <v>61</v>
      </c>
      <c r="O543" t="s">
        <v>138</v>
      </c>
      <c r="Q543">
        <f>COUNTIF($B$236:$B$418,"&lt;&gt;")</f>
        <v>183</v>
      </c>
      <c r="S543" t="s">
        <v>76</v>
      </c>
      <c r="U543">
        <f>SUM(B529:AG529)</f>
        <v>5717</v>
      </c>
      <c r="V543" t="s">
        <v>63</v>
      </c>
      <c r="AA543" t="s">
        <v>76</v>
      </c>
      <c r="AC543">
        <f>SUM(B534:AG534)</f>
        <v>372</v>
      </c>
      <c r="AE543" t="s">
        <v>76</v>
      </c>
      <c r="AG543">
        <f>SUM(B535:AG535)</f>
        <v>5345</v>
      </c>
      <c r="AI543" t="s">
        <v>76</v>
      </c>
      <c r="AK543">
        <f>SUM(B529:AG529)</f>
        <v>5717</v>
      </c>
      <c r="AL543">
        <f>SUM(B529:I529)</f>
        <v>1181</v>
      </c>
      <c r="AM543">
        <f>SUM(J529:R529)</f>
        <v>1699</v>
      </c>
      <c r="AN543">
        <f>SUM(S529:X529)</f>
        <v>1021</v>
      </c>
      <c r="AO543">
        <f>SUM(Y529:AG529)</f>
        <v>1816</v>
      </c>
      <c r="AQ543" t="s">
        <v>76</v>
      </c>
      <c r="AS543">
        <f>SUM(B534:AG534)</f>
        <v>372</v>
      </c>
      <c r="AT543">
        <f>SUM(B534:I534)</f>
        <v>55</v>
      </c>
      <c r="AU543">
        <f>SUM(J534:R534)</f>
        <v>116</v>
      </c>
      <c r="AV543">
        <f>SUM(S534:X534)</f>
        <v>22</v>
      </c>
      <c r="AW543">
        <f>SUM(Y534:AG534)</f>
        <v>179</v>
      </c>
      <c r="AY543" t="s">
        <v>76</v>
      </c>
      <c r="BA543">
        <f>SUM($B535:$AG535)</f>
        <v>5345</v>
      </c>
      <c r="BB543">
        <f>SUM(B535:I535)</f>
        <v>1126</v>
      </c>
      <c r="BC543">
        <f>SUM(J535:R535)</f>
        <v>1583</v>
      </c>
      <c r="BD543">
        <f>SUM(S535:X535)</f>
        <v>999</v>
      </c>
      <c r="BE543">
        <f>SUM(Y535:AG535)</f>
        <v>1637</v>
      </c>
    </row>
    <row r="544" spans="1:57" x14ac:dyDescent="0.25">
      <c r="S544" t="s">
        <v>64</v>
      </c>
      <c r="U544">
        <f>$U543/$U542</f>
        <v>0.35099459724950882</v>
      </c>
      <c r="AA544" t="s">
        <v>65</v>
      </c>
      <c r="AC544">
        <f>AC543/AC542</f>
        <v>4.2272727272727274E-2</v>
      </c>
      <c r="AE544" t="s">
        <v>66</v>
      </c>
      <c r="AG544">
        <f>AG543/AG542</f>
        <v>0.71380876068376065</v>
      </c>
      <c r="AI544" t="s">
        <v>64</v>
      </c>
      <c r="AK544">
        <f>AK543/AK542</f>
        <v>0.35099459724950882</v>
      </c>
      <c r="AL544">
        <f t="shared" ref="AL544:AO544" si="29">AL543/AL542</f>
        <v>0.29002946954813358</v>
      </c>
      <c r="AM544">
        <f t="shared" si="29"/>
        <v>0.37087972058502511</v>
      </c>
      <c r="AN544">
        <f t="shared" si="29"/>
        <v>0.3343156516044532</v>
      </c>
      <c r="AO544">
        <f t="shared" si="29"/>
        <v>0.39641999563414104</v>
      </c>
      <c r="AQ544" t="s">
        <v>65</v>
      </c>
      <c r="AS544">
        <f>AS543/AS542</f>
        <v>4.2272727272727274E-2</v>
      </c>
      <c r="AT544">
        <f t="shared" ref="AT544:AW544" si="30">AT543/AT542</f>
        <v>2.5000000000000001E-2</v>
      </c>
      <c r="AU544">
        <f t="shared" si="30"/>
        <v>4.6868686868686872E-2</v>
      </c>
      <c r="AV544">
        <f t="shared" si="30"/>
        <v>1.3333333333333334E-2</v>
      </c>
      <c r="AW544">
        <f t="shared" si="30"/>
        <v>7.2323232323232317E-2</v>
      </c>
      <c r="AY544" t="s">
        <v>66</v>
      </c>
      <c r="BA544">
        <f>BA543/BA542</f>
        <v>0.71380876068376065</v>
      </c>
      <c r="BB544">
        <f t="shared" ref="BB544:BE544" si="31">BB543/BB542</f>
        <v>0.60149572649572647</v>
      </c>
      <c r="BC544">
        <f t="shared" si="31"/>
        <v>0.75166191832858498</v>
      </c>
      <c r="BD544">
        <f t="shared" si="31"/>
        <v>0.71153846153846156</v>
      </c>
      <c r="BE544">
        <f t="shared" si="31"/>
        <v>0.77730294396961064</v>
      </c>
    </row>
    <row r="546" spans="1:57" x14ac:dyDescent="0.25">
      <c r="A546" t="s">
        <v>37</v>
      </c>
      <c r="B546">
        <f>COUNTIF(B$3:B$511,"&gt;=23")</f>
        <v>15</v>
      </c>
      <c r="C546">
        <f t="shared" ref="C546:AG546" si="32">COUNTIF(C$3:C$511,"&gt;=23")</f>
        <v>15</v>
      </c>
      <c r="D546">
        <f t="shared" si="32"/>
        <v>12</v>
      </c>
      <c r="E546">
        <f t="shared" si="32"/>
        <v>12</v>
      </c>
      <c r="F546">
        <f t="shared" si="32"/>
        <v>4</v>
      </c>
      <c r="G546">
        <f t="shared" si="32"/>
        <v>6</v>
      </c>
      <c r="H546">
        <f t="shared" si="32"/>
        <v>0</v>
      </c>
      <c r="I546">
        <f t="shared" si="32"/>
        <v>0</v>
      </c>
      <c r="J546">
        <f t="shared" si="32"/>
        <v>96</v>
      </c>
      <c r="K546">
        <f t="shared" si="32"/>
        <v>75</v>
      </c>
      <c r="L546">
        <f t="shared" si="32"/>
        <v>102</v>
      </c>
      <c r="M546">
        <f t="shared" si="32"/>
        <v>9</v>
      </c>
      <c r="N546">
        <f t="shared" si="32"/>
        <v>13</v>
      </c>
      <c r="O546">
        <f t="shared" si="32"/>
        <v>87</v>
      </c>
      <c r="P546">
        <f t="shared" si="32"/>
        <v>63</v>
      </c>
      <c r="Q546">
        <f t="shared" si="32"/>
        <v>10</v>
      </c>
      <c r="R546">
        <f t="shared" si="32"/>
        <v>84</v>
      </c>
      <c r="S546">
        <f t="shared" si="32"/>
        <v>7</v>
      </c>
      <c r="T546">
        <f t="shared" si="32"/>
        <v>39</v>
      </c>
      <c r="U546">
        <f t="shared" si="32"/>
        <v>82</v>
      </c>
      <c r="V546">
        <f t="shared" si="32"/>
        <v>57</v>
      </c>
      <c r="W546">
        <f t="shared" si="32"/>
        <v>77</v>
      </c>
      <c r="X546">
        <f t="shared" si="32"/>
        <v>79</v>
      </c>
      <c r="Y546">
        <f t="shared" si="32"/>
        <v>142</v>
      </c>
      <c r="Z546">
        <f t="shared" si="32"/>
        <v>101</v>
      </c>
      <c r="AA546">
        <f t="shared" si="32"/>
        <v>163</v>
      </c>
      <c r="AB546">
        <f t="shared" si="32"/>
        <v>141</v>
      </c>
      <c r="AC546">
        <f t="shared" si="32"/>
        <v>100</v>
      </c>
      <c r="AD546">
        <f t="shared" si="32"/>
        <v>116</v>
      </c>
      <c r="AE546">
        <f t="shared" si="32"/>
        <v>42</v>
      </c>
      <c r="AF546">
        <f t="shared" si="32"/>
        <v>166</v>
      </c>
      <c r="AG546">
        <f t="shared" si="32"/>
        <v>146</v>
      </c>
    </row>
    <row r="547" spans="1:57" x14ac:dyDescent="0.25">
      <c r="A547" t="s">
        <v>38</v>
      </c>
      <c r="B547">
        <f>COUNTIF(B$54:B$235,"&gt;=23")</f>
        <v>0</v>
      </c>
      <c r="C547">
        <f t="shared" ref="C547:AG547" si="33">COUNTIF(C$54:C$235,"&gt;=23")</f>
        <v>0</v>
      </c>
      <c r="D547">
        <f t="shared" si="33"/>
        <v>0</v>
      </c>
      <c r="E547">
        <f t="shared" si="33"/>
        <v>0</v>
      </c>
      <c r="F547">
        <f t="shared" si="33"/>
        <v>0</v>
      </c>
      <c r="G547">
        <f t="shared" si="33"/>
        <v>0</v>
      </c>
      <c r="H547">
        <f t="shared" si="33"/>
        <v>0</v>
      </c>
      <c r="I547">
        <f t="shared" si="33"/>
        <v>0</v>
      </c>
      <c r="J547">
        <f t="shared" si="33"/>
        <v>0</v>
      </c>
      <c r="K547">
        <f t="shared" si="33"/>
        <v>0</v>
      </c>
      <c r="L547">
        <f t="shared" si="33"/>
        <v>0</v>
      </c>
      <c r="M547">
        <f t="shared" si="33"/>
        <v>0</v>
      </c>
      <c r="N547">
        <f t="shared" si="33"/>
        <v>0</v>
      </c>
      <c r="O547">
        <f t="shared" si="33"/>
        <v>0</v>
      </c>
      <c r="P547">
        <f t="shared" si="33"/>
        <v>0</v>
      </c>
      <c r="Q547">
        <f t="shared" si="33"/>
        <v>0</v>
      </c>
      <c r="R547">
        <f t="shared" si="33"/>
        <v>0</v>
      </c>
      <c r="S547">
        <f t="shared" si="33"/>
        <v>0</v>
      </c>
      <c r="T547">
        <f t="shared" si="33"/>
        <v>0</v>
      </c>
      <c r="U547">
        <f t="shared" si="33"/>
        <v>0</v>
      </c>
      <c r="V547">
        <f t="shared" si="33"/>
        <v>0</v>
      </c>
      <c r="W547">
        <f t="shared" si="33"/>
        <v>0</v>
      </c>
      <c r="X547">
        <f t="shared" si="33"/>
        <v>0</v>
      </c>
      <c r="Y547">
        <f t="shared" si="33"/>
        <v>1</v>
      </c>
      <c r="Z547">
        <f t="shared" si="33"/>
        <v>0</v>
      </c>
      <c r="AA547">
        <f t="shared" si="33"/>
        <v>3</v>
      </c>
      <c r="AB547">
        <f t="shared" si="33"/>
        <v>0</v>
      </c>
      <c r="AC547">
        <f t="shared" si="33"/>
        <v>0</v>
      </c>
      <c r="AD547">
        <f t="shared" si="33"/>
        <v>0</v>
      </c>
      <c r="AE547">
        <f t="shared" si="33"/>
        <v>0</v>
      </c>
      <c r="AF547">
        <f t="shared" si="33"/>
        <v>8</v>
      </c>
      <c r="AG547">
        <f t="shared" si="33"/>
        <v>0</v>
      </c>
      <c r="AH547" t="s">
        <v>139</v>
      </c>
    </row>
    <row r="548" spans="1:57" x14ac:dyDescent="0.25">
      <c r="A548" t="s">
        <v>39</v>
      </c>
      <c r="B548">
        <f>COUNTIF(B$419:B$511,"&gt;=23")</f>
        <v>0</v>
      </c>
      <c r="C548">
        <f t="shared" ref="C548:AG548" si="34">COUNTIF(C$419:C$511,"&gt;=23")</f>
        <v>0</v>
      </c>
      <c r="D548">
        <f t="shared" si="34"/>
        <v>0</v>
      </c>
      <c r="E548">
        <f t="shared" si="34"/>
        <v>0</v>
      </c>
      <c r="F548">
        <f t="shared" si="34"/>
        <v>0</v>
      </c>
      <c r="G548">
        <f t="shared" si="34"/>
        <v>0</v>
      </c>
      <c r="H548">
        <f t="shared" si="34"/>
        <v>0</v>
      </c>
      <c r="I548">
        <f t="shared" si="34"/>
        <v>0</v>
      </c>
      <c r="J548">
        <f t="shared" si="34"/>
        <v>0</v>
      </c>
      <c r="K548">
        <f t="shared" si="34"/>
        <v>0</v>
      </c>
      <c r="L548">
        <f t="shared" si="34"/>
        <v>0</v>
      </c>
      <c r="M548">
        <f t="shared" si="34"/>
        <v>0</v>
      </c>
      <c r="N548">
        <f t="shared" si="34"/>
        <v>0</v>
      </c>
      <c r="O548">
        <f t="shared" si="34"/>
        <v>0</v>
      </c>
      <c r="P548">
        <f t="shared" si="34"/>
        <v>0</v>
      </c>
      <c r="Q548">
        <f t="shared" si="34"/>
        <v>0</v>
      </c>
      <c r="R548">
        <f t="shared" si="34"/>
        <v>0</v>
      </c>
      <c r="S548">
        <f t="shared" si="34"/>
        <v>0</v>
      </c>
      <c r="T548">
        <f t="shared" si="34"/>
        <v>0</v>
      </c>
      <c r="U548">
        <f t="shared" si="34"/>
        <v>0</v>
      </c>
      <c r="V548">
        <f t="shared" si="34"/>
        <v>0</v>
      </c>
      <c r="W548">
        <f t="shared" si="34"/>
        <v>0</v>
      </c>
      <c r="X548">
        <f t="shared" si="34"/>
        <v>0</v>
      </c>
      <c r="Y548">
        <f t="shared" si="34"/>
        <v>0</v>
      </c>
      <c r="Z548">
        <f t="shared" si="34"/>
        <v>0</v>
      </c>
      <c r="AA548">
        <f t="shared" si="34"/>
        <v>0</v>
      </c>
      <c r="AB548">
        <f t="shared" si="34"/>
        <v>0</v>
      </c>
      <c r="AC548">
        <f t="shared" si="34"/>
        <v>0</v>
      </c>
      <c r="AD548">
        <f t="shared" si="34"/>
        <v>0</v>
      </c>
      <c r="AE548">
        <f t="shared" si="34"/>
        <v>0</v>
      </c>
      <c r="AF548">
        <f t="shared" si="34"/>
        <v>0</v>
      </c>
      <c r="AG548">
        <f t="shared" si="34"/>
        <v>0</v>
      </c>
      <c r="AH548" t="s">
        <v>140</v>
      </c>
    </row>
    <row r="549" spans="1:57" x14ac:dyDescent="0.25">
      <c r="A549" t="s">
        <v>40</v>
      </c>
      <c r="B549">
        <f>COUNTIF(B$3:B$53,"&gt;=23")</f>
        <v>15</v>
      </c>
      <c r="C549">
        <f t="shared" ref="C549:AG549" si="35">COUNTIF(C$3:C$53,"&gt;=23")</f>
        <v>13</v>
      </c>
      <c r="D549">
        <f t="shared" si="35"/>
        <v>12</v>
      </c>
      <c r="E549">
        <f t="shared" si="35"/>
        <v>12</v>
      </c>
      <c r="F549">
        <f t="shared" si="35"/>
        <v>4</v>
      </c>
      <c r="G549">
        <f t="shared" si="35"/>
        <v>6</v>
      </c>
      <c r="H549">
        <f t="shared" si="35"/>
        <v>0</v>
      </c>
      <c r="I549">
        <f t="shared" si="35"/>
        <v>0</v>
      </c>
      <c r="J549">
        <f t="shared" si="35"/>
        <v>26</v>
      </c>
      <c r="K549">
        <f t="shared" si="35"/>
        <v>17</v>
      </c>
      <c r="L549">
        <f t="shared" si="35"/>
        <v>26</v>
      </c>
      <c r="M549">
        <f t="shared" si="35"/>
        <v>9</v>
      </c>
      <c r="N549">
        <f t="shared" si="35"/>
        <v>12</v>
      </c>
      <c r="O549">
        <f t="shared" si="35"/>
        <v>20</v>
      </c>
      <c r="P549">
        <f t="shared" si="35"/>
        <v>17</v>
      </c>
      <c r="Q549">
        <f t="shared" si="35"/>
        <v>10</v>
      </c>
      <c r="R549">
        <f t="shared" si="35"/>
        <v>23</v>
      </c>
      <c r="S549">
        <f t="shared" si="35"/>
        <v>6</v>
      </c>
      <c r="T549">
        <f t="shared" si="35"/>
        <v>13</v>
      </c>
      <c r="U549">
        <f t="shared" si="35"/>
        <v>8</v>
      </c>
      <c r="V549">
        <f t="shared" si="35"/>
        <v>11</v>
      </c>
      <c r="W549">
        <f t="shared" si="35"/>
        <v>8</v>
      </c>
      <c r="X549">
        <f t="shared" si="35"/>
        <v>11</v>
      </c>
      <c r="Y549">
        <f t="shared" si="35"/>
        <v>42</v>
      </c>
      <c r="Z549">
        <f t="shared" si="35"/>
        <v>17</v>
      </c>
      <c r="AA549">
        <f t="shared" si="35"/>
        <v>47</v>
      </c>
      <c r="AB549">
        <f t="shared" si="35"/>
        <v>42</v>
      </c>
      <c r="AC549">
        <f t="shared" si="35"/>
        <v>35</v>
      </c>
      <c r="AD549">
        <f t="shared" si="35"/>
        <v>29</v>
      </c>
      <c r="AE549">
        <f t="shared" si="35"/>
        <v>34</v>
      </c>
      <c r="AF549">
        <f t="shared" si="35"/>
        <v>51</v>
      </c>
      <c r="AG549">
        <f t="shared" si="35"/>
        <v>43</v>
      </c>
      <c r="AH549" t="s">
        <v>141</v>
      </c>
    </row>
    <row r="550" spans="1:57" x14ac:dyDescent="0.25">
      <c r="A550" t="s">
        <v>41</v>
      </c>
      <c r="B550">
        <f>COUNTIF(B$236:B$418,"&gt;=23")</f>
        <v>0</v>
      </c>
      <c r="C550">
        <f t="shared" ref="C550:AG550" si="36">COUNTIF(C$236:C$418,"&gt;=23")</f>
        <v>2</v>
      </c>
      <c r="D550">
        <f t="shared" si="36"/>
        <v>0</v>
      </c>
      <c r="E550">
        <f t="shared" si="36"/>
        <v>0</v>
      </c>
      <c r="F550">
        <f t="shared" si="36"/>
        <v>0</v>
      </c>
      <c r="G550">
        <f t="shared" si="36"/>
        <v>0</v>
      </c>
      <c r="H550">
        <f t="shared" si="36"/>
        <v>0</v>
      </c>
      <c r="I550">
        <f t="shared" si="36"/>
        <v>0</v>
      </c>
      <c r="J550">
        <f t="shared" si="36"/>
        <v>70</v>
      </c>
      <c r="K550">
        <f t="shared" si="36"/>
        <v>58</v>
      </c>
      <c r="L550">
        <f t="shared" si="36"/>
        <v>76</v>
      </c>
      <c r="M550">
        <f t="shared" si="36"/>
        <v>0</v>
      </c>
      <c r="N550">
        <f t="shared" si="36"/>
        <v>1</v>
      </c>
      <c r="O550">
        <f t="shared" si="36"/>
        <v>67</v>
      </c>
      <c r="P550">
        <f t="shared" si="36"/>
        <v>46</v>
      </c>
      <c r="Q550">
        <f t="shared" si="36"/>
        <v>0</v>
      </c>
      <c r="R550">
        <f t="shared" si="36"/>
        <v>61</v>
      </c>
      <c r="S550">
        <f t="shared" si="36"/>
        <v>1</v>
      </c>
      <c r="T550">
        <f t="shared" si="36"/>
        <v>26</v>
      </c>
      <c r="U550">
        <f t="shared" si="36"/>
        <v>74</v>
      </c>
      <c r="V550">
        <f t="shared" si="36"/>
        <v>46</v>
      </c>
      <c r="W550">
        <f t="shared" si="36"/>
        <v>69</v>
      </c>
      <c r="X550">
        <f t="shared" si="36"/>
        <v>68</v>
      </c>
      <c r="Y550">
        <f t="shared" si="36"/>
        <v>99</v>
      </c>
      <c r="Z550">
        <f t="shared" si="36"/>
        <v>84</v>
      </c>
      <c r="AA550">
        <f t="shared" si="36"/>
        <v>113</v>
      </c>
      <c r="AB550">
        <f t="shared" si="36"/>
        <v>99</v>
      </c>
      <c r="AC550">
        <f t="shared" si="36"/>
        <v>65</v>
      </c>
      <c r="AD550">
        <f t="shared" si="36"/>
        <v>87</v>
      </c>
      <c r="AE550">
        <f t="shared" si="36"/>
        <v>8</v>
      </c>
      <c r="AF550">
        <f t="shared" si="36"/>
        <v>107</v>
      </c>
      <c r="AG550">
        <f t="shared" si="36"/>
        <v>103</v>
      </c>
      <c r="AH550" t="s">
        <v>142</v>
      </c>
    </row>
    <row r="551" spans="1:57" x14ac:dyDescent="0.25">
      <c r="A551" t="s">
        <v>42</v>
      </c>
      <c r="B551">
        <f>SUM(B547,B548)</f>
        <v>0</v>
      </c>
      <c r="C551">
        <f t="shared" ref="C551:AG551" si="37">SUM(C547,C548)</f>
        <v>0</v>
      </c>
      <c r="D551">
        <f t="shared" si="37"/>
        <v>0</v>
      </c>
      <c r="E551">
        <f t="shared" si="37"/>
        <v>0</v>
      </c>
      <c r="F551">
        <f t="shared" si="37"/>
        <v>0</v>
      </c>
      <c r="G551">
        <f t="shared" si="37"/>
        <v>0</v>
      </c>
      <c r="H551">
        <f t="shared" si="37"/>
        <v>0</v>
      </c>
      <c r="I551">
        <f t="shared" si="37"/>
        <v>0</v>
      </c>
      <c r="J551">
        <f t="shared" si="37"/>
        <v>0</v>
      </c>
      <c r="K551">
        <f t="shared" si="37"/>
        <v>0</v>
      </c>
      <c r="L551">
        <f t="shared" si="37"/>
        <v>0</v>
      </c>
      <c r="M551">
        <f t="shared" si="37"/>
        <v>0</v>
      </c>
      <c r="N551">
        <f t="shared" si="37"/>
        <v>0</v>
      </c>
      <c r="O551">
        <f t="shared" si="37"/>
        <v>0</v>
      </c>
      <c r="P551">
        <f t="shared" si="37"/>
        <v>0</v>
      </c>
      <c r="Q551">
        <f t="shared" si="37"/>
        <v>0</v>
      </c>
      <c r="R551">
        <f t="shared" si="37"/>
        <v>0</v>
      </c>
      <c r="S551">
        <f t="shared" si="37"/>
        <v>0</v>
      </c>
      <c r="T551">
        <f t="shared" si="37"/>
        <v>0</v>
      </c>
      <c r="U551">
        <f t="shared" si="37"/>
        <v>0</v>
      </c>
      <c r="V551">
        <f t="shared" si="37"/>
        <v>0</v>
      </c>
      <c r="W551">
        <f t="shared" si="37"/>
        <v>0</v>
      </c>
      <c r="X551">
        <f t="shared" si="37"/>
        <v>0</v>
      </c>
      <c r="Y551">
        <f t="shared" si="37"/>
        <v>1</v>
      </c>
      <c r="Z551">
        <f t="shared" si="37"/>
        <v>0</v>
      </c>
      <c r="AA551">
        <f t="shared" si="37"/>
        <v>3</v>
      </c>
      <c r="AB551">
        <f t="shared" si="37"/>
        <v>0</v>
      </c>
      <c r="AC551">
        <f t="shared" si="37"/>
        <v>0</v>
      </c>
      <c r="AD551">
        <f t="shared" si="37"/>
        <v>0</v>
      </c>
      <c r="AE551">
        <f t="shared" si="37"/>
        <v>0</v>
      </c>
      <c r="AF551">
        <f t="shared" si="37"/>
        <v>8</v>
      </c>
      <c r="AG551">
        <f t="shared" si="37"/>
        <v>0</v>
      </c>
    </row>
    <row r="552" spans="1:57" x14ac:dyDescent="0.25">
      <c r="A552" t="s">
        <v>43</v>
      </c>
      <c r="B552">
        <f>SUM(B549,B550)</f>
        <v>15</v>
      </c>
      <c r="C552">
        <f t="shared" ref="C552:AG552" si="38">SUM(C549,C550)</f>
        <v>15</v>
      </c>
      <c r="D552">
        <f t="shared" si="38"/>
        <v>12</v>
      </c>
      <c r="E552">
        <f t="shared" si="38"/>
        <v>12</v>
      </c>
      <c r="F552">
        <f t="shared" si="38"/>
        <v>4</v>
      </c>
      <c r="G552">
        <f t="shared" si="38"/>
        <v>6</v>
      </c>
      <c r="H552">
        <f t="shared" si="38"/>
        <v>0</v>
      </c>
      <c r="I552">
        <f t="shared" si="38"/>
        <v>0</v>
      </c>
      <c r="J552">
        <f t="shared" si="38"/>
        <v>96</v>
      </c>
      <c r="K552">
        <f t="shared" si="38"/>
        <v>75</v>
      </c>
      <c r="L552">
        <f t="shared" si="38"/>
        <v>102</v>
      </c>
      <c r="M552">
        <f t="shared" si="38"/>
        <v>9</v>
      </c>
      <c r="N552">
        <f t="shared" si="38"/>
        <v>13</v>
      </c>
      <c r="O552">
        <f t="shared" si="38"/>
        <v>87</v>
      </c>
      <c r="P552">
        <f t="shared" si="38"/>
        <v>63</v>
      </c>
      <c r="Q552">
        <f t="shared" si="38"/>
        <v>10</v>
      </c>
      <c r="R552">
        <f t="shared" si="38"/>
        <v>84</v>
      </c>
      <c r="S552">
        <f t="shared" si="38"/>
        <v>7</v>
      </c>
      <c r="T552">
        <f t="shared" si="38"/>
        <v>39</v>
      </c>
      <c r="U552">
        <f t="shared" si="38"/>
        <v>82</v>
      </c>
      <c r="V552">
        <f t="shared" si="38"/>
        <v>57</v>
      </c>
      <c r="W552">
        <f t="shared" si="38"/>
        <v>77</v>
      </c>
      <c r="X552">
        <f t="shared" si="38"/>
        <v>79</v>
      </c>
      <c r="Y552">
        <f t="shared" si="38"/>
        <v>141</v>
      </c>
      <c r="Z552">
        <f t="shared" si="38"/>
        <v>101</v>
      </c>
      <c r="AA552">
        <f t="shared" si="38"/>
        <v>160</v>
      </c>
      <c r="AB552">
        <f t="shared" si="38"/>
        <v>141</v>
      </c>
      <c r="AC552">
        <f t="shared" si="38"/>
        <v>100</v>
      </c>
      <c r="AD552">
        <f t="shared" si="38"/>
        <v>116</v>
      </c>
      <c r="AE552">
        <f t="shared" si="38"/>
        <v>42</v>
      </c>
      <c r="AF552">
        <f t="shared" si="38"/>
        <v>158</v>
      </c>
      <c r="AG552">
        <f t="shared" si="38"/>
        <v>146</v>
      </c>
    </row>
    <row r="555" spans="1:57" x14ac:dyDescent="0.25">
      <c r="D555" t="s">
        <v>72</v>
      </c>
      <c r="F555" t="s">
        <v>79</v>
      </c>
      <c r="S555" t="s">
        <v>95</v>
      </c>
      <c r="AA555" t="s">
        <v>95</v>
      </c>
      <c r="AE555" t="s">
        <v>95</v>
      </c>
      <c r="AI555" t="s">
        <v>95</v>
      </c>
      <c r="AQ555" t="s">
        <v>95</v>
      </c>
      <c r="AY555" t="s">
        <v>95</v>
      </c>
    </row>
    <row r="556" spans="1:57" x14ac:dyDescent="0.25">
      <c r="F556" t="s">
        <v>45</v>
      </c>
      <c r="S556" t="s">
        <v>46</v>
      </c>
      <c r="AA556" t="s">
        <v>47</v>
      </c>
      <c r="AE556" t="s">
        <v>48</v>
      </c>
      <c r="AI556" t="s">
        <v>46</v>
      </c>
      <c r="AK556" t="s">
        <v>49</v>
      </c>
      <c r="AL556" t="s">
        <v>33</v>
      </c>
      <c r="AM556" t="s">
        <v>34</v>
      </c>
      <c r="AN556" t="s">
        <v>35</v>
      </c>
      <c r="AO556" t="s">
        <v>36</v>
      </c>
      <c r="AQ556" t="s">
        <v>47</v>
      </c>
      <c r="AS556" t="s">
        <v>49</v>
      </c>
      <c r="AT556" t="s">
        <v>33</v>
      </c>
      <c r="AU556" t="s">
        <v>34</v>
      </c>
      <c r="AV556" t="s">
        <v>35</v>
      </c>
      <c r="AW556" t="s">
        <v>36</v>
      </c>
      <c r="AY556" t="s">
        <v>48</v>
      </c>
      <c r="BA556" t="s">
        <v>49</v>
      </c>
      <c r="BB556" t="s">
        <v>33</v>
      </c>
      <c r="BC556" t="s">
        <v>34</v>
      </c>
      <c r="BD556" t="s">
        <v>35</v>
      </c>
      <c r="BE556" t="s">
        <v>36</v>
      </c>
    </row>
    <row r="557" spans="1:57" x14ac:dyDescent="0.25">
      <c r="F557" t="s">
        <v>50</v>
      </c>
      <c r="M557" t="s">
        <v>51</v>
      </c>
      <c r="S557" t="s">
        <v>52</v>
      </c>
      <c r="U557">
        <f>COUNTIF(B35:AG35,"&lt;&gt;")</f>
        <v>32</v>
      </c>
      <c r="AA557" t="s">
        <v>52</v>
      </c>
      <c r="AC557">
        <f>COUNTIF(B35:AG35,"&lt;&gt;")</f>
        <v>32</v>
      </c>
      <c r="AE557" t="s">
        <v>52</v>
      </c>
      <c r="AG557">
        <f>COUNTIF(B35:AG35,"&lt;&gt;")</f>
        <v>32</v>
      </c>
      <c r="AI557" t="s">
        <v>52</v>
      </c>
      <c r="AK557">
        <f>COUNTIF($B$2:$AG$2,"&lt;&gt;")</f>
        <v>32</v>
      </c>
      <c r="AL557">
        <f>COUNTIF($B$2:$I$2,"&lt;&gt;")</f>
        <v>8</v>
      </c>
      <c r="AM557">
        <f>COUNTIF($J$2:$R$2,"&lt;&gt;")</f>
        <v>9</v>
      </c>
      <c r="AN557">
        <f>COUNTIF($S$2:$X$2,"&lt;&gt;")</f>
        <v>6</v>
      </c>
      <c r="AO557">
        <f>COUNTIF($Y$2:$AG$2,"&lt;&gt;")</f>
        <v>9</v>
      </c>
      <c r="AQ557" t="s">
        <v>52</v>
      </c>
      <c r="AS557">
        <f>COUNTIF($B$2:$AG$2,"&lt;&gt;")</f>
        <v>32</v>
      </c>
      <c r="AT557">
        <f>COUNTIF($B$2:$I$2,"&lt;&gt;")</f>
        <v>8</v>
      </c>
      <c r="AU557">
        <f>COUNTIF($J$2:$R$2,"&lt;&gt;")</f>
        <v>9</v>
      </c>
      <c r="AV557">
        <f>COUNTIF($S$2:$X$2,"&lt;&gt;")</f>
        <v>6</v>
      </c>
      <c r="AW557">
        <f>COUNTIF($Y$2:$AG$2,"&lt;&gt;")</f>
        <v>9</v>
      </c>
      <c r="AY557" t="s">
        <v>52</v>
      </c>
      <c r="BA557">
        <f>COUNTIF($B$2:$AG$2,"&lt;&gt;")</f>
        <v>32</v>
      </c>
      <c r="BB557">
        <f>COUNTIF($B$2:$I$2,"&lt;&gt;")</f>
        <v>8</v>
      </c>
      <c r="BC557">
        <f>COUNTIF($J$2:$R$2,"&lt;&gt;")</f>
        <v>9</v>
      </c>
      <c r="BD557">
        <f>COUNTIF($S$2:$X$2,"&lt;&gt;")</f>
        <v>6</v>
      </c>
      <c r="BE557">
        <f>COUNTIF($Y$2:$AG$2,"&lt;&gt;")</f>
        <v>9</v>
      </c>
    </row>
    <row r="558" spans="1:57" x14ac:dyDescent="0.25">
      <c r="F558" t="s">
        <v>53</v>
      </c>
      <c r="H558" t="s">
        <v>134</v>
      </c>
      <c r="J558">
        <f>COUNTIF($B$54:$B$235,"&lt;&gt;")</f>
        <v>182</v>
      </c>
      <c r="M558" t="s">
        <v>54</v>
      </c>
      <c r="S558" t="s">
        <v>55</v>
      </c>
      <c r="U558">
        <f>COUNTIF($A$3:$A$511,"&lt;&gt;")</f>
        <v>509</v>
      </c>
      <c r="AA558" t="s">
        <v>55</v>
      </c>
      <c r="AC558">
        <f>SUM($J$524:$J$525)</f>
        <v>275</v>
      </c>
      <c r="AE558" t="s">
        <v>55</v>
      </c>
      <c r="AG558">
        <f>SUM($Q$525:$Q$526)</f>
        <v>234</v>
      </c>
      <c r="AI558" t="s">
        <v>55</v>
      </c>
      <c r="AK558">
        <f>COUNTIF($A$3:$A$511,"&lt;&gt;")</f>
        <v>509</v>
      </c>
      <c r="AL558">
        <f t="shared" ref="AL558:AO558" si="39">COUNTIF($A$3:$A$511,"&lt;&gt;")</f>
        <v>509</v>
      </c>
      <c r="AM558">
        <f t="shared" si="39"/>
        <v>509</v>
      </c>
      <c r="AN558">
        <f t="shared" si="39"/>
        <v>509</v>
      </c>
      <c r="AO558">
        <f t="shared" si="39"/>
        <v>509</v>
      </c>
      <c r="AQ558" t="s">
        <v>55</v>
      </c>
      <c r="AS558">
        <f>SUM($J$524:$J$525)</f>
        <v>275</v>
      </c>
      <c r="AT558">
        <f t="shared" ref="AT558:AW558" si="40">SUM($J$524:$J$525)</f>
        <v>275</v>
      </c>
      <c r="AU558">
        <f t="shared" si="40"/>
        <v>275</v>
      </c>
      <c r="AV558">
        <f t="shared" si="40"/>
        <v>275</v>
      </c>
      <c r="AW558">
        <f t="shared" si="40"/>
        <v>275</v>
      </c>
      <c r="AY558" t="s">
        <v>55</v>
      </c>
      <c r="BA558">
        <f>SUM($Q$525:$Q$526)</f>
        <v>234</v>
      </c>
      <c r="BB558">
        <f t="shared" ref="BB558:BE558" si="41">SUM($Q$525:$Q$526)</f>
        <v>234</v>
      </c>
      <c r="BC558">
        <f t="shared" si="41"/>
        <v>234</v>
      </c>
      <c r="BD558">
        <f t="shared" si="41"/>
        <v>234</v>
      </c>
      <c r="BE558">
        <f t="shared" si="41"/>
        <v>234</v>
      </c>
    </row>
    <row r="559" spans="1:57" x14ac:dyDescent="0.25">
      <c r="F559" t="s">
        <v>56</v>
      </c>
      <c r="H559" t="s">
        <v>135</v>
      </c>
      <c r="J559">
        <f>COUNTIF($B$419:$B$511,"&lt;&gt;")</f>
        <v>93</v>
      </c>
      <c r="M559" t="s">
        <v>57</v>
      </c>
      <c r="O559" t="s">
        <v>137</v>
      </c>
      <c r="Q559">
        <f>COUNTIF($B$3:$B$53,"&lt;&gt;")</f>
        <v>51</v>
      </c>
      <c r="S559" t="s">
        <v>58</v>
      </c>
      <c r="U559">
        <f>U558*U557</f>
        <v>16288</v>
      </c>
      <c r="V559" t="s">
        <v>59</v>
      </c>
      <c r="AA559" t="s">
        <v>58</v>
      </c>
      <c r="AC559">
        <f>AC558*AC557</f>
        <v>8800</v>
      </c>
      <c r="AE559" t="s">
        <v>58</v>
      </c>
      <c r="AG559">
        <f>AG557*AG558</f>
        <v>7488</v>
      </c>
      <c r="AI559" t="s">
        <v>58</v>
      </c>
      <c r="AK559">
        <f>AK558*AK557</f>
        <v>16288</v>
      </c>
      <c r="AL559">
        <f t="shared" ref="AL559:AO559" si="42">AL558*AL557</f>
        <v>4072</v>
      </c>
      <c r="AM559">
        <f t="shared" si="42"/>
        <v>4581</v>
      </c>
      <c r="AN559">
        <f t="shared" si="42"/>
        <v>3054</v>
      </c>
      <c r="AO559">
        <f t="shared" si="42"/>
        <v>4581</v>
      </c>
      <c r="AQ559" t="s">
        <v>58</v>
      </c>
      <c r="AS559">
        <f>AS558*AS557</f>
        <v>8800</v>
      </c>
      <c r="AT559">
        <f t="shared" ref="AT559:AW559" si="43">AT558*AT557</f>
        <v>2200</v>
      </c>
      <c r="AU559">
        <f t="shared" si="43"/>
        <v>2475</v>
      </c>
      <c r="AV559">
        <f t="shared" si="43"/>
        <v>1650</v>
      </c>
      <c r="AW559">
        <f t="shared" si="43"/>
        <v>2475</v>
      </c>
      <c r="AY559" t="s">
        <v>58</v>
      </c>
      <c r="BA559">
        <f>BA558*BA557</f>
        <v>7488</v>
      </c>
      <c r="BB559">
        <f t="shared" ref="BB559:BE559" si="44">BB558*BB557</f>
        <v>1872</v>
      </c>
      <c r="BC559">
        <f t="shared" si="44"/>
        <v>2106</v>
      </c>
      <c r="BD559">
        <f t="shared" si="44"/>
        <v>1404</v>
      </c>
      <c r="BE559">
        <f t="shared" si="44"/>
        <v>2106</v>
      </c>
    </row>
    <row r="560" spans="1:57" x14ac:dyDescent="0.25">
      <c r="F560" t="s">
        <v>60</v>
      </c>
      <c r="H560" t="s">
        <v>136</v>
      </c>
      <c r="J560">
        <f>COUNTIF($A$737:$A$798,"&lt;&gt;")</f>
        <v>0</v>
      </c>
      <c r="M560" t="s">
        <v>61</v>
      </c>
      <c r="O560" t="s">
        <v>138</v>
      </c>
      <c r="Q560">
        <f>COUNTIF($B$236:$B$418,"&lt;&gt;")</f>
        <v>183</v>
      </c>
      <c r="S560" t="s">
        <v>80</v>
      </c>
      <c r="U560">
        <f>SUM(B546:AG546)</f>
        <v>2061</v>
      </c>
      <c r="V560" t="s">
        <v>63</v>
      </c>
      <c r="AA560" t="s">
        <v>80</v>
      </c>
      <c r="AC560">
        <f>SUM(B551:AG551)</f>
        <v>12</v>
      </c>
      <c r="AE560" t="s">
        <v>80</v>
      </c>
      <c r="AG560">
        <f>SUM(B552:AG552)</f>
        <v>2049</v>
      </c>
      <c r="AI560" t="s">
        <v>80</v>
      </c>
      <c r="AK560">
        <f>SUM(B546:AG546)</f>
        <v>2061</v>
      </c>
      <c r="AL560">
        <f>SUM(B546:I546)</f>
        <v>64</v>
      </c>
      <c r="AM560">
        <f>SUM(J546:R546)</f>
        <v>539</v>
      </c>
      <c r="AN560">
        <f>SUM(S546:X546)</f>
        <v>341</v>
      </c>
      <c r="AO560">
        <f>SUM(Y546:AG546)</f>
        <v>1117</v>
      </c>
      <c r="AQ560" t="s">
        <v>80</v>
      </c>
      <c r="AS560">
        <f>SUM(B551:AG551)</f>
        <v>12</v>
      </c>
      <c r="AT560">
        <f>SUM(B551:I551)</f>
        <v>0</v>
      </c>
      <c r="AU560">
        <f>SUM(J551:R551)</f>
        <v>0</v>
      </c>
      <c r="AV560">
        <f>SUM(S551:X551)</f>
        <v>0</v>
      </c>
      <c r="AW560">
        <f>SUM(Y551:AG551)</f>
        <v>12</v>
      </c>
      <c r="AY560" t="s">
        <v>80</v>
      </c>
      <c r="BA560">
        <f>SUM($B552:$AG552)</f>
        <v>2049</v>
      </c>
      <c r="BB560">
        <f>SUM(B552:I552)</f>
        <v>64</v>
      </c>
      <c r="BC560">
        <f>SUM(J552:R552)</f>
        <v>539</v>
      </c>
      <c r="BD560">
        <f>SUM(S552:X552)</f>
        <v>341</v>
      </c>
      <c r="BE560">
        <f>SUM(Y552:AG552)</f>
        <v>1105</v>
      </c>
    </row>
    <row r="561" spans="1:57" x14ac:dyDescent="0.25">
      <c r="S561" t="s">
        <v>64</v>
      </c>
      <c r="U561">
        <f>$U560/$U559</f>
        <v>0.12653487229862476</v>
      </c>
      <c r="AA561" t="s">
        <v>65</v>
      </c>
      <c r="AC561">
        <f>AC560/AC559</f>
        <v>1.3636363636363637E-3</v>
      </c>
      <c r="AE561" t="s">
        <v>66</v>
      </c>
      <c r="AG561">
        <f>AG560/AG559</f>
        <v>0.27363782051282054</v>
      </c>
      <c r="AI561" t="s">
        <v>64</v>
      </c>
      <c r="AK561">
        <f>AK560/AK559</f>
        <v>0.12653487229862476</v>
      </c>
      <c r="AL561">
        <f t="shared" ref="AL561:AO561" si="45">AL560/AL559</f>
        <v>1.5717092337917484E-2</v>
      </c>
      <c r="AM561">
        <f t="shared" si="45"/>
        <v>0.11765989958524339</v>
      </c>
      <c r="AN561">
        <f t="shared" si="45"/>
        <v>0.11165684348395546</v>
      </c>
      <c r="AO561">
        <f t="shared" si="45"/>
        <v>0.24383322418685877</v>
      </c>
      <c r="AQ561" t="s">
        <v>65</v>
      </c>
      <c r="AS561">
        <f>AS560/AS559</f>
        <v>1.3636363636363637E-3</v>
      </c>
      <c r="AT561">
        <f t="shared" ref="AT561:AW561" si="46">AT560/AT559</f>
        <v>0</v>
      </c>
      <c r="AU561">
        <f t="shared" si="46"/>
        <v>0</v>
      </c>
      <c r="AV561">
        <f t="shared" si="46"/>
        <v>0</v>
      </c>
      <c r="AW561">
        <f t="shared" si="46"/>
        <v>4.8484848484848485E-3</v>
      </c>
      <c r="AY561" t="s">
        <v>66</v>
      </c>
      <c r="BA561">
        <f>BA560/BA559</f>
        <v>0.27363782051282054</v>
      </c>
      <c r="BB561">
        <f t="shared" ref="BB561:BE561" si="47">BB560/BB559</f>
        <v>3.4188034188034191E-2</v>
      </c>
      <c r="BC561">
        <f t="shared" si="47"/>
        <v>0.25593542260208929</v>
      </c>
      <c r="BD561">
        <f t="shared" si="47"/>
        <v>0.24287749287749288</v>
      </c>
      <c r="BE561">
        <f t="shared" si="47"/>
        <v>0.52469135802469136</v>
      </c>
    </row>
    <row r="563" spans="1:57" x14ac:dyDescent="0.25">
      <c r="A563" t="s">
        <v>37</v>
      </c>
      <c r="B563">
        <f>COUNTIF(B$3:B$511,"&gt;=18.42")</f>
        <v>214</v>
      </c>
      <c r="C563">
        <f t="shared" ref="C563:AG563" si="48">COUNTIF(C$3:C$511,"&gt;=18.42")</f>
        <v>222</v>
      </c>
      <c r="D563">
        <f t="shared" si="48"/>
        <v>212</v>
      </c>
      <c r="E563">
        <f t="shared" si="48"/>
        <v>211</v>
      </c>
      <c r="F563">
        <f t="shared" si="48"/>
        <v>216</v>
      </c>
      <c r="G563">
        <f t="shared" si="48"/>
        <v>217</v>
      </c>
      <c r="H563">
        <f t="shared" si="48"/>
        <v>203</v>
      </c>
      <c r="I563">
        <f t="shared" si="48"/>
        <v>190</v>
      </c>
      <c r="J563">
        <f t="shared" si="48"/>
        <v>230</v>
      </c>
      <c r="K563">
        <f t="shared" si="48"/>
        <v>237</v>
      </c>
      <c r="L563">
        <f t="shared" si="48"/>
        <v>242</v>
      </c>
      <c r="M563">
        <f t="shared" si="48"/>
        <v>220</v>
      </c>
      <c r="N563">
        <f t="shared" si="48"/>
        <v>231</v>
      </c>
      <c r="O563">
        <f t="shared" si="48"/>
        <v>238</v>
      </c>
      <c r="P563">
        <f t="shared" si="48"/>
        <v>236</v>
      </c>
      <c r="Q563">
        <f t="shared" si="48"/>
        <v>223</v>
      </c>
      <c r="R563">
        <f t="shared" si="48"/>
        <v>237</v>
      </c>
      <c r="S563">
        <f t="shared" si="48"/>
        <v>169</v>
      </c>
      <c r="T563">
        <f t="shared" si="48"/>
        <v>229</v>
      </c>
      <c r="U563">
        <f t="shared" si="48"/>
        <v>229</v>
      </c>
      <c r="V563">
        <f t="shared" si="48"/>
        <v>230</v>
      </c>
      <c r="W563">
        <f t="shared" si="48"/>
        <v>225</v>
      </c>
      <c r="X563">
        <f t="shared" si="48"/>
        <v>227</v>
      </c>
      <c r="Y563">
        <f t="shared" si="48"/>
        <v>231</v>
      </c>
      <c r="Z563">
        <f t="shared" si="48"/>
        <v>242</v>
      </c>
      <c r="AA563">
        <f t="shared" si="48"/>
        <v>250</v>
      </c>
      <c r="AB563">
        <f t="shared" si="48"/>
        <v>235</v>
      </c>
      <c r="AC563">
        <f t="shared" si="48"/>
        <v>211</v>
      </c>
      <c r="AD563">
        <f t="shared" si="48"/>
        <v>243</v>
      </c>
      <c r="AE563">
        <f t="shared" si="48"/>
        <v>230</v>
      </c>
      <c r="AF563">
        <f t="shared" si="48"/>
        <v>242</v>
      </c>
      <c r="AG563">
        <f t="shared" si="48"/>
        <v>245</v>
      </c>
    </row>
    <row r="564" spans="1:57" x14ac:dyDescent="0.25">
      <c r="A564" t="s">
        <v>38</v>
      </c>
      <c r="B564">
        <f>COUNTIF(B$54:B$235,"&gt;=18.42")</f>
        <v>23</v>
      </c>
      <c r="C564">
        <f t="shared" ref="C564:AG564" si="49">COUNTIF(C$54:C$235,"&gt;=18.42")</f>
        <v>24</v>
      </c>
      <c r="D564">
        <f t="shared" si="49"/>
        <v>24</v>
      </c>
      <c r="E564">
        <f t="shared" si="49"/>
        <v>23</v>
      </c>
      <c r="F564">
        <f t="shared" si="49"/>
        <v>23</v>
      </c>
      <c r="G564">
        <f t="shared" si="49"/>
        <v>24</v>
      </c>
      <c r="H564">
        <f t="shared" si="49"/>
        <v>22</v>
      </c>
      <c r="I564">
        <f t="shared" si="49"/>
        <v>12</v>
      </c>
      <c r="J564">
        <f t="shared" si="49"/>
        <v>23</v>
      </c>
      <c r="K564">
        <f t="shared" si="49"/>
        <v>25</v>
      </c>
      <c r="L564">
        <f t="shared" si="49"/>
        <v>25</v>
      </c>
      <c r="M564">
        <f t="shared" si="49"/>
        <v>24</v>
      </c>
      <c r="N564">
        <f t="shared" si="49"/>
        <v>24</v>
      </c>
      <c r="O564">
        <f t="shared" si="49"/>
        <v>25</v>
      </c>
      <c r="P564">
        <f t="shared" si="49"/>
        <v>25</v>
      </c>
      <c r="Q564">
        <f t="shared" si="49"/>
        <v>25</v>
      </c>
      <c r="R564">
        <f t="shared" si="49"/>
        <v>25</v>
      </c>
      <c r="S564">
        <f t="shared" si="49"/>
        <v>6</v>
      </c>
      <c r="T564">
        <f t="shared" si="49"/>
        <v>22</v>
      </c>
      <c r="U564">
        <f t="shared" si="49"/>
        <v>11</v>
      </c>
      <c r="V564">
        <f t="shared" si="49"/>
        <v>19</v>
      </c>
      <c r="W564">
        <f t="shared" si="49"/>
        <v>9</v>
      </c>
      <c r="X564">
        <f t="shared" si="49"/>
        <v>14</v>
      </c>
      <c r="Y564">
        <f t="shared" si="49"/>
        <v>25</v>
      </c>
      <c r="Z564">
        <f t="shared" si="49"/>
        <v>23</v>
      </c>
      <c r="AA564">
        <f t="shared" si="49"/>
        <v>25</v>
      </c>
      <c r="AB564">
        <f t="shared" si="49"/>
        <v>25</v>
      </c>
      <c r="AC564">
        <f t="shared" si="49"/>
        <v>16</v>
      </c>
      <c r="AD564">
        <f t="shared" si="49"/>
        <v>25</v>
      </c>
      <c r="AE564">
        <f t="shared" si="49"/>
        <v>18</v>
      </c>
      <c r="AF564">
        <f t="shared" si="49"/>
        <v>25</v>
      </c>
      <c r="AG564">
        <f t="shared" si="49"/>
        <v>25</v>
      </c>
      <c r="AH564" t="s">
        <v>139</v>
      </c>
    </row>
    <row r="565" spans="1:57" x14ac:dyDescent="0.25">
      <c r="A565" t="s">
        <v>39</v>
      </c>
      <c r="B565">
        <f>COUNTIF(B$419:B$511,"&gt;=18.42")</f>
        <v>6</v>
      </c>
      <c r="C565">
        <f t="shared" ref="C565:AG565" si="50">COUNTIF(C$419:C$511,"&gt;=18.42")</f>
        <v>7</v>
      </c>
      <c r="D565">
        <f t="shared" si="50"/>
        <v>6</v>
      </c>
      <c r="E565">
        <f t="shared" si="50"/>
        <v>6</v>
      </c>
      <c r="F565">
        <f t="shared" si="50"/>
        <v>6</v>
      </c>
      <c r="G565">
        <f t="shared" si="50"/>
        <v>7</v>
      </c>
      <c r="H565">
        <f t="shared" si="50"/>
        <v>7</v>
      </c>
      <c r="I565">
        <f t="shared" si="50"/>
        <v>5</v>
      </c>
      <c r="J565">
        <f t="shared" si="50"/>
        <v>7</v>
      </c>
      <c r="K565">
        <f t="shared" si="50"/>
        <v>11</v>
      </c>
      <c r="L565">
        <f t="shared" si="50"/>
        <v>10</v>
      </c>
      <c r="M565">
        <f t="shared" si="50"/>
        <v>7</v>
      </c>
      <c r="N565">
        <f t="shared" si="50"/>
        <v>7</v>
      </c>
      <c r="O565">
        <f t="shared" si="50"/>
        <v>10</v>
      </c>
      <c r="P565">
        <f t="shared" si="50"/>
        <v>10</v>
      </c>
      <c r="Q565">
        <f t="shared" si="50"/>
        <v>7</v>
      </c>
      <c r="R565">
        <f t="shared" si="50"/>
        <v>10</v>
      </c>
      <c r="S565">
        <f t="shared" si="50"/>
        <v>0</v>
      </c>
      <c r="T565">
        <f t="shared" si="50"/>
        <v>6</v>
      </c>
      <c r="U565">
        <f t="shared" si="50"/>
        <v>7</v>
      </c>
      <c r="V565">
        <f t="shared" si="50"/>
        <v>6</v>
      </c>
      <c r="W565">
        <f t="shared" si="50"/>
        <v>7</v>
      </c>
      <c r="X565">
        <f t="shared" si="50"/>
        <v>6</v>
      </c>
      <c r="Y565">
        <f t="shared" si="50"/>
        <v>8</v>
      </c>
      <c r="Z565">
        <f t="shared" si="50"/>
        <v>8</v>
      </c>
      <c r="AA565">
        <f t="shared" si="50"/>
        <v>11</v>
      </c>
      <c r="AB565">
        <f t="shared" si="50"/>
        <v>10</v>
      </c>
      <c r="AC565">
        <f t="shared" si="50"/>
        <v>3</v>
      </c>
      <c r="AD565">
        <f t="shared" si="50"/>
        <v>10</v>
      </c>
      <c r="AE565">
        <f t="shared" si="50"/>
        <v>6</v>
      </c>
      <c r="AF565">
        <f t="shared" si="50"/>
        <v>11</v>
      </c>
      <c r="AG565">
        <f t="shared" si="50"/>
        <v>10</v>
      </c>
      <c r="AH565" t="s">
        <v>140</v>
      </c>
    </row>
    <row r="566" spans="1:57" x14ac:dyDescent="0.25">
      <c r="A566" t="s">
        <v>40</v>
      </c>
      <c r="B566">
        <f>COUNTIF(B$3:B$53,"&gt;=18.42")</f>
        <v>51</v>
      </c>
      <c r="C566">
        <f t="shared" ref="C566:AG566" si="51">COUNTIF(C$3:C$53,"&gt;=18.42")</f>
        <v>51</v>
      </c>
      <c r="D566">
        <f t="shared" si="51"/>
        <v>51</v>
      </c>
      <c r="E566">
        <f t="shared" si="51"/>
        <v>51</v>
      </c>
      <c r="F566">
        <f t="shared" si="51"/>
        <v>51</v>
      </c>
      <c r="G566">
        <f t="shared" si="51"/>
        <v>51</v>
      </c>
      <c r="H566">
        <f t="shared" si="51"/>
        <v>51</v>
      </c>
      <c r="I566">
        <f t="shared" si="51"/>
        <v>51</v>
      </c>
      <c r="J566">
        <f t="shared" si="51"/>
        <v>51</v>
      </c>
      <c r="K566">
        <f t="shared" si="51"/>
        <v>51</v>
      </c>
      <c r="L566">
        <f t="shared" si="51"/>
        <v>51</v>
      </c>
      <c r="M566">
        <f t="shared" si="51"/>
        <v>51</v>
      </c>
      <c r="N566">
        <f t="shared" si="51"/>
        <v>51</v>
      </c>
      <c r="O566">
        <f t="shared" si="51"/>
        <v>51</v>
      </c>
      <c r="P566">
        <f t="shared" si="51"/>
        <v>51</v>
      </c>
      <c r="Q566">
        <f t="shared" si="51"/>
        <v>51</v>
      </c>
      <c r="R566">
        <f t="shared" si="51"/>
        <v>51</v>
      </c>
      <c r="S566">
        <f t="shared" si="51"/>
        <v>51</v>
      </c>
      <c r="T566">
        <f t="shared" si="51"/>
        <v>51</v>
      </c>
      <c r="U566">
        <f t="shared" si="51"/>
        <v>51</v>
      </c>
      <c r="V566">
        <f t="shared" si="51"/>
        <v>51</v>
      </c>
      <c r="W566">
        <f t="shared" si="51"/>
        <v>51</v>
      </c>
      <c r="X566">
        <f t="shared" si="51"/>
        <v>51</v>
      </c>
      <c r="Y566">
        <f t="shared" si="51"/>
        <v>51</v>
      </c>
      <c r="Z566">
        <f t="shared" si="51"/>
        <v>51</v>
      </c>
      <c r="AA566">
        <f t="shared" si="51"/>
        <v>51</v>
      </c>
      <c r="AB566">
        <f t="shared" si="51"/>
        <v>51</v>
      </c>
      <c r="AC566">
        <f t="shared" si="51"/>
        <v>51</v>
      </c>
      <c r="AD566">
        <f t="shared" si="51"/>
        <v>51</v>
      </c>
      <c r="AE566">
        <f t="shared" si="51"/>
        <v>51</v>
      </c>
      <c r="AF566">
        <f t="shared" si="51"/>
        <v>51</v>
      </c>
      <c r="AG566">
        <f t="shared" si="51"/>
        <v>51</v>
      </c>
      <c r="AH566" t="s">
        <v>141</v>
      </c>
    </row>
    <row r="567" spans="1:57" x14ac:dyDescent="0.25">
      <c r="A567" t="s">
        <v>41</v>
      </c>
      <c r="B567">
        <f>COUNTIF(B$236:B$418,"&gt;=18.42")</f>
        <v>134</v>
      </c>
      <c r="C567">
        <f t="shared" ref="C567:AG567" si="52">COUNTIF(C$236:C$418,"&gt;=18.42")</f>
        <v>140</v>
      </c>
      <c r="D567">
        <f t="shared" si="52"/>
        <v>131</v>
      </c>
      <c r="E567">
        <f t="shared" si="52"/>
        <v>131</v>
      </c>
      <c r="F567">
        <f t="shared" si="52"/>
        <v>136</v>
      </c>
      <c r="G567">
        <f t="shared" si="52"/>
        <v>135</v>
      </c>
      <c r="H567">
        <f t="shared" si="52"/>
        <v>123</v>
      </c>
      <c r="I567">
        <f t="shared" si="52"/>
        <v>122</v>
      </c>
      <c r="J567">
        <f t="shared" si="52"/>
        <v>149</v>
      </c>
      <c r="K567">
        <f t="shared" si="52"/>
        <v>150</v>
      </c>
      <c r="L567">
        <f t="shared" si="52"/>
        <v>156</v>
      </c>
      <c r="M567">
        <f t="shared" si="52"/>
        <v>138</v>
      </c>
      <c r="N567">
        <f t="shared" si="52"/>
        <v>149</v>
      </c>
      <c r="O567">
        <f t="shared" si="52"/>
        <v>152</v>
      </c>
      <c r="P567">
        <f t="shared" si="52"/>
        <v>150</v>
      </c>
      <c r="Q567">
        <f t="shared" si="52"/>
        <v>140</v>
      </c>
      <c r="R567">
        <f t="shared" si="52"/>
        <v>151</v>
      </c>
      <c r="S567">
        <f t="shared" si="52"/>
        <v>112</v>
      </c>
      <c r="T567">
        <f t="shared" si="52"/>
        <v>150</v>
      </c>
      <c r="U567">
        <f t="shared" si="52"/>
        <v>160</v>
      </c>
      <c r="V567">
        <f t="shared" si="52"/>
        <v>154</v>
      </c>
      <c r="W567">
        <f t="shared" si="52"/>
        <v>158</v>
      </c>
      <c r="X567">
        <f t="shared" si="52"/>
        <v>156</v>
      </c>
      <c r="Y567">
        <f t="shared" si="52"/>
        <v>147</v>
      </c>
      <c r="Z567">
        <f t="shared" si="52"/>
        <v>160</v>
      </c>
      <c r="AA567">
        <f t="shared" si="52"/>
        <v>163</v>
      </c>
      <c r="AB567">
        <f t="shared" si="52"/>
        <v>149</v>
      </c>
      <c r="AC567">
        <f t="shared" si="52"/>
        <v>141</v>
      </c>
      <c r="AD567">
        <f t="shared" si="52"/>
        <v>157</v>
      </c>
      <c r="AE567">
        <f t="shared" si="52"/>
        <v>155</v>
      </c>
      <c r="AF567">
        <f t="shared" si="52"/>
        <v>155</v>
      </c>
      <c r="AG567">
        <f t="shared" si="52"/>
        <v>159</v>
      </c>
      <c r="AH567" t="s">
        <v>142</v>
      </c>
    </row>
    <row r="568" spans="1:57" x14ac:dyDescent="0.25">
      <c r="A568" t="s">
        <v>42</v>
      </c>
      <c r="B568">
        <f>SUM(B564,B565)</f>
        <v>29</v>
      </c>
      <c r="C568">
        <f t="shared" ref="C568:AG568" si="53">SUM(C564,C565)</f>
        <v>31</v>
      </c>
      <c r="D568">
        <f t="shared" si="53"/>
        <v>30</v>
      </c>
      <c r="E568">
        <f t="shared" si="53"/>
        <v>29</v>
      </c>
      <c r="F568">
        <f t="shared" si="53"/>
        <v>29</v>
      </c>
      <c r="G568">
        <f t="shared" si="53"/>
        <v>31</v>
      </c>
      <c r="H568">
        <f t="shared" si="53"/>
        <v>29</v>
      </c>
      <c r="I568">
        <f t="shared" si="53"/>
        <v>17</v>
      </c>
      <c r="J568">
        <f t="shared" si="53"/>
        <v>30</v>
      </c>
      <c r="K568">
        <f t="shared" si="53"/>
        <v>36</v>
      </c>
      <c r="L568">
        <f t="shared" si="53"/>
        <v>35</v>
      </c>
      <c r="M568">
        <f t="shared" si="53"/>
        <v>31</v>
      </c>
      <c r="N568">
        <f t="shared" si="53"/>
        <v>31</v>
      </c>
      <c r="O568">
        <f t="shared" si="53"/>
        <v>35</v>
      </c>
      <c r="P568">
        <f t="shared" si="53"/>
        <v>35</v>
      </c>
      <c r="Q568">
        <f t="shared" si="53"/>
        <v>32</v>
      </c>
      <c r="R568">
        <f t="shared" si="53"/>
        <v>35</v>
      </c>
      <c r="S568">
        <f t="shared" si="53"/>
        <v>6</v>
      </c>
      <c r="T568">
        <f t="shared" si="53"/>
        <v>28</v>
      </c>
      <c r="U568">
        <f t="shared" si="53"/>
        <v>18</v>
      </c>
      <c r="V568">
        <f t="shared" si="53"/>
        <v>25</v>
      </c>
      <c r="W568">
        <f t="shared" si="53"/>
        <v>16</v>
      </c>
      <c r="X568">
        <f t="shared" si="53"/>
        <v>20</v>
      </c>
      <c r="Y568">
        <f t="shared" si="53"/>
        <v>33</v>
      </c>
      <c r="Z568">
        <f t="shared" si="53"/>
        <v>31</v>
      </c>
      <c r="AA568">
        <f t="shared" si="53"/>
        <v>36</v>
      </c>
      <c r="AB568">
        <f t="shared" si="53"/>
        <v>35</v>
      </c>
      <c r="AC568">
        <f t="shared" si="53"/>
        <v>19</v>
      </c>
      <c r="AD568">
        <f t="shared" si="53"/>
        <v>35</v>
      </c>
      <c r="AE568">
        <f t="shared" si="53"/>
        <v>24</v>
      </c>
      <c r="AF568">
        <f t="shared" si="53"/>
        <v>36</v>
      </c>
      <c r="AG568">
        <f t="shared" si="53"/>
        <v>35</v>
      </c>
    </row>
    <row r="569" spans="1:57" x14ac:dyDescent="0.25">
      <c r="A569" t="s">
        <v>43</v>
      </c>
      <c r="B569">
        <f>SUM(B566,B567)</f>
        <v>185</v>
      </c>
      <c r="C569">
        <f t="shared" ref="C569:AG569" si="54">SUM(C566,C567)</f>
        <v>191</v>
      </c>
      <c r="D569">
        <f t="shared" si="54"/>
        <v>182</v>
      </c>
      <c r="E569">
        <f t="shared" si="54"/>
        <v>182</v>
      </c>
      <c r="F569">
        <f t="shared" si="54"/>
        <v>187</v>
      </c>
      <c r="G569">
        <f t="shared" si="54"/>
        <v>186</v>
      </c>
      <c r="H569">
        <f t="shared" si="54"/>
        <v>174</v>
      </c>
      <c r="I569">
        <f t="shared" si="54"/>
        <v>173</v>
      </c>
      <c r="J569">
        <f t="shared" si="54"/>
        <v>200</v>
      </c>
      <c r="K569">
        <f t="shared" si="54"/>
        <v>201</v>
      </c>
      <c r="L569">
        <f t="shared" si="54"/>
        <v>207</v>
      </c>
      <c r="M569">
        <f t="shared" si="54"/>
        <v>189</v>
      </c>
      <c r="N569">
        <f t="shared" si="54"/>
        <v>200</v>
      </c>
      <c r="O569">
        <f t="shared" si="54"/>
        <v>203</v>
      </c>
      <c r="P569">
        <f t="shared" si="54"/>
        <v>201</v>
      </c>
      <c r="Q569">
        <f t="shared" si="54"/>
        <v>191</v>
      </c>
      <c r="R569">
        <f t="shared" si="54"/>
        <v>202</v>
      </c>
      <c r="S569">
        <f t="shared" si="54"/>
        <v>163</v>
      </c>
      <c r="T569">
        <f t="shared" si="54"/>
        <v>201</v>
      </c>
      <c r="U569">
        <f t="shared" si="54"/>
        <v>211</v>
      </c>
      <c r="V569">
        <f t="shared" si="54"/>
        <v>205</v>
      </c>
      <c r="W569">
        <f t="shared" si="54"/>
        <v>209</v>
      </c>
      <c r="X569">
        <f t="shared" si="54"/>
        <v>207</v>
      </c>
      <c r="Y569">
        <f t="shared" si="54"/>
        <v>198</v>
      </c>
      <c r="Z569">
        <f t="shared" si="54"/>
        <v>211</v>
      </c>
      <c r="AA569">
        <f t="shared" si="54"/>
        <v>214</v>
      </c>
      <c r="AB569">
        <f t="shared" si="54"/>
        <v>200</v>
      </c>
      <c r="AC569">
        <f t="shared" si="54"/>
        <v>192</v>
      </c>
      <c r="AD569">
        <f t="shared" si="54"/>
        <v>208</v>
      </c>
      <c r="AE569">
        <f t="shared" si="54"/>
        <v>206</v>
      </c>
      <c r="AF569">
        <f t="shared" si="54"/>
        <v>206</v>
      </c>
      <c r="AG569">
        <f t="shared" si="54"/>
        <v>210</v>
      </c>
    </row>
    <row r="572" spans="1:57" x14ac:dyDescent="0.25">
      <c r="D572" t="s">
        <v>73</v>
      </c>
      <c r="F572" t="s">
        <v>81</v>
      </c>
      <c r="S572" t="s">
        <v>68</v>
      </c>
      <c r="AA572" t="s">
        <v>68</v>
      </c>
      <c r="AE572" t="s">
        <v>69</v>
      </c>
      <c r="AI572" t="s">
        <v>68</v>
      </c>
      <c r="AQ572" t="s">
        <v>68</v>
      </c>
      <c r="AY572" t="s">
        <v>68</v>
      </c>
    </row>
    <row r="573" spans="1:57" x14ac:dyDescent="0.25">
      <c r="F573" t="s">
        <v>45</v>
      </c>
      <c r="S573" t="s">
        <v>46</v>
      </c>
      <c r="AA573" t="s">
        <v>47</v>
      </c>
      <c r="AE573" t="s">
        <v>48</v>
      </c>
      <c r="AI573" t="s">
        <v>46</v>
      </c>
      <c r="AK573" t="s">
        <v>49</v>
      </c>
      <c r="AL573" t="s">
        <v>33</v>
      </c>
      <c r="AM573" t="s">
        <v>34</v>
      </c>
      <c r="AN573" t="s">
        <v>35</v>
      </c>
      <c r="AO573" t="s">
        <v>36</v>
      </c>
      <c r="AQ573" t="s">
        <v>47</v>
      </c>
      <c r="AS573" t="s">
        <v>49</v>
      </c>
      <c r="AT573" t="s">
        <v>33</v>
      </c>
      <c r="AU573" t="s">
        <v>34</v>
      </c>
      <c r="AV573" t="s">
        <v>35</v>
      </c>
      <c r="AW573" t="s">
        <v>36</v>
      </c>
      <c r="AY573" t="s">
        <v>48</v>
      </c>
      <c r="BA573" t="s">
        <v>49</v>
      </c>
      <c r="BB573" t="s">
        <v>33</v>
      </c>
      <c r="BC573" t="s">
        <v>34</v>
      </c>
      <c r="BD573" t="s">
        <v>35</v>
      </c>
      <c r="BE573" t="s">
        <v>36</v>
      </c>
    </row>
    <row r="574" spans="1:57" x14ac:dyDescent="0.25">
      <c r="F574" t="s">
        <v>50</v>
      </c>
      <c r="M574" t="s">
        <v>51</v>
      </c>
      <c r="S574" t="s">
        <v>52</v>
      </c>
      <c r="U574">
        <f>COUNTIF(B52:AG52,"&lt;&gt;")</f>
        <v>32</v>
      </c>
      <c r="AA574" t="s">
        <v>52</v>
      </c>
      <c r="AC574">
        <f>COUNTIF(B52:AG52,"&lt;&gt;")</f>
        <v>32</v>
      </c>
      <c r="AE574" t="s">
        <v>52</v>
      </c>
      <c r="AG574">
        <f>COUNTIF(B52:AG52,"&lt;&gt;")</f>
        <v>32</v>
      </c>
      <c r="AI574" t="s">
        <v>52</v>
      </c>
      <c r="AK574">
        <f>COUNTIF($B$2:$AG$2,"&lt;&gt;")</f>
        <v>32</v>
      </c>
      <c r="AL574">
        <f>COUNTIF($B$2:$I$2,"&lt;&gt;")</f>
        <v>8</v>
      </c>
      <c r="AM574">
        <f>COUNTIF($J$2:$R$2,"&lt;&gt;")</f>
        <v>9</v>
      </c>
      <c r="AN574">
        <f>COUNTIF($S$2:$X$2,"&lt;&gt;")</f>
        <v>6</v>
      </c>
      <c r="AO574">
        <f>COUNTIF($Y$2:$AG$2,"&lt;&gt;")</f>
        <v>9</v>
      </c>
      <c r="AQ574" t="s">
        <v>52</v>
      </c>
      <c r="AS574">
        <f>COUNTIF($B$2:$AG$2,"&lt;&gt;")</f>
        <v>32</v>
      </c>
      <c r="AT574">
        <f>COUNTIF($B$2:$I$2,"&lt;&gt;")</f>
        <v>8</v>
      </c>
      <c r="AU574">
        <f>COUNTIF($J$2:$R$2,"&lt;&gt;")</f>
        <v>9</v>
      </c>
      <c r="AV574">
        <f>COUNTIF($S$2:$X$2,"&lt;&gt;")</f>
        <v>6</v>
      </c>
      <c r="AW574">
        <f>COUNTIF($Y$2:$AG$2,"&lt;&gt;")</f>
        <v>9</v>
      </c>
      <c r="AY574" t="s">
        <v>52</v>
      </c>
      <c r="BA574">
        <f>COUNTIF($B$2:$AG$2,"&lt;&gt;")</f>
        <v>32</v>
      </c>
      <c r="BB574">
        <f>COUNTIF($B$2:$I$2,"&lt;&gt;")</f>
        <v>8</v>
      </c>
      <c r="BC574">
        <f>COUNTIF($J$2:$R$2,"&lt;&gt;")</f>
        <v>9</v>
      </c>
      <c r="BD574">
        <f>COUNTIF($S$2:$X$2,"&lt;&gt;")</f>
        <v>6</v>
      </c>
      <c r="BE574">
        <f>COUNTIF($Y$2:$AG$2,"&lt;&gt;")</f>
        <v>9</v>
      </c>
    </row>
    <row r="575" spans="1:57" x14ac:dyDescent="0.25">
      <c r="F575" t="s">
        <v>53</v>
      </c>
      <c r="H575" t="s">
        <v>134</v>
      </c>
      <c r="J575">
        <f>COUNTIF($B$54:$B$235,"&lt;&gt;")</f>
        <v>182</v>
      </c>
      <c r="M575" t="s">
        <v>54</v>
      </c>
      <c r="S575" t="s">
        <v>55</v>
      </c>
      <c r="U575">
        <f>COUNTIF($A$3:$A$511,"&lt;&gt;")</f>
        <v>509</v>
      </c>
      <c r="AA575" t="s">
        <v>55</v>
      </c>
      <c r="AC575">
        <f>SUM($J$524:$J$525)</f>
        <v>275</v>
      </c>
      <c r="AE575" t="s">
        <v>55</v>
      </c>
      <c r="AG575">
        <f>SUM($Q$525:$Q$526)</f>
        <v>234</v>
      </c>
      <c r="AI575" t="s">
        <v>55</v>
      </c>
      <c r="AK575">
        <f>COUNTIF($A$3:$A$511,"&lt;&gt;")</f>
        <v>509</v>
      </c>
      <c r="AL575">
        <f t="shared" ref="AL575:AO575" si="55">COUNTIF($A$3:$A$511,"&lt;&gt;")</f>
        <v>509</v>
      </c>
      <c r="AM575">
        <f t="shared" si="55"/>
        <v>509</v>
      </c>
      <c r="AN575">
        <f t="shared" si="55"/>
        <v>509</v>
      </c>
      <c r="AO575">
        <f t="shared" si="55"/>
        <v>509</v>
      </c>
      <c r="AQ575" t="s">
        <v>55</v>
      </c>
      <c r="AS575">
        <f>SUM($J$524:$J$525)</f>
        <v>275</v>
      </c>
      <c r="AT575">
        <f t="shared" ref="AT575:AW575" si="56">SUM($J$524:$J$525)</f>
        <v>275</v>
      </c>
      <c r="AU575">
        <f t="shared" si="56"/>
        <v>275</v>
      </c>
      <c r="AV575">
        <f t="shared" si="56"/>
        <v>275</v>
      </c>
      <c r="AW575">
        <f t="shared" si="56"/>
        <v>275</v>
      </c>
      <c r="AY575" t="s">
        <v>55</v>
      </c>
      <c r="BA575">
        <f>SUM($Q$525:$Q$526)</f>
        <v>234</v>
      </c>
      <c r="BB575">
        <f t="shared" ref="BB575:BE575" si="57">SUM($Q$525:$Q$526)</f>
        <v>234</v>
      </c>
      <c r="BC575">
        <f t="shared" si="57"/>
        <v>234</v>
      </c>
      <c r="BD575">
        <f t="shared" si="57"/>
        <v>234</v>
      </c>
      <c r="BE575">
        <f t="shared" si="57"/>
        <v>234</v>
      </c>
    </row>
    <row r="576" spans="1:57" x14ac:dyDescent="0.25">
      <c r="F576" t="s">
        <v>56</v>
      </c>
      <c r="H576" t="s">
        <v>135</v>
      </c>
      <c r="J576">
        <f>COUNTIF($B$419:$B$511,"&lt;&gt;")</f>
        <v>93</v>
      </c>
      <c r="M576" t="s">
        <v>57</v>
      </c>
      <c r="O576" t="s">
        <v>137</v>
      </c>
      <c r="Q576">
        <f>COUNTIF($B$3:$B$53,"&lt;&gt;")</f>
        <v>51</v>
      </c>
      <c r="S576" t="s">
        <v>58</v>
      </c>
      <c r="U576">
        <f>U575*U574</f>
        <v>16288</v>
      </c>
      <c r="V576" t="s">
        <v>59</v>
      </c>
      <c r="AA576" t="s">
        <v>58</v>
      </c>
      <c r="AC576">
        <f>AC575*AC574</f>
        <v>8800</v>
      </c>
      <c r="AE576" t="s">
        <v>58</v>
      </c>
      <c r="AG576">
        <f>AG574*AG575</f>
        <v>7488</v>
      </c>
      <c r="AI576" t="s">
        <v>58</v>
      </c>
      <c r="AK576">
        <f>AK575*AK574</f>
        <v>16288</v>
      </c>
      <c r="AL576">
        <f t="shared" ref="AL576:AO576" si="58">AL575*AL574</f>
        <v>4072</v>
      </c>
      <c r="AM576">
        <f t="shared" si="58"/>
        <v>4581</v>
      </c>
      <c r="AN576">
        <f t="shared" si="58"/>
        <v>3054</v>
      </c>
      <c r="AO576">
        <f t="shared" si="58"/>
        <v>4581</v>
      </c>
      <c r="AQ576" t="s">
        <v>58</v>
      </c>
      <c r="AS576">
        <f>AS575*AS574</f>
        <v>8800</v>
      </c>
      <c r="AT576">
        <f t="shared" ref="AT576:AW576" si="59">AT575*AT574</f>
        <v>2200</v>
      </c>
      <c r="AU576">
        <f t="shared" si="59"/>
        <v>2475</v>
      </c>
      <c r="AV576">
        <f t="shared" si="59"/>
        <v>1650</v>
      </c>
      <c r="AW576">
        <f t="shared" si="59"/>
        <v>2475</v>
      </c>
      <c r="AY576" t="s">
        <v>58</v>
      </c>
      <c r="BA576">
        <f>BA575*BA574</f>
        <v>7488</v>
      </c>
      <c r="BB576">
        <f t="shared" ref="BB576:BE576" si="60">BB575*BB574</f>
        <v>1872</v>
      </c>
      <c r="BC576">
        <f t="shared" si="60"/>
        <v>2106</v>
      </c>
      <c r="BD576">
        <f t="shared" si="60"/>
        <v>1404</v>
      </c>
      <c r="BE576">
        <f t="shared" si="60"/>
        <v>2106</v>
      </c>
    </row>
    <row r="577" spans="1:57" x14ac:dyDescent="0.25">
      <c r="F577" t="s">
        <v>60</v>
      </c>
      <c r="H577" t="s">
        <v>136</v>
      </c>
      <c r="J577">
        <f>COUNTIF($A$737:$A$798,"&lt;&gt;")</f>
        <v>0</v>
      </c>
      <c r="M577" t="s">
        <v>61</v>
      </c>
      <c r="O577" t="s">
        <v>138</v>
      </c>
      <c r="Q577">
        <f>COUNTIF($B$236:$B$418,"&lt;&gt;")</f>
        <v>183</v>
      </c>
      <c r="S577" t="s">
        <v>82</v>
      </c>
      <c r="U577">
        <f>SUM(B563:AG563)</f>
        <v>7217</v>
      </c>
      <c r="V577" t="s">
        <v>63</v>
      </c>
      <c r="AA577" t="s">
        <v>82</v>
      </c>
      <c r="AC577">
        <f>SUM(B568:AG568)</f>
        <v>922</v>
      </c>
      <c r="AE577" t="s">
        <v>62</v>
      </c>
      <c r="AG577">
        <f>SUM(B569:AG569)</f>
        <v>6295</v>
      </c>
      <c r="AI577" t="s">
        <v>82</v>
      </c>
      <c r="AK577">
        <f>SUM(B563:AG563)</f>
        <v>7217</v>
      </c>
      <c r="AL577">
        <f>SUM(B563:I563)</f>
        <v>1685</v>
      </c>
      <c r="AM577">
        <f>SUM(J563:R563)</f>
        <v>2094</v>
      </c>
      <c r="AN577">
        <f>SUM(S563:X563)</f>
        <v>1309</v>
      </c>
      <c r="AO577">
        <f>SUM(Y563:AG563)</f>
        <v>2129</v>
      </c>
      <c r="AQ577" t="s">
        <v>82</v>
      </c>
      <c r="AS577">
        <f>SUM(B568:AG568)</f>
        <v>922</v>
      </c>
      <c r="AT577">
        <f>SUM(B568:I568)</f>
        <v>225</v>
      </c>
      <c r="AU577">
        <f>SUM(J568:R568)</f>
        <v>300</v>
      </c>
      <c r="AV577">
        <f>SUM(S568:X568)</f>
        <v>113</v>
      </c>
      <c r="AW577">
        <f>SUM(Y568:AG568)</f>
        <v>284</v>
      </c>
      <c r="AY577" t="s">
        <v>82</v>
      </c>
      <c r="BA577">
        <f>SUM($B569:$AG569)</f>
        <v>6295</v>
      </c>
      <c r="BB577">
        <f>SUM(B569:I569)</f>
        <v>1460</v>
      </c>
      <c r="BC577">
        <f>SUM(J569:R569)</f>
        <v>1794</v>
      </c>
      <c r="BD577">
        <f>SUM(S569:X569)</f>
        <v>1196</v>
      </c>
      <c r="BE577">
        <f>SUM(Y569:AG569)</f>
        <v>1845</v>
      </c>
    </row>
    <row r="578" spans="1:57" x14ac:dyDescent="0.25">
      <c r="S578" t="s">
        <v>64</v>
      </c>
      <c r="U578">
        <f>$U577/$U576</f>
        <v>0.4430869351669941</v>
      </c>
      <c r="AA578" t="s">
        <v>65</v>
      </c>
      <c r="AC578">
        <f>AC577/AC576</f>
        <v>0.10477272727272727</v>
      </c>
      <c r="AE578" t="s">
        <v>66</v>
      </c>
      <c r="AG578">
        <f>AG577/AG576</f>
        <v>0.84067841880341876</v>
      </c>
      <c r="AI578" t="s">
        <v>64</v>
      </c>
      <c r="AK578">
        <f>AK577/AK576</f>
        <v>0.4430869351669941</v>
      </c>
      <c r="AL578">
        <f t="shared" ref="AL578:AO578" si="61">AL577/AL576</f>
        <v>0.41380157170923382</v>
      </c>
      <c r="AM578">
        <f t="shared" si="61"/>
        <v>0.45710543549443355</v>
      </c>
      <c r="AN578">
        <f t="shared" si="61"/>
        <v>0.42861820563195807</v>
      </c>
      <c r="AO578">
        <f t="shared" si="61"/>
        <v>0.46474568871425453</v>
      </c>
      <c r="AQ578" t="s">
        <v>65</v>
      </c>
      <c r="AS578">
        <f>AS577/AS576</f>
        <v>0.10477272727272727</v>
      </c>
      <c r="AT578">
        <f t="shared" ref="AT578:AW578" si="62">AT577/AT576</f>
        <v>0.10227272727272728</v>
      </c>
      <c r="AU578">
        <f t="shared" si="62"/>
        <v>0.12121212121212122</v>
      </c>
      <c r="AV578">
        <f t="shared" si="62"/>
        <v>6.8484848484848482E-2</v>
      </c>
      <c r="AW578">
        <f t="shared" si="62"/>
        <v>0.11474747474747475</v>
      </c>
      <c r="AY578" t="s">
        <v>66</v>
      </c>
      <c r="BA578">
        <f>BA577/BA576</f>
        <v>0.84067841880341876</v>
      </c>
      <c r="BB578">
        <f t="shared" ref="BB578:BE578" si="63">BB577/BB576</f>
        <v>0.77991452991452992</v>
      </c>
      <c r="BC578">
        <f t="shared" si="63"/>
        <v>0.85185185185185186</v>
      </c>
      <c r="BD578">
        <f t="shared" si="63"/>
        <v>0.85185185185185186</v>
      </c>
      <c r="BE578">
        <f t="shared" si="63"/>
        <v>0.87606837606837606</v>
      </c>
    </row>
    <row r="580" spans="1:57" x14ac:dyDescent="0.25">
      <c r="A580" t="s">
        <v>37</v>
      </c>
      <c r="B580">
        <f>COUNTIF(B$3:B$511,"&lt;=18")</f>
        <v>285</v>
      </c>
      <c r="C580">
        <f t="shared" ref="C580:AG580" si="64">COUNTIF(C$3:C$511,"&lt;=18")</f>
        <v>276</v>
      </c>
      <c r="D580">
        <f t="shared" si="64"/>
        <v>286</v>
      </c>
      <c r="E580">
        <f t="shared" si="64"/>
        <v>291</v>
      </c>
      <c r="F580">
        <f t="shared" si="64"/>
        <v>283</v>
      </c>
      <c r="G580">
        <f t="shared" si="64"/>
        <v>280</v>
      </c>
      <c r="H580">
        <f t="shared" si="64"/>
        <v>291</v>
      </c>
      <c r="I580">
        <f t="shared" si="64"/>
        <v>305</v>
      </c>
      <c r="J580">
        <f t="shared" si="64"/>
        <v>273</v>
      </c>
      <c r="K580">
        <f t="shared" si="64"/>
        <v>268</v>
      </c>
      <c r="L580">
        <f t="shared" si="64"/>
        <v>262</v>
      </c>
      <c r="M580">
        <f t="shared" si="64"/>
        <v>279</v>
      </c>
      <c r="N580">
        <f t="shared" si="64"/>
        <v>275</v>
      </c>
      <c r="O580">
        <f t="shared" si="64"/>
        <v>264</v>
      </c>
      <c r="P580">
        <f t="shared" si="64"/>
        <v>269</v>
      </c>
      <c r="Q580">
        <f t="shared" si="64"/>
        <v>279</v>
      </c>
      <c r="R580">
        <f t="shared" si="64"/>
        <v>264</v>
      </c>
      <c r="S580">
        <f t="shared" si="64"/>
        <v>329</v>
      </c>
      <c r="T580">
        <f t="shared" si="64"/>
        <v>272</v>
      </c>
      <c r="U580">
        <f t="shared" si="64"/>
        <v>267</v>
      </c>
      <c r="V580">
        <f t="shared" si="64"/>
        <v>268</v>
      </c>
      <c r="W580">
        <f t="shared" si="64"/>
        <v>269</v>
      </c>
      <c r="X580">
        <f t="shared" si="64"/>
        <v>263</v>
      </c>
      <c r="Y580">
        <f t="shared" si="64"/>
        <v>271</v>
      </c>
      <c r="Z580">
        <f t="shared" si="64"/>
        <v>263</v>
      </c>
      <c r="AA580">
        <f t="shared" si="64"/>
        <v>254</v>
      </c>
      <c r="AB580">
        <f t="shared" si="64"/>
        <v>269</v>
      </c>
      <c r="AC580">
        <f t="shared" si="64"/>
        <v>283</v>
      </c>
      <c r="AD580">
        <f t="shared" si="64"/>
        <v>261</v>
      </c>
      <c r="AE580">
        <f t="shared" si="64"/>
        <v>263</v>
      </c>
      <c r="AF580">
        <f t="shared" si="64"/>
        <v>260</v>
      </c>
      <c r="AG580">
        <f t="shared" si="64"/>
        <v>261</v>
      </c>
    </row>
    <row r="581" spans="1:57" x14ac:dyDescent="0.25">
      <c r="A581" t="s">
        <v>38</v>
      </c>
      <c r="B581">
        <f>COUNTIF(B$54:B$235,"&lt;=18")</f>
        <v>158</v>
      </c>
      <c r="C581">
        <f t="shared" ref="C581:AG581" si="65">COUNTIF(C$54:C$235,"&lt;=18")</f>
        <v>157</v>
      </c>
      <c r="D581">
        <f t="shared" si="65"/>
        <v>157</v>
      </c>
      <c r="E581">
        <f t="shared" si="65"/>
        <v>158</v>
      </c>
      <c r="F581">
        <f t="shared" si="65"/>
        <v>157</v>
      </c>
      <c r="G581">
        <f t="shared" si="65"/>
        <v>157</v>
      </c>
      <c r="H581">
        <f t="shared" si="65"/>
        <v>158</v>
      </c>
      <c r="I581">
        <f t="shared" si="65"/>
        <v>164</v>
      </c>
      <c r="J581">
        <f t="shared" si="65"/>
        <v>159</v>
      </c>
      <c r="K581">
        <f t="shared" si="65"/>
        <v>157</v>
      </c>
      <c r="L581">
        <f t="shared" si="65"/>
        <v>157</v>
      </c>
      <c r="M581">
        <f t="shared" si="65"/>
        <v>157</v>
      </c>
      <c r="N581">
        <f t="shared" si="65"/>
        <v>157</v>
      </c>
      <c r="O581">
        <f t="shared" si="65"/>
        <v>157</v>
      </c>
      <c r="P581">
        <f t="shared" si="65"/>
        <v>157</v>
      </c>
      <c r="Q581">
        <f t="shared" si="65"/>
        <v>157</v>
      </c>
      <c r="R581">
        <f t="shared" si="65"/>
        <v>157</v>
      </c>
      <c r="S581">
        <f t="shared" si="65"/>
        <v>175</v>
      </c>
      <c r="T581">
        <f t="shared" si="65"/>
        <v>159</v>
      </c>
      <c r="U581">
        <f t="shared" si="65"/>
        <v>162</v>
      </c>
      <c r="V581">
        <f t="shared" si="65"/>
        <v>159</v>
      </c>
      <c r="W581">
        <f t="shared" si="65"/>
        <v>164</v>
      </c>
      <c r="X581">
        <f t="shared" si="65"/>
        <v>159</v>
      </c>
      <c r="Y581">
        <f t="shared" si="65"/>
        <v>157</v>
      </c>
      <c r="Z581">
        <f t="shared" si="65"/>
        <v>158</v>
      </c>
      <c r="AA581">
        <f t="shared" si="65"/>
        <v>156</v>
      </c>
      <c r="AB581">
        <f t="shared" si="65"/>
        <v>157</v>
      </c>
      <c r="AC581">
        <f t="shared" si="65"/>
        <v>165</v>
      </c>
      <c r="AD581">
        <f t="shared" si="65"/>
        <v>157</v>
      </c>
      <c r="AE581">
        <f t="shared" si="65"/>
        <v>160</v>
      </c>
      <c r="AF581">
        <f t="shared" si="65"/>
        <v>157</v>
      </c>
      <c r="AG581">
        <f t="shared" si="65"/>
        <v>157</v>
      </c>
      <c r="AH581" t="s">
        <v>139</v>
      </c>
    </row>
    <row r="582" spans="1:57" x14ac:dyDescent="0.25">
      <c r="A582" t="s">
        <v>39</v>
      </c>
      <c r="B582">
        <f>COUNTIF(B$419:B$511,"&lt;=18")</f>
        <v>86</v>
      </c>
      <c r="C582">
        <f t="shared" ref="C582:AG582" si="66">COUNTIF(C$419:C$511,"&lt;=18")</f>
        <v>85</v>
      </c>
      <c r="D582">
        <f t="shared" si="66"/>
        <v>86</v>
      </c>
      <c r="E582">
        <f t="shared" si="66"/>
        <v>86</v>
      </c>
      <c r="F582">
        <f t="shared" si="66"/>
        <v>86</v>
      </c>
      <c r="G582">
        <f t="shared" si="66"/>
        <v>85</v>
      </c>
      <c r="H582">
        <f t="shared" si="66"/>
        <v>85</v>
      </c>
      <c r="I582">
        <f t="shared" si="66"/>
        <v>88</v>
      </c>
      <c r="J582">
        <f t="shared" si="66"/>
        <v>86</v>
      </c>
      <c r="K582">
        <f t="shared" si="66"/>
        <v>82</v>
      </c>
      <c r="L582">
        <f t="shared" si="66"/>
        <v>82</v>
      </c>
      <c r="M582">
        <f t="shared" si="66"/>
        <v>85</v>
      </c>
      <c r="N582">
        <f t="shared" si="66"/>
        <v>85</v>
      </c>
      <c r="O582">
        <f t="shared" si="66"/>
        <v>83</v>
      </c>
      <c r="P582">
        <f t="shared" si="66"/>
        <v>83</v>
      </c>
      <c r="Q582">
        <f t="shared" si="66"/>
        <v>85</v>
      </c>
      <c r="R582">
        <f t="shared" si="66"/>
        <v>82</v>
      </c>
      <c r="S582">
        <f t="shared" si="66"/>
        <v>93</v>
      </c>
      <c r="T582">
        <f t="shared" si="66"/>
        <v>86</v>
      </c>
      <c r="U582">
        <f t="shared" si="66"/>
        <v>85</v>
      </c>
      <c r="V582">
        <f t="shared" si="66"/>
        <v>85</v>
      </c>
      <c r="W582">
        <f t="shared" si="66"/>
        <v>85</v>
      </c>
      <c r="X582">
        <f t="shared" si="66"/>
        <v>85</v>
      </c>
      <c r="Y582">
        <f t="shared" si="66"/>
        <v>83</v>
      </c>
      <c r="Z582">
        <f t="shared" si="66"/>
        <v>83</v>
      </c>
      <c r="AA582">
        <f t="shared" si="66"/>
        <v>82</v>
      </c>
      <c r="AB582">
        <f t="shared" si="66"/>
        <v>83</v>
      </c>
      <c r="AC582">
        <f t="shared" si="66"/>
        <v>86</v>
      </c>
      <c r="AD582">
        <f t="shared" si="66"/>
        <v>82</v>
      </c>
      <c r="AE582">
        <f t="shared" si="66"/>
        <v>86</v>
      </c>
      <c r="AF582">
        <f t="shared" si="66"/>
        <v>82</v>
      </c>
      <c r="AG582">
        <f t="shared" si="66"/>
        <v>83</v>
      </c>
      <c r="AH582" t="s">
        <v>140</v>
      </c>
    </row>
    <row r="583" spans="1:57" x14ac:dyDescent="0.25">
      <c r="A583" t="s">
        <v>40</v>
      </c>
      <c r="B583">
        <f>COUNTIF(B$3:B$53,"&lt;=18")</f>
        <v>0</v>
      </c>
      <c r="C583">
        <f t="shared" ref="C583:AG583" si="67">COUNTIF(C$3:C$53,"&lt;=18")</f>
        <v>0</v>
      </c>
      <c r="D583">
        <f t="shared" si="67"/>
        <v>0</v>
      </c>
      <c r="E583">
        <f t="shared" si="67"/>
        <v>0</v>
      </c>
      <c r="F583">
        <f t="shared" si="67"/>
        <v>0</v>
      </c>
      <c r="G583">
        <f t="shared" si="67"/>
        <v>0</v>
      </c>
      <c r="H583">
        <f t="shared" si="67"/>
        <v>0</v>
      </c>
      <c r="I583">
        <f t="shared" si="67"/>
        <v>0</v>
      </c>
      <c r="J583">
        <f t="shared" si="67"/>
        <v>0</v>
      </c>
      <c r="K583">
        <f t="shared" si="67"/>
        <v>0</v>
      </c>
      <c r="L583">
        <f t="shared" si="67"/>
        <v>0</v>
      </c>
      <c r="M583">
        <f t="shared" si="67"/>
        <v>0</v>
      </c>
      <c r="N583">
        <f t="shared" si="67"/>
        <v>0</v>
      </c>
      <c r="O583">
        <f t="shared" si="67"/>
        <v>0</v>
      </c>
      <c r="P583">
        <f t="shared" si="67"/>
        <v>0</v>
      </c>
      <c r="Q583">
        <f t="shared" si="67"/>
        <v>0</v>
      </c>
      <c r="R583">
        <f t="shared" si="67"/>
        <v>0</v>
      </c>
      <c r="S583">
        <f t="shared" si="67"/>
        <v>0</v>
      </c>
      <c r="T583">
        <f t="shared" si="67"/>
        <v>0</v>
      </c>
      <c r="U583">
        <f t="shared" si="67"/>
        <v>0</v>
      </c>
      <c r="V583">
        <f t="shared" si="67"/>
        <v>0</v>
      </c>
      <c r="W583">
        <f t="shared" si="67"/>
        <v>0</v>
      </c>
      <c r="X583">
        <f t="shared" si="67"/>
        <v>0</v>
      </c>
      <c r="Y583">
        <f t="shared" si="67"/>
        <v>0</v>
      </c>
      <c r="Z583">
        <f t="shared" si="67"/>
        <v>0</v>
      </c>
      <c r="AA583">
        <f t="shared" si="67"/>
        <v>0</v>
      </c>
      <c r="AB583">
        <f t="shared" si="67"/>
        <v>0</v>
      </c>
      <c r="AC583">
        <f t="shared" si="67"/>
        <v>0</v>
      </c>
      <c r="AD583">
        <f t="shared" si="67"/>
        <v>0</v>
      </c>
      <c r="AE583">
        <f t="shared" si="67"/>
        <v>0</v>
      </c>
      <c r="AF583">
        <f t="shared" si="67"/>
        <v>0</v>
      </c>
      <c r="AG583">
        <f t="shared" si="67"/>
        <v>0</v>
      </c>
      <c r="AH583" t="s">
        <v>141</v>
      </c>
    </row>
    <row r="584" spans="1:57" x14ac:dyDescent="0.25">
      <c r="A584" t="s">
        <v>41</v>
      </c>
      <c r="B584">
        <f>COUNTIF(B$236:B$418,"&lt;=18")</f>
        <v>41</v>
      </c>
      <c r="C584">
        <f t="shared" ref="C584:AG584" si="68">COUNTIF(C$236:C$418,"&lt;=18")</f>
        <v>34</v>
      </c>
      <c r="D584">
        <f t="shared" si="68"/>
        <v>43</v>
      </c>
      <c r="E584">
        <f t="shared" si="68"/>
        <v>47</v>
      </c>
      <c r="F584">
        <f t="shared" si="68"/>
        <v>40</v>
      </c>
      <c r="G584">
        <f t="shared" si="68"/>
        <v>38</v>
      </c>
      <c r="H584">
        <f t="shared" si="68"/>
        <v>48</v>
      </c>
      <c r="I584">
        <f t="shared" si="68"/>
        <v>53</v>
      </c>
      <c r="J584">
        <f t="shared" si="68"/>
        <v>28</v>
      </c>
      <c r="K584">
        <f t="shared" si="68"/>
        <v>29</v>
      </c>
      <c r="L584">
        <f t="shared" si="68"/>
        <v>23</v>
      </c>
      <c r="M584">
        <f t="shared" si="68"/>
        <v>37</v>
      </c>
      <c r="N584">
        <f t="shared" si="68"/>
        <v>33</v>
      </c>
      <c r="O584">
        <f t="shared" si="68"/>
        <v>24</v>
      </c>
      <c r="P584">
        <f t="shared" si="68"/>
        <v>29</v>
      </c>
      <c r="Q584">
        <f t="shared" si="68"/>
        <v>37</v>
      </c>
      <c r="R584">
        <f t="shared" si="68"/>
        <v>25</v>
      </c>
      <c r="S584">
        <f t="shared" si="68"/>
        <v>61</v>
      </c>
      <c r="T584">
        <f t="shared" si="68"/>
        <v>27</v>
      </c>
      <c r="U584">
        <f t="shared" si="68"/>
        <v>20</v>
      </c>
      <c r="V584">
        <f t="shared" si="68"/>
        <v>24</v>
      </c>
      <c r="W584">
        <f t="shared" si="68"/>
        <v>20</v>
      </c>
      <c r="X584">
        <f t="shared" si="68"/>
        <v>19</v>
      </c>
      <c r="Y584">
        <f t="shared" si="68"/>
        <v>31</v>
      </c>
      <c r="Z584">
        <f t="shared" si="68"/>
        <v>22</v>
      </c>
      <c r="AA584">
        <f t="shared" si="68"/>
        <v>16</v>
      </c>
      <c r="AB584">
        <f t="shared" si="68"/>
        <v>29</v>
      </c>
      <c r="AC584">
        <f t="shared" si="68"/>
        <v>32</v>
      </c>
      <c r="AD584">
        <f t="shared" si="68"/>
        <v>22</v>
      </c>
      <c r="AE584">
        <f t="shared" si="68"/>
        <v>17</v>
      </c>
      <c r="AF584">
        <f t="shared" si="68"/>
        <v>21</v>
      </c>
      <c r="AG584">
        <f t="shared" si="68"/>
        <v>21</v>
      </c>
      <c r="AH584" t="s">
        <v>142</v>
      </c>
    </row>
    <row r="585" spans="1:57" x14ac:dyDescent="0.25">
      <c r="A585" t="s">
        <v>42</v>
      </c>
      <c r="B585">
        <f t="shared" ref="B585:AG585" si="69">SUM(B$581,B$582)</f>
        <v>244</v>
      </c>
      <c r="C585">
        <f t="shared" si="69"/>
        <v>242</v>
      </c>
      <c r="D585">
        <f t="shared" si="69"/>
        <v>243</v>
      </c>
      <c r="E585">
        <f t="shared" si="69"/>
        <v>244</v>
      </c>
      <c r="F585">
        <f t="shared" si="69"/>
        <v>243</v>
      </c>
      <c r="G585">
        <f t="shared" si="69"/>
        <v>242</v>
      </c>
      <c r="H585">
        <f t="shared" si="69"/>
        <v>243</v>
      </c>
      <c r="I585">
        <f t="shared" si="69"/>
        <v>252</v>
      </c>
      <c r="J585">
        <f t="shared" si="69"/>
        <v>245</v>
      </c>
      <c r="K585">
        <f t="shared" si="69"/>
        <v>239</v>
      </c>
      <c r="L585">
        <f t="shared" si="69"/>
        <v>239</v>
      </c>
      <c r="M585">
        <f t="shared" si="69"/>
        <v>242</v>
      </c>
      <c r="N585">
        <f t="shared" si="69"/>
        <v>242</v>
      </c>
      <c r="O585">
        <f t="shared" si="69"/>
        <v>240</v>
      </c>
      <c r="P585">
        <f t="shared" si="69"/>
        <v>240</v>
      </c>
      <c r="Q585">
        <f t="shared" si="69"/>
        <v>242</v>
      </c>
      <c r="R585">
        <f t="shared" si="69"/>
        <v>239</v>
      </c>
      <c r="S585">
        <f t="shared" si="69"/>
        <v>268</v>
      </c>
      <c r="T585">
        <f t="shared" si="69"/>
        <v>245</v>
      </c>
      <c r="U585">
        <f t="shared" si="69"/>
        <v>247</v>
      </c>
      <c r="V585">
        <f t="shared" si="69"/>
        <v>244</v>
      </c>
      <c r="W585">
        <f t="shared" si="69"/>
        <v>249</v>
      </c>
      <c r="X585">
        <f t="shared" si="69"/>
        <v>244</v>
      </c>
      <c r="Y585">
        <f t="shared" si="69"/>
        <v>240</v>
      </c>
      <c r="Z585">
        <f t="shared" si="69"/>
        <v>241</v>
      </c>
      <c r="AA585">
        <f t="shared" si="69"/>
        <v>238</v>
      </c>
      <c r="AB585">
        <f t="shared" si="69"/>
        <v>240</v>
      </c>
      <c r="AC585">
        <f t="shared" si="69"/>
        <v>251</v>
      </c>
      <c r="AD585">
        <f t="shared" si="69"/>
        <v>239</v>
      </c>
      <c r="AE585">
        <f t="shared" si="69"/>
        <v>246</v>
      </c>
      <c r="AF585">
        <f t="shared" si="69"/>
        <v>239</v>
      </c>
      <c r="AG585">
        <f t="shared" si="69"/>
        <v>240</v>
      </c>
    </row>
    <row r="586" spans="1:57" x14ac:dyDescent="0.25">
      <c r="A586" t="s">
        <v>43</v>
      </c>
      <c r="B586">
        <f t="shared" ref="B586:AG586" si="70">SUM(B$583,B$584)</f>
        <v>41</v>
      </c>
      <c r="C586">
        <f t="shared" si="70"/>
        <v>34</v>
      </c>
      <c r="D586">
        <f t="shared" si="70"/>
        <v>43</v>
      </c>
      <c r="E586">
        <f t="shared" si="70"/>
        <v>47</v>
      </c>
      <c r="F586">
        <f t="shared" si="70"/>
        <v>40</v>
      </c>
      <c r="G586">
        <f t="shared" si="70"/>
        <v>38</v>
      </c>
      <c r="H586">
        <f t="shared" si="70"/>
        <v>48</v>
      </c>
      <c r="I586">
        <f t="shared" si="70"/>
        <v>53</v>
      </c>
      <c r="J586">
        <f t="shared" si="70"/>
        <v>28</v>
      </c>
      <c r="K586">
        <f t="shared" si="70"/>
        <v>29</v>
      </c>
      <c r="L586">
        <f t="shared" si="70"/>
        <v>23</v>
      </c>
      <c r="M586">
        <f t="shared" si="70"/>
        <v>37</v>
      </c>
      <c r="N586">
        <f t="shared" si="70"/>
        <v>33</v>
      </c>
      <c r="O586">
        <f t="shared" si="70"/>
        <v>24</v>
      </c>
      <c r="P586">
        <f t="shared" si="70"/>
        <v>29</v>
      </c>
      <c r="Q586">
        <f t="shared" si="70"/>
        <v>37</v>
      </c>
      <c r="R586">
        <f t="shared" si="70"/>
        <v>25</v>
      </c>
      <c r="S586">
        <f t="shared" si="70"/>
        <v>61</v>
      </c>
      <c r="T586">
        <f t="shared" si="70"/>
        <v>27</v>
      </c>
      <c r="U586">
        <f t="shared" si="70"/>
        <v>20</v>
      </c>
      <c r="V586">
        <f t="shared" si="70"/>
        <v>24</v>
      </c>
      <c r="W586">
        <f t="shared" si="70"/>
        <v>20</v>
      </c>
      <c r="X586">
        <f t="shared" si="70"/>
        <v>19</v>
      </c>
      <c r="Y586">
        <f t="shared" si="70"/>
        <v>31</v>
      </c>
      <c r="Z586">
        <f t="shared" si="70"/>
        <v>22</v>
      </c>
      <c r="AA586">
        <f t="shared" si="70"/>
        <v>16</v>
      </c>
      <c r="AB586">
        <f t="shared" si="70"/>
        <v>29</v>
      </c>
      <c r="AC586">
        <f t="shared" si="70"/>
        <v>32</v>
      </c>
      <c r="AD586">
        <f t="shared" si="70"/>
        <v>22</v>
      </c>
      <c r="AE586">
        <f t="shared" si="70"/>
        <v>17</v>
      </c>
      <c r="AF586">
        <f t="shared" si="70"/>
        <v>21</v>
      </c>
      <c r="AG586">
        <f t="shared" si="70"/>
        <v>21</v>
      </c>
    </row>
    <row r="589" spans="1:57" x14ac:dyDescent="0.25">
      <c r="D589" t="s">
        <v>74</v>
      </c>
      <c r="F589" t="s">
        <v>83</v>
      </c>
      <c r="S589" t="s">
        <v>96</v>
      </c>
      <c r="AA589" t="s">
        <v>96</v>
      </c>
      <c r="AE589" t="s">
        <v>96</v>
      </c>
      <c r="AI589" t="s">
        <v>96</v>
      </c>
      <c r="AQ589" t="s">
        <v>96</v>
      </c>
      <c r="AY589" t="s">
        <v>96</v>
      </c>
    </row>
    <row r="590" spans="1:57" x14ac:dyDescent="0.25">
      <c r="F590" t="s">
        <v>45</v>
      </c>
      <c r="S590" t="s">
        <v>46</v>
      </c>
      <c r="AA590" t="s">
        <v>47</v>
      </c>
      <c r="AE590" t="s">
        <v>48</v>
      </c>
      <c r="AI590" t="s">
        <v>46</v>
      </c>
      <c r="AK590" t="s">
        <v>49</v>
      </c>
      <c r="AL590" t="s">
        <v>33</v>
      </c>
      <c r="AM590" t="s">
        <v>34</v>
      </c>
      <c r="AN590" t="s">
        <v>35</v>
      </c>
      <c r="AO590" t="s">
        <v>36</v>
      </c>
      <c r="AQ590" t="s">
        <v>47</v>
      </c>
      <c r="AS590" t="s">
        <v>49</v>
      </c>
      <c r="AT590" t="s">
        <v>33</v>
      </c>
      <c r="AU590" t="s">
        <v>34</v>
      </c>
      <c r="AV590" t="s">
        <v>35</v>
      </c>
      <c r="AW590" t="s">
        <v>36</v>
      </c>
      <c r="AY590" t="s">
        <v>48</v>
      </c>
      <c r="BA590" t="s">
        <v>49</v>
      </c>
      <c r="BB590" t="s">
        <v>33</v>
      </c>
      <c r="BC590" t="s">
        <v>34</v>
      </c>
      <c r="BD590" t="s">
        <v>35</v>
      </c>
      <c r="BE590" t="s">
        <v>36</v>
      </c>
    </row>
    <row r="591" spans="1:57" x14ac:dyDescent="0.25">
      <c r="F591" t="s">
        <v>50</v>
      </c>
      <c r="M591" t="s">
        <v>51</v>
      </c>
      <c r="S591" t="s">
        <v>52</v>
      </c>
      <c r="U591">
        <f>COUNTIF(B69:AG69,"&lt;&gt;")</f>
        <v>32</v>
      </c>
      <c r="AA591" t="s">
        <v>52</v>
      </c>
      <c r="AC591">
        <f>COUNTIF(B69:AG69,"&lt;&gt;")</f>
        <v>32</v>
      </c>
      <c r="AE591" t="s">
        <v>52</v>
      </c>
      <c r="AG591">
        <f>COUNTIF(B69:AG69,"&lt;&gt;")</f>
        <v>32</v>
      </c>
      <c r="AI591" t="s">
        <v>52</v>
      </c>
      <c r="AK591">
        <f>COUNTIF($B$2:$AG$2,"&lt;&gt;")</f>
        <v>32</v>
      </c>
      <c r="AL591">
        <f>COUNTIF($B$2:$I$2,"&lt;&gt;")</f>
        <v>8</v>
      </c>
      <c r="AM591">
        <f>COUNTIF($J$2:$R$2,"&lt;&gt;")</f>
        <v>9</v>
      </c>
      <c r="AN591">
        <f>COUNTIF($S$2:$X$2,"&lt;&gt;")</f>
        <v>6</v>
      </c>
      <c r="AO591">
        <f>COUNTIF($Y$2:$AG$2,"&lt;&gt;")</f>
        <v>9</v>
      </c>
      <c r="AQ591" t="s">
        <v>52</v>
      </c>
      <c r="AS591">
        <f>COUNTIF($B$2:$AG$2,"&lt;&gt;")</f>
        <v>32</v>
      </c>
      <c r="AT591">
        <f>COUNTIF($B$2:$I$2,"&lt;&gt;")</f>
        <v>8</v>
      </c>
      <c r="AU591">
        <f>COUNTIF($J$2:$R$2,"&lt;&gt;")</f>
        <v>9</v>
      </c>
      <c r="AV591">
        <f>COUNTIF($S$2:$X$2,"&lt;&gt;")</f>
        <v>6</v>
      </c>
      <c r="AW591">
        <f>COUNTIF($Y$2:$AG$2,"&lt;&gt;")</f>
        <v>9</v>
      </c>
      <c r="AY591" t="s">
        <v>52</v>
      </c>
      <c r="BA591">
        <f>COUNTIF($B$2:$AG$2,"&lt;&gt;")</f>
        <v>32</v>
      </c>
      <c r="BB591">
        <f>COUNTIF($B$2:$I$2,"&lt;&gt;")</f>
        <v>8</v>
      </c>
      <c r="BC591">
        <f>COUNTIF($J$2:$R$2,"&lt;&gt;")</f>
        <v>9</v>
      </c>
      <c r="BD591">
        <f>COUNTIF($S$2:$X$2,"&lt;&gt;")</f>
        <v>6</v>
      </c>
      <c r="BE591">
        <f>COUNTIF($Y$2:$AG$2,"&lt;&gt;")</f>
        <v>9</v>
      </c>
    </row>
    <row r="592" spans="1:57" x14ac:dyDescent="0.25">
      <c r="F592" t="s">
        <v>53</v>
      </c>
      <c r="H592" t="s">
        <v>134</v>
      </c>
      <c r="J592">
        <f>COUNTIF($B$54:$B$235,"&lt;&gt;")</f>
        <v>182</v>
      </c>
      <c r="M592" t="s">
        <v>54</v>
      </c>
      <c r="S592" t="s">
        <v>55</v>
      </c>
      <c r="U592">
        <f>COUNTIF($A$3:$A$511,"&lt;&gt;")</f>
        <v>509</v>
      </c>
      <c r="AA592" t="s">
        <v>55</v>
      </c>
      <c r="AC592">
        <f>SUM($J$524:$J$525)</f>
        <v>275</v>
      </c>
      <c r="AE592" t="s">
        <v>55</v>
      </c>
      <c r="AG592">
        <f>SUM($Q$525:$Q$526)</f>
        <v>234</v>
      </c>
      <c r="AI592" t="s">
        <v>55</v>
      </c>
      <c r="AK592">
        <f>COUNTIF($A$3:$A$511,"&lt;&gt;")</f>
        <v>509</v>
      </c>
      <c r="AL592">
        <f t="shared" ref="AL592:AO592" si="71">COUNTIF($A$3:$A$511,"&lt;&gt;")</f>
        <v>509</v>
      </c>
      <c r="AM592">
        <f t="shared" si="71"/>
        <v>509</v>
      </c>
      <c r="AN592">
        <f t="shared" si="71"/>
        <v>509</v>
      </c>
      <c r="AO592">
        <f t="shared" si="71"/>
        <v>509</v>
      </c>
      <c r="AQ592" t="s">
        <v>55</v>
      </c>
      <c r="AS592">
        <f>SUM($J$524:$J$525)</f>
        <v>275</v>
      </c>
      <c r="AT592">
        <f t="shared" ref="AT592:AW592" si="72">SUM($J$524:$J$525)</f>
        <v>275</v>
      </c>
      <c r="AU592">
        <f t="shared" si="72"/>
        <v>275</v>
      </c>
      <c r="AV592">
        <f t="shared" si="72"/>
        <v>275</v>
      </c>
      <c r="AW592">
        <f t="shared" si="72"/>
        <v>275</v>
      </c>
      <c r="AY592" t="s">
        <v>55</v>
      </c>
      <c r="BA592">
        <f>SUM($Q$525:$Q$526)</f>
        <v>234</v>
      </c>
      <c r="BB592">
        <f t="shared" ref="BB592:BE592" si="73">SUM($Q$525:$Q$526)</f>
        <v>234</v>
      </c>
      <c r="BC592">
        <f t="shared" si="73"/>
        <v>234</v>
      </c>
      <c r="BD592">
        <f t="shared" si="73"/>
        <v>234</v>
      </c>
      <c r="BE592">
        <f t="shared" si="73"/>
        <v>234</v>
      </c>
    </row>
    <row r="593" spans="6:57" x14ac:dyDescent="0.25">
      <c r="F593" t="s">
        <v>56</v>
      </c>
      <c r="H593" t="s">
        <v>135</v>
      </c>
      <c r="J593">
        <f>COUNTIF($B$419:$B$511,"&lt;&gt;")</f>
        <v>93</v>
      </c>
      <c r="M593" t="s">
        <v>57</v>
      </c>
      <c r="O593" t="s">
        <v>137</v>
      </c>
      <c r="Q593">
        <f>COUNTIF($B$3:$B$53,"&lt;&gt;")</f>
        <v>51</v>
      </c>
      <c r="S593" t="s">
        <v>58</v>
      </c>
      <c r="U593">
        <f>U592*U591</f>
        <v>16288</v>
      </c>
      <c r="V593" t="s">
        <v>59</v>
      </c>
      <c r="AA593" t="s">
        <v>58</v>
      </c>
      <c r="AC593">
        <f>AC592*AC591</f>
        <v>8800</v>
      </c>
      <c r="AE593" t="s">
        <v>58</v>
      </c>
      <c r="AG593">
        <f>AG591*AG592</f>
        <v>7488</v>
      </c>
      <c r="AI593" t="s">
        <v>58</v>
      </c>
      <c r="AK593">
        <f>AK592*AK591</f>
        <v>16288</v>
      </c>
      <c r="AL593">
        <f t="shared" ref="AL593:AO593" si="74">AL592*AL591</f>
        <v>4072</v>
      </c>
      <c r="AM593">
        <f t="shared" si="74"/>
        <v>4581</v>
      </c>
      <c r="AN593">
        <f t="shared" si="74"/>
        <v>3054</v>
      </c>
      <c r="AO593">
        <f t="shared" si="74"/>
        <v>4581</v>
      </c>
      <c r="AQ593" t="s">
        <v>58</v>
      </c>
      <c r="AS593">
        <f>AS592*AS591</f>
        <v>8800</v>
      </c>
      <c r="AT593">
        <f t="shared" ref="AT593:AW593" si="75">AT592*AT591</f>
        <v>2200</v>
      </c>
      <c r="AU593">
        <f t="shared" si="75"/>
        <v>2475</v>
      </c>
      <c r="AV593">
        <f t="shared" si="75"/>
        <v>1650</v>
      </c>
      <c r="AW593">
        <f t="shared" si="75"/>
        <v>2475</v>
      </c>
      <c r="AY593" t="s">
        <v>58</v>
      </c>
      <c r="BA593">
        <f>BA592*BA591</f>
        <v>7488</v>
      </c>
      <c r="BB593">
        <f t="shared" ref="BB593:BE593" si="76">BB592*BB591</f>
        <v>1872</v>
      </c>
      <c r="BC593">
        <f t="shared" si="76"/>
        <v>2106</v>
      </c>
      <c r="BD593">
        <f t="shared" si="76"/>
        <v>1404</v>
      </c>
      <c r="BE593">
        <f t="shared" si="76"/>
        <v>2106</v>
      </c>
    </row>
    <row r="594" spans="6:57" x14ac:dyDescent="0.25">
      <c r="F594" t="s">
        <v>60</v>
      </c>
      <c r="H594" t="s">
        <v>136</v>
      </c>
      <c r="J594">
        <f>COUNTIF($A$737:$A$798,"&lt;&gt;")</f>
        <v>0</v>
      </c>
      <c r="M594" t="s">
        <v>61</v>
      </c>
      <c r="O594" t="s">
        <v>138</v>
      </c>
      <c r="Q594">
        <f>COUNTIF($B$236:$B$418,"&lt;&gt;")</f>
        <v>183</v>
      </c>
      <c r="S594" t="s">
        <v>84</v>
      </c>
      <c r="U594">
        <f>SUM(B580:AG580)</f>
        <v>8783</v>
      </c>
      <c r="V594" t="s">
        <v>63</v>
      </c>
      <c r="AA594" t="s">
        <v>84</v>
      </c>
      <c r="AC594">
        <f>SUM(B585:AG585)</f>
        <v>7792</v>
      </c>
      <c r="AE594" t="s">
        <v>85</v>
      </c>
      <c r="AG594">
        <f>SUM(B586:AG586)</f>
        <v>991</v>
      </c>
      <c r="AI594" t="s">
        <v>84</v>
      </c>
      <c r="AK594">
        <f>SUM(B580:AG580)</f>
        <v>8783</v>
      </c>
      <c r="AL594">
        <f>SUM(B580:I580)</f>
        <v>2297</v>
      </c>
      <c r="AM594">
        <f>SUM(J580:R580)</f>
        <v>2433</v>
      </c>
      <c r="AN594">
        <f>SUM(S580:X580)</f>
        <v>1668</v>
      </c>
      <c r="AO594">
        <f>SUM(Y580:AG580)</f>
        <v>2385</v>
      </c>
      <c r="AQ594" t="s">
        <v>84</v>
      </c>
      <c r="AS594">
        <f>SUM(B585:AG585)</f>
        <v>7792</v>
      </c>
      <c r="AT594">
        <f>SUM(B585:I585)</f>
        <v>1953</v>
      </c>
      <c r="AU594">
        <f>SUM(J585:R585)</f>
        <v>2168</v>
      </c>
      <c r="AV594">
        <f>SUM(S585:X585)</f>
        <v>1497</v>
      </c>
      <c r="AW594">
        <f>SUM(Y585:AG585)</f>
        <v>2174</v>
      </c>
      <c r="AY594" t="s">
        <v>84</v>
      </c>
      <c r="BA594">
        <f>SUM($B586:$AG586)</f>
        <v>991</v>
      </c>
      <c r="BB594">
        <f>SUM(B586:I586)</f>
        <v>344</v>
      </c>
      <c r="BC594">
        <f>SUM(J586:R586)</f>
        <v>265</v>
      </c>
      <c r="BD594">
        <f>SUM(S586:X586)</f>
        <v>171</v>
      </c>
      <c r="BE594">
        <f>SUM(Y586:AG586)</f>
        <v>211</v>
      </c>
    </row>
    <row r="595" spans="6:57" x14ac:dyDescent="0.25">
      <c r="S595" t="s">
        <v>64</v>
      </c>
      <c r="U595">
        <f>$U594/$U593</f>
        <v>0.53923133595284878</v>
      </c>
      <c r="AA595" t="s">
        <v>65</v>
      </c>
      <c r="AC595">
        <f>AC594/AC593</f>
        <v>0.88545454545454549</v>
      </c>
      <c r="AE595" t="s">
        <v>66</v>
      </c>
      <c r="AG595">
        <f>AG594/AG593</f>
        <v>0.13234508547008547</v>
      </c>
      <c r="AI595" t="s">
        <v>64</v>
      </c>
      <c r="AK595">
        <f>AK594/AK593</f>
        <v>0.53923133595284878</v>
      </c>
      <c r="AL595">
        <f t="shared" ref="AL595:AO595" si="77">AL594/AL593</f>
        <v>0.56409626719056971</v>
      </c>
      <c r="AM595">
        <f t="shared" si="77"/>
        <v>0.53110674525212831</v>
      </c>
      <c r="AN595">
        <f t="shared" si="77"/>
        <v>0.5461689587426326</v>
      </c>
      <c r="AO595">
        <f t="shared" si="77"/>
        <v>0.52062868369351667</v>
      </c>
      <c r="AQ595" t="s">
        <v>65</v>
      </c>
      <c r="AS595">
        <f>AS594/AS593</f>
        <v>0.88545454545454549</v>
      </c>
      <c r="AT595">
        <f t="shared" ref="AT595:AW595" si="78">AT594/AT593</f>
        <v>0.8877272727272727</v>
      </c>
      <c r="AU595">
        <f t="shared" si="78"/>
        <v>0.87595959595959594</v>
      </c>
      <c r="AV595">
        <f t="shared" si="78"/>
        <v>0.90727272727272723</v>
      </c>
      <c r="AW595">
        <f t="shared" si="78"/>
        <v>0.87838383838383838</v>
      </c>
      <c r="AY595" t="s">
        <v>66</v>
      </c>
      <c r="BA595">
        <f>BA594/BA593</f>
        <v>0.13234508547008547</v>
      </c>
      <c r="BB595">
        <f t="shared" ref="BB595:BE595" si="79">BB594/BB593</f>
        <v>0.18376068376068377</v>
      </c>
      <c r="BC595">
        <f t="shared" si="79"/>
        <v>0.12583095916429249</v>
      </c>
      <c r="BD595">
        <f t="shared" si="79"/>
        <v>0.12179487179487179</v>
      </c>
      <c r="BE595">
        <f t="shared" si="79"/>
        <v>0.10018993352326686</v>
      </c>
    </row>
  </sheetData>
  <mergeCells count="4">
    <mergeCell ref="B1:I1"/>
    <mergeCell ref="J1:R1"/>
    <mergeCell ref="S1:X1"/>
    <mergeCell ref="Y1:AG1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595"/>
  <sheetViews>
    <sheetView topLeftCell="C507" workbookViewId="0">
      <selection activeCell="AG540" sqref="AG540"/>
    </sheetView>
  </sheetViews>
  <sheetFormatPr defaultColWidth="11.42578125" defaultRowHeight="15" x14ac:dyDescent="0.25"/>
  <sheetData>
    <row r="1" spans="1:33" x14ac:dyDescent="0.25">
      <c r="B1" s="100" t="s">
        <v>33</v>
      </c>
      <c r="C1" s="100"/>
      <c r="D1" s="100"/>
      <c r="E1" s="100"/>
      <c r="F1" s="100"/>
      <c r="G1" s="100"/>
      <c r="H1" s="100"/>
      <c r="I1" s="100"/>
      <c r="J1" s="101" t="s">
        <v>34</v>
      </c>
      <c r="K1" s="101"/>
      <c r="L1" s="101"/>
      <c r="M1" s="101"/>
      <c r="N1" s="101"/>
      <c r="O1" s="101"/>
      <c r="P1" s="101"/>
      <c r="Q1" s="101"/>
      <c r="R1" s="101"/>
      <c r="S1" s="102" t="s">
        <v>35</v>
      </c>
      <c r="T1" s="102"/>
      <c r="U1" s="102"/>
      <c r="V1" s="102"/>
      <c r="W1" s="102"/>
      <c r="X1" s="102"/>
      <c r="Y1" s="103" t="s">
        <v>36</v>
      </c>
      <c r="Z1" s="103"/>
      <c r="AA1" s="103"/>
      <c r="AB1" s="103"/>
      <c r="AC1" s="103"/>
      <c r="AD1" s="103"/>
      <c r="AE1" s="103"/>
      <c r="AF1" s="103"/>
      <c r="AG1" s="103"/>
    </row>
    <row r="2" spans="1:3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</row>
    <row r="3" spans="1:33" x14ac:dyDescent="0.25">
      <c r="A3" s="1">
        <v>44054</v>
      </c>
      <c r="B3">
        <v>22.561167000000001</v>
      </c>
      <c r="C3">
        <v>21.900866000000001</v>
      </c>
      <c r="D3">
        <v>22.431374000000002</v>
      </c>
      <c r="E3">
        <v>22.658657000000002</v>
      </c>
      <c r="F3">
        <v>20.755604000000002</v>
      </c>
      <c r="G3">
        <v>21.305942999999999</v>
      </c>
      <c r="H3">
        <v>20.295062999999999</v>
      </c>
      <c r="I3">
        <v>20.915883999999998</v>
      </c>
      <c r="J3">
        <v>23.262360000000001</v>
      </c>
      <c r="K3">
        <v>22.902151</v>
      </c>
      <c r="L3">
        <v>23.922974</v>
      </c>
      <c r="M3">
        <v>21.527104999999999</v>
      </c>
      <c r="N3">
        <v>22.212928999999999</v>
      </c>
      <c r="O3">
        <v>23.734663000000001</v>
      </c>
      <c r="P3">
        <v>22.804358000000001</v>
      </c>
      <c r="Q3">
        <v>21.600944999999999</v>
      </c>
      <c r="R3">
        <v>23.547197000000001</v>
      </c>
      <c r="S3">
        <v>22.026029999999999</v>
      </c>
      <c r="T3">
        <v>23.295100000000001</v>
      </c>
      <c r="U3">
        <v>23.667925</v>
      </c>
      <c r="V3">
        <v>23.212554999999998</v>
      </c>
      <c r="W3">
        <v>23.668299000000001</v>
      </c>
      <c r="X3">
        <v>23.267375999999999</v>
      </c>
      <c r="Y3">
        <v>25.639959999999999</v>
      </c>
      <c r="Z3">
        <v>24.260311000000002</v>
      </c>
      <c r="AA3">
        <v>25.027056000000002</v>
      </c>
      <c r="AB3">
        <v>25.589601999999999</v>
      </c>
      <c r="AC3">
        <v>26.869795</v>
      </c>
      <c r="AD3">
        <v>24.109625000000001</v>
      </c>
      <c r="AE3">
        <v>25.979979</v>
      </c>
      <c r="AF3">
        <v>26.154972000000001</v>
      </c>
      <c r="AG3">
        <v>25.606394000000002</v>
      </c>
    </row>
    <row r="4" spans="1:33" x14ac:dyDescent="0.25">
      <c r="A4" s="1">
        <v>44055</v>
      </c>
      <c r="B4">
        <v>22.74042</v>
      </c>
      <c r="C4">
        <v>22.153915000000001</v>
      </c>
      <c r="D4">
        <v>22.397397999999999</v>
      </c>
      <c r="E4">
        <v>22.537116999999999</v>
      </c>
      <c r="F4">
        <v>21.165087</v>
      </c>
      <c r="G4">
        <v>21.155889999999999</v>
      </c>
      <c r="H4">
        <v>20.241066</v>
      </c>
      <c r="I4">
        <v>20.554796</v>
      </c>
      <c r="J4">
        <v>23.010259999999999</v>
      </c>
      <c r="K4">
        <v>22.665533</v>
      </c>
      <c r="L4">
        <v>23.853231000000001</v>
      </c>
      <c r="M4">
        <v>21.423048000000001</v>
      </c>
      <c r="N4">
        <v>22.061743</v>
      </c>
      <c r="O4">
        <v>23.584513000000001</v>
      </c>
      <c r="P4">
        <v>22.579689999999999</v>
      </c>
      <c r="Q4">
        <v>21.466574000000001</v>
      </c>
      <c r="R4">
        <v>23.374191</v>
      </c>
      <c r="S4">
        <v>20.789712999999999</v>
      </c>
      <c r="T4">
        <v>22.949898000000001</v>
      </c>
      <c r="U4">
        <v>23.722028999999999</v>
      </c>
      <c r="V4">
        <v>23.241036999999999</v>
      </c>
      <c r="W4">
        <v>23.462022999999999</v>
      </c>
      <c r="X4">
        <v>23.407468999999999</v>
      </c>
      <c r="Y4">
        <v>25.615449999999999</v>
      </c>
      <c r="Z4">
        <v>24.224226000000002</v>
      </c>
      <c r="AA4">
        <v>25.271826000000001</v>
      </c>
      <c r="AB4">
        <v>25.544225999999998</v>
      </c>
      <c r="AC4">
        <v>26.656714999999998</v>
      </c>
      <c r="AD4">
        <v>24.078562000000002</v>
      </c>
      <c r="AE4">
        <v>25.707542</v>
      </c>
      <c r="AF4">
        <v>26.248161</v>
      </c>
      <c r="AG4">
        <v>25.346062</v>
      </c>
    </row>
    <row r="5" spans="1:33" x14ac:dyDescent="0.25">
      <c r="A5" s="1">
        <v>44056</v>
      </c>
      <c r="B5">
        <v>23.227460000000001</v>
      </c>
      <c r="C5">
        <v>22.355889999999999</v>
      </c>
      <c r="D5">
        <v>22.437581999999999</v>
      </c>
      <c r="E5">
        <v>22.548113000000001</v>
      </c>
      <c r="F5">
        <v>21.404070000000001</v>
      </c>
      <c r="G5">
        <v>21.246919999999999</v>
      </c>
      <c r="H5">
        <v>20.402895000000001</v>
      </c>
      <c r="I5">
        <v>20.447797999999999</v>
      </c>
      <c r="J5">
        <v>23.277902999999998</v>
      </c>
      <c r="K5">
        <v>22.724202999999999</v>
      </c>
      <c r="L5">
        <v>23.940252000000001</v>
      </c>
      <c r="M5">
        <v>21.520294</v>
      </c>
      <c r="N5">
        <v>22.237601999999999</v>
      </c>
      <c r="O5">
        <v>23.701136000000002</v>
      </c>
      <c r="P5">
        <v>22.648384</v>
      </c>
      <c r="Q5">
        <v>21.500997999999999</v>
      </c>
      <c r="R5">
        <v>23.502935000000001</v>
      </c>
      <c r="S5">
        <v>20.76454</v>
      </c>
      <c r="T5">
        <v>23.10492</v>
      </c>
      <c r="U5">
        <v>23.10276</v>
      </c>
      <c r="V5">
        <v>23.687097999999999</v>
      </c>
      <c r="W5">
        <v>22.540496999999998</v>
      </c>
      <c r="X5">
        <v>23.942426999999999</v>
      </c>
      <c r="Y5">
        <v>25.69858</v>
      </c>
      <c r="Z5">
        <v>24.476133000000001</v>
      </c>
      <c r="AA5">
        <v>25.610900000000001</v>
      </c>
      <c r="AB5">
        <v>25.637502999999999</v>
      </c>
      <c r="AC5">
        <v>26.674868</v>
      </c>
      <c r="AD5">
        <v>24.160741999999999</v>
      </c>
      <c r="AE5">
        <v>26.152246000000002</v>
      </c>
      <c r="AF5">
        <v>26.415037000000002</v>
      </c>
      <c r="AG5">
        <v>25.395337999999999</v>
      </c>
    </row>
    <row r="6" spans="1:33" x14ac:dyDescent="0.25">
      <c r="A6" s="1">
        <v>44057</v>
      </c>
      <c r="B6">
        <v>23.840676999999999</v>
      </c>
      <c r="C6">
        <v>22.704184000000001</v>
      </c>
      <c r="D6">
        <v>22.734663000000001</v>
      </c>
      <c r="E6">
        <v>22.77083</v>
      </c>
      <c r="F6">
        <v>21.927412</v>
      </c>
      <c r="G6">
        <v>21.539238000000001</v>
      </c>
      <c r="H6">
        <v>20.715693000000002</v>
      </c>
      <c r="I6">
        <v>21.005316000000001</v>
      </c>
      <c r="J6">
        <v>24.049723</v>
      </c>
      <c r="K6">
        <v>23.063569999999999</v>
      </c>
      <c r="L6">
        <v>24.244005000000001</v>
      </c>
      <c r="M6">
        <v>21.828493000000002</v>
      </c>
      <c r="N6">
        <v>22.651405</v>
      </c>
      <c r="O6">
        <v>24.079139999999999</v>
      </c>
      <c r="P6">
        <v>22.973355999999999</v>
      </c>
      <c r="Q6">
        <v>21.781835999999998</v>
      </c>
      <c r="R6">
        <v>23.82911</v>
      </c>
      <c r="S6">
        <v>21.773895</v>
      </c>
      <c r="T6">
        <v>23.541243000000001</v>
      </c>
      <c r="U6">
        <v>23.073294000000001</v>
      </c>
      <c r="V6">
        <v>24.202681999999999</v>
      </c>
      <c r="W6">
        <v>23.107144999999999</v>
      </c>
      <c r="X6">
        <v>24.431532000000001</v>
      </c>
      <c r="Y6">
        <v>25.988952999999999</v>
      </c>
      <c r="Z6">
        <v>24.885594999999999</v>
      </c>
      <c r="AA6">
        <v>25.994942000000002</v>
      </c>
      <c r="AB6">
        <v>25.883934</v>
      </c>
      <c r="AC6">
        <v>26.965876000000002</v>
      </c>
      <c r="AD6">
        <v>24.425519999999999</v>
      </c>
      <c r="AE6">
        <v>26.818064</v>
      </c>
      <c r="AF6">
        <v>26.646384999999999</v>
      </c>
      <c r="AG6">
        <v>25.840478999999998</v>
      </c>
    </row>
    <row r="7" spans="1:33" x14ac:dyDescent="0.25">
      <c r="A7" s="1">
        <v>44058</v>
      </c>
      <c r="B7">
        <v>24.282236000000001</v>
      </c>
      <c r="C7">
        <v>23.186779999999999</v>
      </c>
      <c r="D7">
        <v>23.206526</v>
      </c>
      <c r="E7">
        <v>23.124146</v>
      </c>
      <c r="F7">
        <v>22.385190999999999</v>
      </c>
      <c r="G7">
        <v>21.959531999999999</v>
      </c>
      <c r="H7">
        <v>21.054141999999999</v>
      </c>
      <c r="I7">
        <v>21.654672999999999</v>
      </c>
      <c r="J7">
        <v>25.023363</v>
      </c>
      <c r="K7">
        <v>23.563372000000001</v>
      </c>
      <c r="L7">
        <v>24.645399999999999</v>
      </c>
      <c r="M7">
        <v>22.208044000000001</v>
      </c>
      <c r="N7">
        <v>23.080314999999999</v>
      </c>
      <c r="O7">
        <v>24.504090999999999</v>
      </c>
      <c r="P7">
        <v>23.466670000000001</v>
      </c>
      <c r="Q7">
        <v>22.195421</v>
      </c>
      <c r="R7">
        <v>24.212385000000001</v>
      </c>
      <c r="S7">
        <v>22.914206</v>
      </c>
      <c r="T7">
        <v>24.014327999999999</v>
      </c>
      <c r="U7">
        <v>23.630762000000001</v>
      </c>
      <c r="V7">
        <v>24.231435999999999</v>
      </c>
      <c r="W7">
        <v>23.424751000000001</v>
      </c>
      <c r="X7">
        <v>24.138178</v>
      </c>
      <c r="Y7">
        <v>26.448961000000001</v>
      </c>
      <c r="Z7">
        <v>25.463622999999998</v>
      </c>
      <c r="AA7">
        <v>26.462534000000002</v>
      </c>
      <c r="AB7">
        <v>26.327439999999999</v>
      </c>
      <c r="AC7">
        <v>27.530289</v>
      </c>
      <c r="AD7">
        <v>24.785173</v>
      </c>
      <c r="AE7">
        <v>27.462129999999998</v>
      </c>
      <c r="AF7">
        <v>26.986723000000001</v>
      </c>
      <c r="AG7">
        <v>26.443024000000001</v>
      </c>
    </row>
    <row r="8" spans="1:33" x14ac:dyDescent="0.25">
      <c r="A8" s="1">
        <v>44059</v>
      </c>
      <c r="B8">
        <v>24.509687</v>
      </c>
      <c r="C8">
        <v>23.606615000000001</v>
      </c>
      <c r="D8">
        <v>23.61468</v>
      </c>
      <c r="E8">
        <v>23.450859999999999</v>
      </c>
      <c r="F8">
        <v>22.65991</v>
      </c>
      <c r="G8">
        <v>22.282973999999999</v>
      </c>
      <c r="H8">
        <v>21.366705</v>
      </c>
      <c r="I8">
        <v>21.958390999999999</v>
      </c>
      <c r="J8">
        <v>25.589597999999999</v>
      </c>
      <c r="K8">
        <v>23.931474999999999</v>
      </c>
      <c r="L8">
        <v>24.962221</v>
      </c>
      <c r="M8">
        <v>22.532957</v>
      </c>
      <c r="N8">
        <v>23.426110000000001</v>
      </c>
      <c r="O8">
        <v>24.832888000000001</v>
      </c>
      <c r="P8">
        <v>23.841964999999998</v>
      </c>
      <c r="Q8">
        <v>22.532598</v>
      </c>
      <c r="R8">
        <v>24.556609999999999</v>
      </c>
      <c r="S8">
        <v>23.737272000000001</v>
      </c>
      <c r="T8">
        <v>24.403953999999999</v>
      </c>
      <c r="U8">
        <v>24.002776999999998</v>
      </c>
      <c r="V8">
        <v>24.588965999999999</v>
      </c>
      <c r="W8">
        <v>23.733446000000001</v>
      </c>
      <c r="X8">
        <v>24.640940000000001</v>
      </c>
      <c r="Y8">
        <v>26.965073</v>
      </c>
      <c r="Z8">
        <v>25.980833000000001</v>
      </c>
      <c r="AA8">
        <v>26.872084000000001</v>
      </c>
      <c r="AB8">
        <v>26.807665</v>
      </c>
      <c r="AC8">
        <v>28.098993</v>
      </c>
      <c r="AD8">
        <v>25.125830000000001</v>
      </c>
      <c r="AE8">
        <v>28.402702000000001</v>
      </c>
      <c r="AF8">
        <v>27.328544999999998</v>
      </c>
      <c r="AG8">
        <v>26.94069</v>
      </c>
    </row>
    <row r="9" spans="1:33" x14ac:dyDescent="0.25">
      <c r="A9" s="1">
        <v>44060</v>
      </c>
      <c r="B9">
        <v>24.856874000000001</v>
      </c>
      <c r="C9">
        <v>24.091919000000001</v>
      </c>
      <c r="D9">
        <v>24.046423000000001</v>
      </c>
      <c r="E9">
        <v>23.834350000000001</v>
      </c>
      <c r="F9">
        <v>23.076136000000002</v>
      </c>
      <c r="G9">
        <v>22.686426000000001</v>
      </c>
      <c r="H9">
        <v>21.816210000000002</v>
      </c>
      <c r="I9">
        <v>22.50225</v>
      </c>
      <c r="J9">
        <v>26.110147000000001</v>
      </c>
      <c r="K9">
        <v>24.340425</v>
      </c>
      <c r="L9">
        <v>25.322937</v>
      </c>
      <c r="M9">
        <v>22.944642999999999</v>
      </c>
      <c r="N9">
        <v>23.913716999999998</v>
      </c>
      <c r="O9">
        <v>25.140203</v>
      </c>
      <c r="P9">
        <v>24.256209999999999</v>
      </c>
      <c r="Q9">
        <v>22.950935000000001</v>
      </c>
      <c r="R9">
        <v>24.955078</v>
      </c>
      <c r="S9">
        <v>24.498728</v>
      </c>
      <c r="T9">
        <v>24.884218000000001</v>
      </c>
      <c r="U9">
        <v>24.310953000000001</v>
      </c>
      <c r="V9">
        <v>25.048812999999999</v>
      </c>
      <c r="W9">
        <v>24.041333999999999</v>
      </c>
      <c r="X9">
        <v>25.072127999999999</v>
      </c>
      <c r="Y9">
        <v>27.532419999999998</v>
      </c>
      <c r="Z9">
        <v>26.348891999999999</v>
      </c>
      <c r="AA9">
        <v>27.240953000000001</v>
      </c>
      <c r="AB9">
        <v>27.369620000000001</v>
      </c>
      <c r="AC9">
        <v>28.527365</v>
      </c>
      <c r="AD9">
        <v>25.485234999999999</v>
      </c>
      <c r="AE9">
        <v>28.705614000000001</v>
      </c>
      <c r="AF9">
        <v>27.581037999999999</v>
      </c>
      <c r="AG9">
        <v>27.304548</v>
      </c>
    </row>
    <row r="10" spans="1:33" x14ac:dyDescent="0.25">
      <c r="A10" s="1">
        <v>44061</v>
      </c>
      <c r="B10">
        <v>25.200185999999999</v>
      </c>
      <c r="C10">
        <v>24.568731</v>
      </c>
      <c r="D10">
        <v>24.435905000000002</v>
      </c>
      <c r="E10">
        <v>24.184778000000001</v>
      </c>
      <c r="F10">
        <v>23.431421</v>
      </c>
      <c r="G10">
        <v>23.122064999999999</v>
      </c>
      <c r="H10">
        <v>22.190007999999999</v>
      </c>
      <c r="I10">
        <v>22.910070000000001</v>
      </c>
      <c r="J10">
        <v>26.567366</v>
      </c>
      <c r="K10">
        <v>24.780228000000001</v>
      </c>
      <c r="L10">
        <v>25.699074</v>
      </c>
      <c r="M10">
        <v>23.358511</v>
      </c>
      <c r="N10">
        <v>24.361834000000002</v>
      </c>
      <c r="O10">
        <v>25.497468999999999</v>
      </c>
      <c r="P10">
        <v>24.709648000000001</v>
      </c>
      <c r="Q10">
        <v>23.391625999999999</v>
      </c>
      <c r="R10">
        <v>25.327069999999999</v>
      </c>
      <c r="S10">
        <v>25.239364999999999</v>
      </c>
      <c r="T10">
        <v>25.352491000000001</v>
      </c>
      <c r="U10">
        <v>24.598179999999999</v>
      </c>
      <c r="V10">
        <v>25.370183999999998</v>
      </c>
      <c r="W10">
        <v>24.189049000000001</v>
      </c>
      <c r="X10">
        <v>25.358758999999999</v>
      </c>
      <c r="Y10">
        <v>27.934775999999999</v>
      </c>
      <c r="Z10">
        <v>26.609832999999998</v>
      </c>
      <c r="AA10">
        <v>27.555078999999999</v>
      </c>
      <c r="AB10">
        <v>27.738419</v>
      </c>
      <c r="AC10">
        <v>28.835861000000001</v>
      </c>
      <c r="AD10">
        <v>25.842806</v>
      </c>
      <c r="AE10">
        <v>28.104952000000001</v>
      </c>
      <c r="AF10">
        <v>27.854545999999999</v>
      </c>
      <c r="AG10">
        <v>27.596346</v>
      </c>
    </row>
    <row r="11" spans="1:33" x14ac:dyDescent="0.25">
      <c r="A11" s="1">
        <v>44062</v>
      </c>
      <c r="B11">
        <v>24.848784999999999</v>
      </c>
      <c r="C11">
        <v>24.697779000000001</v>
      </c>
      <c r="D11">
        <v>24.450566999999999</v>
      </c>
      <c r="E11">
        <v>24.124886</v>
      </c>
      <c r="F11">
        <v>23.285204</v>
      </c>
      <c r="G11">
        <v>23.29288</v>
      </c>
      <c r="H11">
        <v>22.247404</v>
      </c>
      <c r="I11">
        <v>22.492629999999998</v>
      </c>
      <c r="J11">
        <v>26.544867</v>
      </c>
      <c r="K11">
        <v>24.978204999999999</v>
      </c>
      <c r="L11">
        <v>25.776727999999999</v>
      </c>
      <c r="M11">
        <v>23.481535000000001</v>
      </c>
      <c r="N11">
        <v>24.451032999999999</v>
      </c>
      <c r="O11">
        <v>25.516603</v>
      </c>
      <c r="P11">
        <v>24.917573999999998</v>
      </c>
      <c r="Q11">
        <v>23.565169999999998</v>
      </c>
      <c r="R11">
        <v>25.396529999999998</v>
      </c>
      <c r="S11">
        <v>24.886672999999998</v>
      </c>
      <c r="T11">
        <v>25.427816</v>
      </c>
      <c r="U11">
        <v>24.339120000000001</v>
      </c>
      <c r="V11">
        <v>25.341093000000001</v>
      </c>
      <c r="W11">
        <v>23.727426999999999</v>
      </c>
      <c r="X11">
        <v>25.340337999999999</v>
      </c>
      <c r="Y11">
        <v>27.890049999999999</v>
      </c>
      <c r="Z11">
        <v>26.537818999999999</v>
      </c>
      <c r="AA11">
        <v>27.629791000000001</v>
      </c>
      <c r="AB11">
        <v>27.710484999999998</v>
      </c>
      <c r="AC11">
        <v>28.843461999999999</v>
      </c>
      <c r="AD11">
        <v>25.948022999999999</v>
      </c>
      <c r="AE11">
        <v>27.2163</v>
      </c>
      <c r="AF11">
        <v>28.002427999999998</v>
      </c>
      <c r="AG11">
        <v>27.54917</v>
      </c>
    </row>
    <row r="12" spans="1:33" x14ac:dyDescent="0.25">
      <c r="A12" s="1">
        <v>44063</v>
      </c>
      <c r="B12">
        <v>24.175156000000001</v>
      </c>
      <c r="C12">
        <v>24.328156</v>
      </c>
      <c r="D12">
        <v>24.032067999999999</v>
      </c>
      <c r="E12">
        <v>23.69631</v>
      </c>
      <c r="F12">
        <v>22.891553999999999</v>
      </c>
      <c r="G12">
        <v>23.10079</v>
      </c>
      <c r="H12">
        <v>22.084923</v>
      </c>
      <c r="I12">
        <v>21.770385999999998</v>
      </c>
      <c r="J12">
        <v>25.499849999999999</v>
      </c>
      <c r="K12">
        <v>24.677185000000001</v>
      </c>
      <c r="L12">
        <v>25.507750000000001</v>
      </c>
      <c r="M12">
        <v>23.239470000000001</v>
      </c>
      <c r="N12">
        <v>24.051621999999998</v>
      </c>
      <c r="O12">
        <v>25.247961</v>
      </c>
      <c r="P12">
        <v>24.633040999999999</v>
      </c>
      <c r="Q12">
        <v>23.33426</v>
      </c>
      <c r="R12">
        <v>25.194870000000002</v>
      </c>
      <c r="S12">
        <v>23.587682999999998</v>
      </c>
      <c r="T12">
        <v>25.049002000000002</v>
      </c>
      <c r="U12">
        <v>23.508322</v>
      </c>
      <c r="V12">
        <v>24.888985000000002</v>
      </c>
      <c r="W12">
        <v>22.898775000000001</v>
      </c>
      <c r="X12">
        <v>24.876543000000002</v>
      </c>
      <c r="Y12">
        <v>27.470955</v>
      </c>
      <c r="Z12">
        <v>26.142831999999999</v>
      </c>
      <c r="AA12">
        <v>27.376328000000001</v>
      </c>
      <c r="AB12">
        <v>27.337859999999999</v>
      </c>
      <c r="AC12">
        <v>28.322662000000001</v>
      </c>
      <c r="AD12">
        <v>25.762975999999998</v>
      </c>
      <c r="AE12">
        <v>25.900312</v>
      </c>
      <c r="AF12">
        <v>27.908881999999998</v>
      </c>
      <c r="AG12">
        <v>27.241378999999998</v>
      </c>
    </row>
    <row r="13" spans="1:33" x14ac:dyDescent="0.25">
      <c r="A13" s="1">
        <v>44064</v>
      </c>
      <c r="B13">
        <v>24.015373</v>
      </c>
      <c r="C13">
        <v>24.189829</v>
      </c>
      <c r="D13">
        <v>23.734133</v>
      </c>
      <c r="E13">
        <v>23.426828</v>
      </c>
      <c r="F13">
        <v>22.853247</v>
      </c>
      <c r="G13">
        <v>22.949456999999999</v>
      </c>
      <c r="H13">
        <v>21.97184</v>
      </c>
      <c r="I13">
        <v>21.551711999999998</v>
      </c>
      <c r="J13">
        <v>25.141161</v>
      </c>
      <c r="K13">
        <v>24.58136</v>
      </c>
      <c r="L13">
        <v>25.371327999999998</v>
      </c>
      <c r="M13">
        <v>23.106237</v>
      </c>
      <c r="N13">
        <v>23.950113000000002</v>
      </c>
      <c r="O13">
        <v>25.144217999999999</v>
      </c>
      <c r="P13">
        <v>24.515775999999999</v>
      </c>
      <c r="Q13">
        <v>23.19744</v>
      </c>
      <c r="R13">
        <v>25.127562000000001</v>
      </c>
      <c r="S13">
        <v>22.889991999999999</v>
      </c>
      <c r="T13">
        <v>24.717834</v>
      </c>
      <c r="U13">
        <v>22.601976000000001</v>
      </c>
      <c r="V13">
        <v>24.416636</v>
      </c>
      <c r="W13">
        <v>22.149649</v>
      </c>
      <c r="X13">
        <v>24.280563000000001</v>
      </c>
      <c r="Y13">
        <v>27.101997000000001</v>
      </c>
      <c r="Z13">
        <v>25.71903</v>
      </c>
      <c r="AA13">
        <v>27.051449999999999</v>
      </c>
      <c r="AB13">
        <v>27.034210000000002</v>
      </c>
      <c r="AC13">
        <v>27.887245</v>
      </c>
      <c r="AD13">
        <v>25.593385999999999</v>
      </c>
      <c r="AE13">
        <v>24.465890000000002</v>
      </c>
      <c r="AF13">
        <v>27.821909000000002</v>
      </c>
      <c r="AG13">
        <v>27.021726999999998</v>
      </c>
    </row>
    <row r="14" spans="1:33" x14ac:dyDescent="0.25">
      <c r="A14" s="1">
        <v>44065</v>
      </c>
      <c r="B14">
        <v>24.165932000000002</v>
      </c>
      <c r="C14">
        <v>24.302557</v>
      </c>
      <c r="D14">
        <v>23.719252000000001</v>
      </c>
      <c r="E14">
        <v>23.471323000000002</v>
      </c>
      <c r="F14">
        <v>22.982320000000001</v>
      </c>
      <c r="G14">
        <v>23.015930000000001</v>
      </c>
      <c r="H14">
        <v>22.017289999999999</v>
      </c>
      <c r="I14">
        <v>21.677413999999999</v>
      </c>
      <c r="J14">
        <v>25.405557999999999</v>
      </c>
      <c r="K14">
        <v>24.681715000000001</v>
      </c>
      <c r="L14">
        <v>25.44049</v>
      </c>
      <c r="M14">
        <v>23.192606000000001</v>
      </c>
      <c r="N14">
        <v>24.154242</v>
      </c>
      <c r="O14">
        <v>25.150068000000001</v>
      </c>
      <c r="P14">
        <v>24.606719999999999</v>
      </c>
      <c r="Q14">
        <v>23.294547999999999</v>
      </c>
      <c r="R14">
        <v>25.217676000000001</v>
      </c>
      <c r="S14">
        <v>23.054886</v>
      </c>
      <c r="T14">
        <v>24.606577000000001</v>
      </c>
      <c r="U14">
        <v>22.016473999999999</v>
      </c>
      <c r="V14">
        <v>24.026527000000002</v>
      </c>
      <c r="W14">
        <v>21.69848</v>
      </c>
      <c r="X14">
        <v>23.724554000000001</v>
      </c>
      <c r="Y14">
        <v>27.21866</v>
      </c>
      <c r="Z14">
        <v>25.562280000000001</v>
      </c>
      <c r="AA14">
        <v>27.082498999999999</v>
      </c>
      <c r="AB14">
        <v>27.117522999999998</v>
      </c>
      <c r="AC14">
        <v>28.011901999999999</v>
      </c>
      <c r="AD14">
        <v>25.61946</v>
      </c>
      <c r="AE14">
        <v>24.230791</v>
      </c>
      <c r="AF14">
        <v>27.908384000000002</v>
      </c>
      <c r="AG14">
        <v>27.071570999999999</v>
      </c>
    </row>
    <row r="15" spans="1:33" x14ac:dyDescent="0.25">
      <c r="A15" s="1">
        <v>44066</v>
      </c>
      <c r="B15">
        <v>23.895325</v>
      </c>
      <c r="C15">
        <v>24.243438999999999</v>
      </c>
      <c r="D15">
        <v>23.567986999999999</v>
      </c>
      <c r="E15">
        <v>23.352429999999998</v>
      </c>
      <c r="F15">
        <v>22.755376999999999</v>
      </c>
      <c r="G15">
        <v>22.925932</v>
      </c>
      <c r="H15">
        <v>21.881139999999998</v>
      </c>
      <c r="I15">
        <v>21.348096999999999</v>
      </c>
      <c r="J15">
        <v>25.274470000000001</v>
      </c>
      <c r="K15">
        <v>24.689782999999998</v>
      </c>
      <c r="L15">
        <v>25.371359000000002</v>
      </c>
      <c r="M15">
        <v>23.097442999999998</v>
      </c>
      <c r="N15">
        <v>24.119446</v>
      </c>
      <c r="O15">
        <v>25.001799999999999</v>
      </c>
      <c r="P15">
        <v>24.603798000000001</v>
      </c>
      <c r="Q15">
        <v>23.243986</v>
      </c>
      <c r="R15">
        <v>25.192926</v>
      </c>
      <c r="S15">
        <v>22.61055</v>
      </c>
      <c r="T15">
        <v>24.325844</v>
      </c>
      <c r="U15">
        <v>21.483132999999999</v>
      </c>
      <c r="V15">
        <v>23.478607</v>
      </c>
      <c r="W15">
        <v>21.040223999999998</v>
      </c>
      <c r="X15">
        <v>23.082139999999999</v>
      </c>
      <c r="Y15">
        <v>27.341090000000001</v>
      </c>
      <c r="Z15">
        <v>25.208534</v>
      </c>
      <c r="AA15">
        <v>27.172052000000001</v>
      </c>
      <c r="AB15">
        <v>27.056526000000002</v>
      </c>
      <c r="AC15">
        <v>28.103905000000001</v>
      </c>
      <c r="AD15">
        <v>25.540382000000001</v>
      </c>
      <c r="AE15">
        <v>24.607773000000002</v>
      </c>
      <c r="AF15">
        <v>27.997803000000001</v>
      </c>
      <c r="AG15">
        <v>27.192419999999998</v>
      </c>
    </row>
    <row r="16" spans="1:33" x14ac:dyDescent="0.25">
      <c r="A16" s="1">
        <v>44067</v>
      </c>
      <c r="B16">
        <v>23.914193999999998</v>
      </c>
      <c r="C16">
        <v>24.198840000000001</v>
      </c>
      <c r="D16">
        <v>23.414535999999998</v>
      </c>
      <c r="E16">
        <v>23.278535999999999</v>
      </c>
      <c r="F16">
        <v>22.696909000000002</v>
      </c>
      <c r="G16">
        <v>22.805115000000001</v>
      </c>
      <c r="H16">
        <v>21.732306999999999</v>
      </c>
      <c r="I16">
        <v>21.204004000000001</v>
      </c>
      <c r="J16">
        <v>25.184819999999998</v>
      </c>
      <c r="K16">
        <v>24.640191999999999</v>
      </c>
      <c r="L16">
        <v>25.328209999999999</v>
      </c>
      <c r="M16">
        <v>23.02572</v>
      </c>
      <c r="N16">
        <v>24.033387999999999</v>
      </c>
      <c r="O16">
        <v>24.882674999999999</v>
      </c>
      <c r="P16">
        <v>24.543479999999999</v>
      </c>
      <c r="Q16">
        <v>23.150130999999998</v>
      </c>
      <c r="R16">
        <v>25.164239999999999</v>
      </c>
      <c r="S16">
        <v>22.074759</v>
      </c>
      <c r="T16">
        <v>23.955147</v>
      </c>
      <c r="U16">
        <v>20.874610000000001</v>
      </c>
      <c r="V16">
        <v>23.047561999999999</v>
      </c>
      <c r="W16">
        <v>20.459944</v>
      </c>
      <c r="X16">
        <v>22.653113999999999</v>
      </c>
      <c r="Y16">
        <v>27.423964999999999</v>
      </c>
      <c r="Z16">
        <v>24.733339999999998</v>
      </c>
      <c r="AA16">
        <v>27.251021999999999</v>
      </c>
      <c r="AB16">
        <v>27.108429999999998</v>
      </c>
      <c r="AC16">
        <v>28.136399999999998</v>
      </c>
      <c r="AD16">
        <v>25.461670000000002</v>
      </c>
      <c r="AE16">
        <v>25.097807</v>
      </c>
      <c r="AF16">
        <v>28.079042000000001</v>
      </c>
      <c r="AG16">
        <v>27.258507000000002</v>
      </c>
    </row>
    <row r="17" spans="1:33" x14ac:dyDescent="0.25">
      <c r="A17" s="1">
        <v>44068</v>
      </c>
      <c r="B17">
        <v>23.953623</v>
      </c>
      <c r="C17">
        <v>24.020716</v>
      </c>
      <c r="D17">
        <v>23.285097</v>
      </c>
      <c r="E17">
        <v>23.1785</v>
      </c>
      <c r="F17">
        <v>22.602446</v>
      </c>
      <c r="G17">
        <v>22.702649999999998</v>
      </c>
      <c r="H17">
        <v>21.629052999999999</v>
      </c>
      <c r="I17">
        <v>21.084689999999998</v>
      </c>
      <c r="J17">
        <v>24.89142</v>
      </c>
      <c r="K17">
        <v>24.489836</v>
      </c>
      <c r="L17">
        <v>25.134391999999998</v>
      </c>
      <c r="M17">
        <v>22.935922999999999</v>
      </c>
      <c r="N17">
        <v>23.831879000000001</v>
      </c>
      <c r="O17">
        <v>24.740220999999998</v>
      </c>
      <c r="P17">
        <v>24.402266999999998</v>
      </c>
      <c r="Q17">
        <v>23.085953</v>
      </c>
      <c r="R17">
        <v>25.00122</v>
      </c>
      <c r="S17">
        <v>21.923943999999999</v>
      </c>
      <c r="T17">
        <v>23.551152999999999</v>
      </c>
      <c r="U17">
        <v>20.690301999999999</v>
      </c>
      <c r="V17">
        <v>22.568307999999998</v>
      </c>
      <c r="W17">
        <v>20.670667999999999</v>
      </c>
      <c r="X17">
        <v>22.116554000000001</v>
      </c>
      <c r="Y17">
        <v>27.505175000000001</v>
      </c>
      <c r="Z17">
        <v>24.400576000000001</v>
      </c>
      <c r="AA17">
        <v>27.217936000000002</v>
      </c>
      <c r="AB17">
        <v>27.177986000000001</v>
      </c>
      <c r="AC17">
        <v>28.039777999999998</v>
      </c>
      <c r="AD17">
        <v>25.294219999999999</v>
      </c>
      <c r="AE17">
        <v>25.674004</v>
      </c>
      <c r="AF17">
        <v>28.098976</v>
      </c>
      <c r="AG17">
        <v>27.250616000000001</v>
      </c>
    </row>
    <row r="18" spans="1:33" x14ac:dyDescent="0.25">
      <c r="A18" s="1">
        <v>44069</v>
      </c>
      <c r="B18">
        <v>23.631834000000001</v>
      </c>
      <c r="C18">
        <v>23.763596</v>
      </c>
      <c r="D18">
        <v>23.036905000000001</v>
      </c>
      <c r="E18">
        <v>22.931849</v>
      </c>
      <c r="F18">
        <v>22.412436</v>
      </c>
      <c r="G18">
        <v>22.557570999999999</v>
      </c>
      <c r="H18">
        <v>21.536636000000001</v>
      </c>
      <c r="I18">
        <v>20.809685000000002</v>
      </c>
      <c r="J18">
        <v>24.791810999999999</v>
      </c>
      <c r="K18">
        <v>24.317820000000001</v>
      </c>
      <c r="L18">
        <v>24.921044999999999</v>
      </c>
      <c r="M18">
        <v>22.756955999999999</v>
      </c>
      <c r="N18">
        <v>23.530321000000001</v>
      </c>
      <c r="O18">
        <v>24.455235999999999</v>
      </c>
      <c r="P18">
        <v>24.21987</v>
      </c>
      <c r="Q18">
        <v>22.920549999999999</v>
      </c>
      <c r="R18">
        <v>24.783342000000001</v>
      </c>
      <c r="S18">
        <v>21.486274999999999</v>
      </c>
      <c r="T18">
        <v>23.145057999999999</v>
      </c>
      <c r="U18">
        <v>21.039656000000001</v>
      </c>
      <c r="V18">
        <v>22.088282</v>
      </c>
      <c r="W18">
        <v>20.882978000000001</v>
      </c>
      <c r="X18">
        <v>21.585867</v>
      </c>
      <c r="Y18">
        <v>27.209182999999999</v>
      </c>
      <c r="Z18">
        <v>23.987106000000001</v>
      </c>
      <c r="AA18">
        <v>27.067460000000001</v>
      </c>
      <c r="AB18">
        <v>26.897278</v>
      </c>
      <c r="AC18">
        <v>27.610647</v>
      </c>
      <c r="AD18">
        <v>25.03227</v>
      </c>
      <c r="AE18">
        <v>25.701277000000001</v>
      </c>
      <c r="AF18">
        <v>28.051386000000001</v>
      </c>
      <c r="AG18">
        <v>26.938223000000001</v>
      </c>
    </row>
    <row r="19" spans="1:33" x14ac:dyDescent="0.25">
      <c r="A19" s="1">
        <v>44070</v>
      </c>
      <c r="B19">
        <v>22.960108000000002</v>
      </c>
      <c r="C19">
        <v>23.213979999999999</v>
      </c>
      <c r="D19">
        <v>22.44304</v>
      </c>
      <c r="E19">
        <v>22.329412000000001</v>
      </c>
      <c r="F19">
        <v>21.980119999999999</v>
      </c>
      <c r="G19">
        <v>22.257339999999999</v>
      </c>
      <c r="H19">
        <v>21.250917000000001</v>
      </c>
      <c r="I19">
        <v>20.041730000000001</v>
      </c>
      <c r="J19">
        <v>24.329481000000001</v>
      </c>
      <c r="K19">
        <v>24.023116999999999</v>
      </c>
      <c r="L19">
        <v>24.512595999999998</v>
      </c>
      <c r="M19">
        <v>22.471931000000001</v>
      </c>
      <c r="N19">
        <v>23.077203999999998</v>
      </c>
      <c r="O19">
        <v>23.983522000000001</v>
      </c>
      <c r="P19">
        <v>23.928144</v>
      </c>
      <c r="Q19">
        <v>22.598700000000001</v>
      </c>
      <c r="R19">
        <v>24.39715</v>
      </c>
      <c r="S19">
        <v>20.52186</v>
      </c>
      <c r="T19">
        <v>22.541998</v>
      </c>
      <c r="U19">
        <v>20.976811999999999</v>
      </c>
      <c r="V19">
        <v>21.765312000000002</v>
      </c>
      <c r="W19">
        <v>20.88035</v>
      </c>
      <c r="X19">
        <v>21.429022</v>
      </c>
      <c r="Y19">
        <v>26.408280999999999</v>
      </c>
      <c r="Z19">
        <v>23.31842</v>
      </c>
      <c r="AA19">
        <v>26.774470000000001</v>
      </c>
      <c r="AB19">
        <v>26.283342000000001</v>
      </c>
      <c r="AC19">
        <v>26.670325999999999</v>
      </c>
      <c r="AD19">
        <v>24.631739</v>
      </c>
      <c r="AE19">
        <v>24.759851000000001</v>
      </c>
      <c r="AF19">
        <v>27.82863</v>
      </c>
      <c r="AG19">
        <v>26.533857000000001</v>
      </c>
    </row>
    <row r="20" spans="1:33" x14ac:dyDescent="0.25">
      <c r="A20" s="1">
        <v>44071</v>
      </c>
      <c r="B20">
        <v>22.688386999999999</v>
      </c>
      <c r="C20">
        <v>22.993416</v>
      </c>
      <c r="D20">
        <v>22.194175999999999</v>
      </c>
      <c r="E20">
        <v>22.057188</v>
      </c>
      <c r="F20">
        <v>21.942896000000001</v>
      </c>
      <c r="G20">
        <v>22.110374</v>
      </c>
      <c r="H20">
        <v>21.057974000000002</v>
      </c>
      <c r="I20">
        <v>19.911455</v>
      </c>
      <c r="J20">
        <v>24.023675999999998</v>
      </c>
      <c r="K20">
        <v>23.691960999999999</v>
      </c>
      <c r="L20">
        <v>24.209617999999999</v>
      </c>
      <c r="M20">
        <v>22.304815000000001</v>
      </c>
      <c r="N20">
        <v>22.730460000000001</v>
      </c>
      <c r="O20">
        <v>23.700785</v>
      </c>
      <c r="P20">
        <v>23.606636000000002</v>
      </c>
      <c r="Q20">
        <v>22.385351</v>
      </c>
      <c r="R20">
        <v>24.122322</v>
      </c>
      <c r="S20">
        <v>20.380495</v>
      </c>
      <c r="T20">
        <v>22.243690000000001</v>
      </c>
      <c r="U20">
        <v>21.136942000000001</v>
      </c>
      <c r="V20">
        <v>21.78914</v>
      </c>
      <c r="W20">
        <v>21.033249999999999</v>
      </c>
      <c r="X20">
        <v>21.538744000000001</v>
      </c>
      <c r="Y20">
        <v>26.196625000000001</v>
      </c>
      <c r="Z20">
        <v>22.825447</v>
      </c>
      <c r="AA20">
        <v>26.513083999999999</v>
      </c>
      <c r="AB20">
        <v>26.131117</v>
      </c>
      <c r="AC20">
        <v>26.482008</v>
      </c>
      <c r="AD20">
        <v>24.330399</v>
      </c>
      <c r="AE20">
        <v>24.564829</v>
      </c>
      <c r="AF20">
        <v>27.668665000000001</v>
      </c>
      <c r="AG20">
        <v>26.355726000000001</v>
      </c>
    </row>
    <row r="21" spans="1:33" x14ac:dyDescent="0.25">
      <c r="A21" s="1">
        <v>44072</v>
      </c>
      <c r="B21">
        <v>22.559294000000001</v>
      </c>
      <c r="C21">
        <v>22.764585</v>
      </c>
      <c r="D21">
        <v>21.973848</v>
      </c>
      <c r="E21">
        <v>21.890370999999998</v>
      </c>
      <c r="F21">
        <v>21.797266</v>
      </c>
      <c r="G21">
        <v>21.977049999999998</v>
      </c>
      <c r="H21">
        <v>20.93291</v>
      </c>
      <c r="I21">
        <v>19.829535</v>
      </c>
      <c r="J21">
        <v>23.928453000000001</v>
      </c>
      <c r="K21">
        <v>23.470023999999999</v>
      </c>
      <c r="L21">
        <v>24.065439999999999</v>
      </c>
      <c r="M21">
        <v>22.151312000000001</v>
      </c>
      <c r="N21">
        <v>22.480276</v>
      </c>
      <c r="O21">
        <v>23.562403</v>
      </c>
      <c r="P21">
        <v>23.380064000000001</v>
      </c>
      <c r="Q21">
        <v>22.196702999999999</v>
      </c>
      <c r="R21">
        <v>23.937985999999999</v>
      </c>
      <c r="S21">
        <v>20.392189999999999</v>
      </c>
      <c r="T21">
        <v>22.104752999999999</v>
      </c>
      <c r="U21">
        <v>21.267320000000002</v>
      </c>
      <c r="V21">
        <v>21.869523999999998</v>
      </c>
      <c r="W21">
        <v>21.222180999999999</v>
      </c>
      <c r="X21">
        <v>21.714507999999999</v>
      </c>
      <c r="Y21">
        <v>26.050484000000001</v>
      </c>
      <c r="Z21">
        <v>22.7074</v>
      </c>
      <c r="AA21">
        <v>26.381989999999998</v>
      </c>
      <c r="AB21">
        <v>26.000745999999999</v>
      </c>
      <c r="AC21">
        <v>26.534765</v>
      </c>
      <c r="AD21">
        <v>24.192260000000001</v>
      </c>
      <c r="AE21">
        <v>24.853096000000001</v>
      </c>
      <c r="AF21">
        <v>27.602067999999999</v>
      </c>
      <c r="AG21">
        <v>26.245221999999998</v>
      </c>
    </row>
    <row r="22" spans="1:33" x14ac:dyDescent="0.25">
      <c r="A22" s="1">
        <v>44073</v>
      </c>
      <c r="B22">
        <v>22.169257999999999</v>
      </c>
      <c r="C22">
        <v>22.479085999999999</v>
      </c>
      <c r="D22">
        <v>21.677382999999999</v>
      </c>
      <c r="E22">
        <v>21.582815</v>
      </c>
      <c r="F22">
        <v>21.498418999999998</v>
      </c>
      <c r="G22">
        <v>21.753912</v>
      </c>
      <c r="H22">
        <v>20.743410000000001</v>
      </c>
      <c r="I22">
        <v>19.691303000000001</v>
      </c>
      <c r="J22">
        <v>23.362907</v>
      </c>
      <c r="K22">
        <v>23.123259999999998</v>
      </c>
      <c r="L22">
        <v>23.758095000000001</v>
      </c>
      <c r="M22">
        <v>21.90615</v>
      </c>
      <c r="N22">
        <v>22.151762000000002</v>
      </c>
      <c r="O22">
        <v>23.286180000000002</v>
      </c>
      <c r="P22">
        <v>23.065355</v>
      </c>
      <c r="Q22">
        <v>21.916090000000001</v>
      </c>
      <c r="R22">
        <v>23.620443000000002</v>
      </c>
      <c r="S22">
        <v>20.242349999999998</v>
      </c>
      <c r="T22">
        <v>21.883666999999999</v>
      </c>
      <c r="U22">
        <v>21.565978999999999</v>
      </c>
      <c r="V22">
        <v>21.811335</v>
      </c>
      <c r="W22">
        <v>21.534058000000002</v>
      </c>
      <c r="X22">
        <v>21.712387</v>
      </c>
      <c r="Y22">
        <v>25.89744</v>
      </c>
      <c r="Z22">
        <v>22.604195000000001</v>
      </c>
      <c r="AA22">
        <v>26.117052000000001</v>
      </c>
      <c r="AB22">
        <v>25.841232000000002</v>
      </c>
      <c r="AC22">
        <v>26.343191000000001</v>
      </c>
      <c r="AD22">
        <v>23.935079999999999</v>
      </c>
      <c r="AE22">
        <v>25.125952000000002</v>
      </c>
      <c r="AF22">
        <v>27.424776000000001</v>
      </c>
      <c r="AG22">
        <v>25.953949999999999</v>
      </c>
    </row>
    <row r="23" spans="1:33" x14ac:dyDescent="0.25">
      <c r="A23" s="1">
        <v>44074</v>
      </c>
      <c r="B23">
        <v>21.994926</v>
      </c>
      <c r="C23">
        <v>22.383620000000001</v>
      </c>
      <c r="D23">
        <v>21.547705000000001</v>
      </c>
      <c r="E23">
        <v>21.416613000000002</v>
      </c>
      <c r="F23">
        <v>21.412420000000001</v>
      </c>
      <c r="G23">
        <v>21.592768</v>
      </c>
      <c r="H23">
        <v>20.618223</v>
      </c>
      <c r="I23">
        <v>19.793057999999998</v>
      </c>
      <c r="J23">
        <v>23.123761999999999</v>
      </c>
      <c r="K23">
        <v>22.898298</v>
      </c>
      <c r="L23">
        <v>23.601991999999999</v>
      </c>
      <c r="M23">
        <v>21.727754999999998</v>
      </c>
      <c r="N23">
        <v>21.970749000000001</v>
      </c>
      <c r="O23">
        <v>23.150062999999999</v>
      </c>
      <c r="P23">
        <v>22.834593000000002</v>
      </c>
      <c r="Q23">
        <v>21.731188</v>
      </c>
      <c r="R23">
        <v>23.432172999999999</v>
      </c>
      <c r="S23">
        <v>20.297709000000001</v>
      </c>
      <c r="T23">
        <v>21.839727</v>
      </c>
      <c r="U23">
        <v>21.738379999999999</v>
      </c>
      <c r="V23">
        <v>21.936724000000002</v>
      </c>
      <c r="W23">
        <v>21.549368000000001</v>
      </c>
      <c r="X23">
        <v>21.918006999999999</v>
      </c>
      <c r="Y23">
        <v>25.655441</v>
      </c>
      <c r="Z23">
        <v>22.640014999999998</v>
      </c>
      <c r="AA23">
        <v>25.796983999999998</v>
      </c>
      <c r="AB23">
        <v>25.575997999999998</v>
      </c>
      <c r="AC23">
        <v>26.194395</v>
      </c>
      <c r="AD23">
        <v>23.738077000000001</v>
      </c>
      <c r="AE23">
        <v>25.015846</v>
      </c>
      <c r="AF23">
        <v>27.238482000000001</v>
      </c>
      <c r="AG23">
        <v>25.701865999999999</v>
      </c>
    </row>
    <row r="24" spans="1:33" x14ac:dyDescent="0.25">
      <c r="A24" s="1">
        <v>44075</v>
      </c>
      <c r="B24">
        <v>21.771975000000001</v>
      </c>
      <c r="C24">
        <v>22.259802000000001</v>
      </c>
      <c r="D24">
        <v>21.389524000000002</v>
      </c>
      <c r="E24">
        <v>21.248075</v>
      </c>
      <c r="F24">
        <v>21.311869000000002</v>
      </c>
      <c r="G24">
        <v>21.459040000000002</v>
      </c>
      <c r="H24">
        <v>20.522608000000002</v>
      </c>
      <c r="I24">
        <v>19.824300000000001</v>
      </c>
      <c r="J24">
        <v>23.021362</v>
      </c>
      <c r="K24">
        <v>22.689215000000001</v>
      </c>
      <c r="L24">
        <v>23.420683</v>
      </c>
      <c r="M24">
        <v>21.581064000000001</v>
      </c>
      <c r="N24">
        <v>21.738398</v>
      </c>
      <c r="O24">
        <v>22.987037999999998</v>
      </c>
      <c r="P24">
        <v>22.634139999999999</v>
      </c>
      <c r="Q24">
        <v>21.580732000000001</v>
      </c>
      <c r="R24">
        <v>23.200400999999999</v>
      </c>
      <c r="S24">
        <v>20.154001000000001</v>
      </c>
      <c r="T24">
        <v>21.670363999999999</v>
      </c>
      <c r="U24">
        <v>21.731966</v>
      </c>
      <c r="V24">
        <v>21.905739000000001</v>
      </c>
      <c r="W24">
        <v>21.641110999999999</v>
      </c>
      <c r="X24">
        <v>21.978128000000002</v>
      </c>
      <c r="Y24">
        <v>25.452192</v>
      </c>
      <c r="Z24">
        <v>22.654198000000001</v>
      </c>
      <c r="AA24">
        <v>25.562218000000001</v>
      </c>
      <c r="AB24">
        <v>25.370474000000002</v>
      </c>
      <c r="AC24">
        <v>26.159357</v>
      </c>
      <c r="AD24">
        <v>23.565643000000001</v>
      </c>
      <c r="AE24">
        <v>24.310628999999999</v>
      </c>
      <c r="AF24">
        <v>27.128478999999999</v>
      </c>
      <c r="AG24">
        <v>25.483180000000001</v>
      </c>
    </row>
    <row r="25" spans="1:33" x14ac:dyDescent="0.25">
      <c r="A25" s="1">
        <v>44076</v>
      </c>
      <c r="B25">
        <v>21.563828000000001</v>
      </c>
      <c r="C25">
        <v>22.071375</v>
      </c>
      <c r="D25">
        <v>21.179293000000001</v>
      </c>
      <c r="E25">
        <v>21.101969</v>
      </c>
      <c r="F25">
        <v>21.185784999999999</v>
      </c>
      <c r="G25">
        <v>21.34844</v>
      </c>
      <c r="H25">
        <v>20.428263000000001</v>
      </c>
      <c r="I25">
        <v>19.719125999999999</v>
      </c>
      <c r="J25">
        <v>22.830023000000001</v>
      </c>
      <c r="K25">
        <v>22.4908</v>
      </c>
      <c r="L25">
        <v>23.229096999999999</v>
      </c>
      <c r="M25">
        <v>21.469244</v>
      </c>
      <c r="N25">
        <v>21.558534999999999</v>
      </c>
      <c r="O25">
        <v>22.806806999999999</v>
      </c>
      <c r="P25">
        <v>22.449821</v>
      </c>
      <c r="Q25">
        <v>21.444803</v>
      </c>
      <c r="R25">
        <v>22.988844</v>
      </c>
      <c r="S25">
        <v>19.822569000000001</v>
      </c>
      <c r="T25">
        <v>21.511382999999999</v>
      </c>
      <c r="U25">
        <v>21.812377999999999</v>
      </c>
      <c r="V25">
        <v>21.790306000000001</v>
      </c>
      <c r="W25">
        <v>21.747118</v>
      </c>
      <c r="X25">
        <v>21.887045000000001</v>
      </c>
      <c r="Y25">
        <v>25.246613</v>
      </c>
      <c r="Z25">
        <v>22.574465</v>
      </c>
      <c r="AA25">
        <v>25.421555000000001</v>
      </c>
      <c r="AB25">
        <v>25.219031999999999</v>
      </c>
      <c r="AC25">
        <v>25.871842999999998</v>
      </c>
      <c r="AD25">
        <v>23.405881999999998</v>
      </c>
      <c r="AE25">
        <v>23.859095</v>
      </c>
      <c r="AF25">
        <v>26.993493999999998</v>
      </c>
      <c r="AG25">
        <v>25.289476000000001</v>
      </c>
    </row>
    <row r="26" spans="1:33" x14ac:dyDescent="0.25">
      <c r="A26" s="1">
        <v>44077</v>
      </c>
      <c r="B26">
        <v>21.430304</v>
      </c>
      <c r="C26">
        <v>21.910592999999999</v>
      </c>
      <c r="D26">
        <v>21.058503999999999</v>
      </c>
      <c r="E26">
        <v>21.007235000000001</v>
      </c>
      <c r="F26">
        <v>21.083227000000001</v>
      </c>
      <c r="G26">
        <v>21.248787</v>
      </c>
      <c r="H26">
        <v>20.347964999999999</v>
      </c>
      <c r="I26">
        <v>19.661911</v>
      </c>
      <c r="J26">
        <v>22.559967</v>
      </c>
      <c r="K26">
        <v>22.289345000000001</v>
      </c>
      <c r="L26">
        <v>23.020631999999999</v>
      </c>
      <c r="M26">
        <v>21.345846000000002</v>
      </c>
      <c r="N26">
        <v>21.404990000000002</v>
      </c>
      <c r="O26">
        <v>22.634148</v>
      </c>
      <c r="P26">
        <v>22.260939</v>
      </c>
      <c r="Q26">
        <v>21.32011</v>
      </c>
      <c r="R26">
        <v>22.792818</v>
      </c>
      <c r="S26">
        <v>19.622610000000002</v>
      </c>
      <c r="T26">
        <v>21.409165999999999</v>
      </c>
      <c r="U26">
        <v>21.803972000000002</v>
      </c>
      <c r="V26">
        <v>21.714812999999999</v>
      </c>
      <c r="W26">
        <v>21.570951000000001</v>
      </c>
      <c r="X26">
        <v>21.830369999999998</v>
      </c>
      <c r="Y26">
        <v>25.141221999999999</v>
      </c>
      <c r="Z26">
        <v>22.523534999999999</v>
      </c>
      <c r="AA26">
        <v>25.282343000000001</v>
      </c>
      <c r="AB26">
        <v>25.070737999999999</v>
      </c>
      <c r="AC26">
        <v>25.401634000000001</v>
      </c>
      <c r="AD26">
        <v>23.226424999999999</v>
      </c>
      <c r="AE26">
        <v>23.463636000000001</v>
      </c>
      <c r="AF26">
        <v>26.85351</v>
      </c>
      <c r="AG26">
        <v>25.191559999999999</v>
      </c>
    </row>
    <row r="27" spans="1:33" x14ac:dyDescent="0.25">
      <c r="A27" s="1">
        <v>44078</v>
      </c>
      <c r="B27">
        <v>21.318586</v>
      </c>
      <c r="C27">
        <v>21.762518</v>
      </c>
      <c r="D27">
        <v>20.946453000000002</v>
      </c>
      <c r="E27">
        <v>20.933295999999999</v>
      </c>
      <c r="F27">
        <v>20.938717</v>
      </c>
      <c r="G27">
        <v>21.108442</v>
      </c>
      <c r="H27">
        <v>20.249711999999999</v>
      </c>
      <c r="I27">
        <v>19.404367000000001</v>
      </c>
      <c r="J27">
        <v>22.411042999999999</v>
      </c>
      <c r="K27">
        <v>22.111823999999999</v>
      </c>
      <c r="L27">
        <v>22.837036000000001</v>
      </c>
      <c r="M27">
        <v>21.200420000000001</v>
      </c>
      <c r="N27">
        <v>21.223913</v>
      </c>
      <c r="O27">
        <v>22.479303000000002</v>
      </c>
      <c r="P27">
        <v>22.083397000000001</v>
      </c>
      <c r="Q27">
        <v>21.161905000000001</v>
      </c>
      <c r="R27">
        <v>22.625495999999998</v>
      </c>
      <c r="S27">
        <v>19.462651999999999</v>
      </c>
      <c r="T27">
        <v>21.294872000000002</v>
      </c>
      <c r="U27">
        <v>21.557724</v>
      </c>
      <c r="V27">
        <v>21.701080000000001</v>
      </c>
      <c r="W27">
        <v>21.292086000000001</v>
      </c>
      <c r="X27">
        <v>21.883071999999999</v>
      </c>
      <c r="Y27">
        <v>24.954733000000001</v>
      </c>
      <c r="Z27">
        <v>22.459258999999999</v>
      </c>
      <c r="AA27">
        <v>25.115639000000002</v>
      </c>
      <c r="AB27">
        <v>24.929819999999999</v>
      </c>
      <c r="AC27">
        <v>25.031486999999998</v>
      </c>
      <c r="AD27">
        <v>23.058257999999999</v>
      </c>
      <c r="AE27">
        <v>23.646474999999999</v>
      </c>
      <c r="AF27">
        <v>26.739965000000002</v>
      </c>
      <c r="AG27">
        <v>25.138182</v>
      </c>
    </row>
    <row r="28" spans="1:33" x14ac:dyDescent="0.25">
      <c r="A28" s="1">
        <v>44079</v>
      </c>
      <c r="B28">
        <v>21.639970000000002</v>
      </c>
      <c r="C28">
        <v>21.941313000000001</v>
      </c>
      <c r="D28">
        <v>21.07357</v>
      </c>
      <c r="E28">
        <v>21.064985</v>
      </c>
      <c r="F28">
        <v>21.161429999999999</v>
      </c>
      <c r="G28">
        <v>21.149819999999998</v>
      </c>
      <c r="H28">
        <v>20.340769000000002</v>
      </c>
      <c r="I28">
        <v>19.772279999999999</v>
      </c>
      <c r="J28">
        <v>22.729558999999998</v>
      </c>
      <c r="K28">
        <v>22.207778999999999</v>
      </c>
      <c r="L28">
        <v>22.952797</v>
      </c>
      <c r="M28">
        <v>21.271592999999999</v>
      </c>
      <c r="N28">
        <v>21.403981999999999</v>
      </c>
      <c r="O28">
        <v>22.621414000000001</v>
      </c>
      <c r="P28">
        <v>22.15935</v>
      </c>
      <c r="Q28">
        <v>21.223692</v>
      </c>
      <c r="R28">
        <v>22.722363999999999</v>
      </c>
      <c r="S28">
        <v>20.038076</v>
      </c>
      <c r="T28">
        <v>21.541450000000001</v>
      </c>
      <c r="U28">
        <v>21.407553</v>
      </c>
      <c r="V28">
        <v>21.941772</v>
      </c>
      <c r="W28">
        <v>21.345419</v>
      </c>
      <c r="X28">
        <v>22.073516999999999</v>
      </c>
      <c r="Y28">
        <v>24.975190000000001</v>
      </c>
      <c r="Z28">
        <v>22.610056</v>
      </c>
      <c r="AA28">
        <v>25.073430999999999</v>
      </c>
      <c r="AB28">
        <v>24.981138000000001</v>
      </c>
      <c r="AC28">
        <v>24.872734000000001</v>
      </c>
      <c r="AD28">
        <v>23.138083000000002</v>
      </c>
      <c r="AE28">
        <v>24.302795</v>
      </c>
      <c r="AF28">
        <v>26.736823999999999</v>
      </c>
      <c r="AG28">
        <v>25.118179999999999</v>
      </c>
    </row>
    <row r="29" spans="1:33" x14ac:dyDescent="0.25">
      <c r="A29" s="1">
        <v>44080</v>
      </c>
      <c r="B29">
        <v>22.389887000000002</v>
      </c>
      <c r="C29">
        <v>22.494492000000001</v>
      </c>
      <c r="D29">
        <v>21.564409999999999</v>
      </c>
      <c r="E29">
        <v>21.596899000000001</v>
      </c>
      <c r="F29">
        <v>21.723227000000001</v>
      </c>
      <c r="G29">
        <v>21.476274</v>
      </c>
      <c r="H29">
        <v>20.748785000000002</v>
      </c>
      <c r="I29">
        <v>21.011755000000001</v>
      </c>
      <c r="J29">
        <v>23.577589</v>
      </c>
      <c r="K29">
        <v>22.618134000000001</v>
      </c>
      <c r="L29">
        <v>23.314088999999999</v>
      </c>
      <c r="M29">
        <v>21.651703000000001</v>
      </c>
      <c r="N29">
        <v>21.923310000000001</v>
      </c>
      <c r="O29">
        <v>23.061066</v>
      </c>
      <c r="P29">
        <v>22.544619000000001</v>
      </c>
      <c r="Q29">
        <v>21.589822999999999</v>
      </c>
      <c r="R29">
        <v>23.073540000000001</v>
      </c>
      <c r="S29">
        <v>21.275866000000001</v>
      </c>
      <c r="T29">
        <v>22.101071999999998</v>
      </c>
      <c r="U29">
        <v>21.874120000000001</v>
      </c>
      <c r="V29">
        <v>22.33005</v>
      </c>
      <c r="W29">
        <v>22.005462999999999</v>
      </c>
      <c r="X29">
        <v>22.360374</v>
      </c>
      <c r="Y29">
        <v>25.364737999999999</v>
      </c>
      <c r="Z29">
        <v>23.131378000000002</v>
      </c>
      <c r="AA29">
        <v>25.319906</v>
      </c>
      <c r="AB29">
        <v>25.323180000000001</v>
      </c>
      <c r="AC29">
        <v>25.100496</v>
      </c>
      <c r="AD29">
        <v>23.440353000000002</v>
      </c>
      <c r="AE29">
        <v>25.358931999999999</v>
      </c>
      <c r="AF29">
        <v>26.896967</v>
      </c>
      <c r="AG29">
        <v>25.406092000000001</v>
      </c>
    </row>
    <row r="30" spans="1:33" x14ac:dyDescent="0.25">
      <c r="A30" s="1">
        <v>44081</v>
      </c>
      <c r="B30">
        <v>23.060037999999999</v>
      </c>
      <c r="C30">
        <v>23.009246999999998</v>
      </c>
      <c r="D30">
        <v>22.118245999999999</v>
      </c>
      <c r="E30">
        <v>22.240670999999999</v>
      </c>
      <c r="F30">
        <v>22.082343999999999</v>
      </c>
      <c r="G30">
        <v>21.846758000000001</v>
      </c>
      <c r="H30">
        <v>21.048998000000001</v>
      </c>
      <c r="I30">
        <v>21.638290000000001</v>
      </c>
      <c r="J30">
        <v>24.325030000000002</v>
      </c>
      <c r="K30">
        <v>23.015566</v>
      </c>
      <c r="L30">
        <v>23.644196000000001</v>
      </c>
      <c r="M30">
        <v>22.040848</v>
      </c>
      <c r="N30">
        <v>22.407675000000001</v>
      </c>
      <c r="O30">
        <v>23.443033</v>
      </c>
      <c r="P30">
        <v>22.942869999999999</v>
      </c>
      <c r="Q30">
        <v>21.98912</v>
      </c>
      <c r="R30">
        <v>23.401820000000001</v>
      </c>
      <c r="S30">
        <v>22.374758</v>
      </c>
      <c r="T30">
        <v>22.673013999999998</v>
      </c>
      <c r="U30">
        <v>22.525037999999999</v>
      </c>
      <c r="V30">
        <v>22.714652999999998</v>
      </c>
      <c r="W30">
        <v>22.571280000000002</v>
      </c>
      <c r="X30">
        <v>22.697596000000001</v>
      </c>
      <c r="Y30">
        <v>25.629028000000002</v>
      </c>
      <c r="Z30">
        <v>23.654509999999998</v>
      </c>
      <c r="AA30">
        <v>25.575665999999998</v>
      </c>
      <c r="AB30">
        <v>25.540175999999999</v>
      </c>
      <c r="AC30">
        <v>25.270935000000001</v>
      </c>
      <c r="AD30">
        <v>23.742798000000001</v>
      </c>
      <c r="AE30">
        <v>27.058916</v>
      </c>
      <c r="AF30">
        <v>27.055226999999999</v>
      </c>
      <c r="AG30">
        <v>25.622087000000001</v>
      </c>
    </row>
    <row r="31" spans="1:33" x14ac:dyDescent="0.25">
      <c r="A31" s="1">
        <v>44082</v>
      </c>
      <c r="B31">
        <v>22.849298000000001</v>
      </c>
      <c r="C31">
        <v>22.823141</v>
      </c>
      <c r="D31">
        <v>22.248464999999999</v>
      </c>
      <c r="E31">
        <v>22.379967000000001</v>
      </c>
      <c r="F31">
        <v>21.931480000000001</v>
      </c>
      <c r="G31">
        <v>22.015787</v>
      </c>
      <c r="H31">
        <v>21.199300000000001</v>
      </c>
      <c r="I31">
        <v>21.295725000000001</v>
      </c>
      <c r="J31">
        <v>24.045922999999998</v>
      </c>
      <c r="K31">
        <v>23.016508000000002</v>
      </c>
      <c r="L31">
        <v>23.500852999999999</v>
      </c>
      <c r="M31">
        <v>22.181595000000002</v>
      </c>
      <c r="N31">
        <v>22.387823000000001</v>
      </c>
      <c r="O31">
        <v>23.292883</v>
      </c>
      <c r="P31">
        <v>22.984953000000001</v>
      </c>
      <c r="Q31">
        <v>22.179780000000001</v>
      </c>
      <c r="R31">
        <v>23.268166000000001</v>
      </c>
      <c r="S31">
        <v>21.852132999999998</v>
      </c>
      <c r="T31">
        <v>22.67952</v>
      </c>
      <c r="U31">
        <v>22.611405999999999</v>
      </c>
      <c r="V31">
        <v>22.57002</v>
      </c>
      <c r="W31">
        <v>22.563117999999999</v>
      </c>
      <c r="X31">
        <v>22.581130000000002</v>
      </c>
      <c r="Y31">
        <v>25.484297000000002</v>
      </c>
      <c r="Z31">
        <v>23.5289</v>
      </c>
      <c r="AA31">
        <v>25.411847999999999</v>
      </c>
      <c r="AB31">
        <v>25.337807000000002</v>
      </c>
      <c r="AC31">
        <v>24.919927999999999</v>
      </c>
      <c r="AD31">
        <v>23.678916999999998</v>
      </c>
      <c r="AE31">
        <v>25.783425999999999</v>
      </c>
      <c r="AF31">
        <v>26.88128</v>
      </c>
      <c r="AG31">
        <v>25.223671</v>
      </c>
    </row>
    <row r="32" spans="1:33" x14ac:dyDescent="0.25">
      <c r="A32" s="1">
        <v>44083</v>
      </c>
      <c r="B32">
        <v>22.282364000000001</v>
      </c>
      <c r="C32">
        <v>21.964966</v>
      </c>
      <c r="D32">
        <v>21.975973</v>
      </c>
      <c r="E32">
        <v>22.140366</v>
      </c>
      <c r="F32">
        <v>21.656448000000001</v>
      </c>
      <c r="G32">
        <v>21.826077999999999</v>
      </c>
      <c r="H32">
        <v>20.968527000000002</v>
      </c>
      <c r="I32">
        <v>20.56737</v>
      </c>
      <c r="J32">
        <v>23.160284000000001</v>
      </c>
      <c r="K32">
        <v>22.763863000000001</v>
      </c>
      <c r="L32">
        <v>23.271988</v>
      </c>
      <c r="M32">
        <v>21.994330999999999</v>
      </c>
      <c r="N32">
        <v>22.223986</v>
      </c>
      <c r="O32">
        <v>22.953119999999998</v>
      </c>
      <c r="P32">
        <v>22.725743999999999</v>
      </c>
      <c r="Q32">
        <v>21.982119000000001</v>
      </c>
      <c r="R32">
        <v>23.043759999999999</v>
      </c>
      <c r="S32">
        <v>20.364865999999999</v>
      </c>
      <c r="T32">
        <v>22.312940000000001</v>
      </c>
      <c r="U32">
        <v>22.299354999999998</v>
      </c>
      <c r="V32">
        <v>22.318764000000002</v>
      </c>
      <c r="W32">
        <v>22.038933</v>
      </c>
      <c r="X32">
        <v>22.378312999999999</v>
      </c>
      <c r="Y32">
        <v>24.796500999999999</v>
      </c>
      <c r="Z32">
        <v>23.000938000000001</v>
      </c>
      <c r="AA32">
        <v>24.911318000000001</v>
      </c>
      <c r="AB32">
        <v>24.627129</v>
      </c>
      <c r="AC32">
        <v>24.098054999999999</v>
      </c>
      <c r="AD32">
        <v>23.431944000000001</v>
      </c>
      <c r="AE32">
        <v>23.82348</v>
      </c>
      <c r="AF32">
        <v>26.496490000000001</v>
      </c>
      <c r="AG32">
        <v>24.582039999999999</v>
      </c>
    </row>
    <row r="33" spans="1:33" x14ac:dyDescent="0.25">
      <c r="A33" s="1">
        <v>44084</v>
      </c>
      <c r="B33">
        <v>22.106148000000001</v>
      </c>
      <c r="C33">
        <v>21.845575</v>
      </c>
      <c r="D33">
        <v>21.833006000000001</v>
      </c>
      <c r="E33">
        <v>21.876863</v>
      </c>
      <c r="F33">
        <v>21.454664000000001</v>
      </c>
      <c r="G33">
        <v>21.572524999999999</v>
      </c>
      <c r="H33">
        <v>20.770067000000001</v>
      </c>
      <c r="I33">
        <v>19.986806999999999</v>
      </c>
      <c r="J33">
        <v>22.617719999999998</v>
      </c>
      <c r="K33">
        <v>22.589502</v>
      </c>
      <c r="L33">
        <v>23.194586000000001</v>
      </c>
      <c r="M33">
        <v>21.805353</v>
      </c>
      <c r="N33">
        <v>22.094099</v>
      </c>
      <c r="O33">
        <v>22.784706</v>
      </c>
      <c r="P33">
        <v>22.564527999999999</v>
      </c>
      <c r="Q33">
        <v>21.794599999999999</v>
      </c>
      <c r="R33">
        <v>22.941092000000001</v>
      </c>
      <c r="S33">
        <v>19.866821000000002</v>
      </c>
      <c r="T33">
        <v>22.155006</v>
      </c>
      <c r="U33">
        <v>21.669118999999998</v>
      </c>
      <c r="V33">
        <v>22.425170000000001</v>
      </c>
      <c r="W33">
        <v>21.216985999999999</v>
      </c>
      <c r="X33">
        <v>22.521280000000001</v>
      </c>
      <c r="Y33">
        <v>24.560514000000001</v>
      </c>
      <c r="Z33">
        <v>22.803322000000001</v>
      </c>
      <c r="AA33">
        <v>24.72992</v>
      </c>
      <c r="AB33">
        <v>24.399871999999998</v>
      </c>
      <c r="AC33">
        <v>23.776105999999999</v>
      </c>
      <c r="AD33">
        <v>23.329758000000002</v>
      </c>
      <c r="AE33">
        <v>22.265550000000001</v>
      </c>
      <c r="AF33">
        <v>26.275500000000001</v>
      </c>
      <c r="AG33">
        <v>24.508692</v>
      </c>
    </row>
    <row r="34" spans="1:33" x14ac:dyDescent="0.25">
      <c r="A34" s="1">
        <v>44085</v>
      </c>
      <c r="B34">
        <v>21.953688</v>
      </c>
      <c r="C34">
        <v>21.751304999999999</v>
      </c>
      <c r="D34">
        <v>21.750022999999999</v>
      </c>
      <c r="E34">
        <v>21.610344000000001</v>
      </c>
      <c r="F34">
        <v>21.355360000000001</v>
      </c>
      <c r="G34">
        <v>21.426946999999998</v>
      </c>
      <c r="H34">
        <v>20.628857</v>
      </c>
      <c r="I34">
        <v>19.662123000000001</v>
      </c>
      <c r="J34">
        <v>22.118258000000001</v>
      </c>
      <c r="K34">
        <v>22.380018</v>
      </c>
      <c r="L34">
        <v>23.070848000000002</v>
      </c>
      <c r="M34">
        <v>21.599205000000001</v>
      </c>
      <c r="N34">
        <v>21.943901</v>
      </c>
      <c r="O34">
        <v>22.725840000000002</v>
      </c>
      <c r="P34">
        <v>22.35051</v>
      </c>
      <c r="Q34">
        <v>21.620954999999999</v>
      </c>
      <c r="R34">
        <v>22.855803000000002</v>
      </c>
      <c r="S34">
        <v>19.656893</v>
      </c>
      <c r="T34">
        <v>22.030998</v>
      </c>
      <c r="U34">
        <v>21.083310999999998</v>
      </c>
      <c r="V34">
        <v>22.285097</v>
      </c>
      <c r="W34">
        <v>20.683416000000001</v>
      </c>
      <c r="X34">
        <v>22.300179</v>
      </c>
      <c r="Y34">
        <v>24.373087000000002</v>
      </c>
      <c r="Z34">
        <v>22.635802999999999</v>
      </c>
      <c r="AA34">
        <v>24.524899999999999</v>
      </c>
      <c r="AB34">
        <v>24.279785</v>
      </c>
      <c r="AC34">
        <v>23.433904999999999</v>
      </c>
      <c r="AD34">
        <v>23.229790000000001</v>
      </c>
      <c r="AE34">
        <v>21.764417999999999</v>
      </c>
      <c r="AF34">
        <v>26.06617</v>
      </c>
      <c r="AG34">
        <v>24.26745</v>
      </c>
    </row>
    <row r="35" spans="1:33" x14ac:dyDescent="0.25">
      <c r="A35" s="1">
        <v>44086</v>
      </c>
      <c r="B35">
        <v>21.988845999999999</v>
      </c>
      <c r="C35">
        <v>21.647207000000002</v>
      </c>
      <c r="D35">
        <v>21.692620999999999</v>
      </c>
      <c r="E35">
        <v>21.509567000000001</v>
      </c>
      <c r="F35">
        <v>21.328755999999998</v>
      </c>
      <c r="G35">
        <v>21.327110000000001</v>
      </c>
      <c r="H35">
        <v>20.533113</v>
      </c>
      <c r="I35">
        <v>19.666343999999999</v>
      </c>
      <c r="J35">
        <v>22.031855</v>
      </c>
      <c r="K35">
        <v>22.299154000000001</v>
      </c>
      <c r="L35">
        <v>22.975594000000001</v>
      </c>
      <c r="M35">
        <v>21.470262999999999</v>
      </c>
      <c r="N35">
        <v>21.887953</v>
      </c>
      <c r="O35">
        <v>22.745905</v>
      </c>
      <c r="P35">
        <v>22.240486000000001</v>
      </c>
      <c r="Q35">
        <v>21.510045999999999</v>
      </c>
      <c r="R35">
        <v>22.810386999999999</v>
      </c>
      <c r="S35">
        <v>19.708390000000001</v>
      </c>
      <c r="T35">
        <v>21.945810000000002</v>
      </c>
      <c r="U35">
        <v>20.483484000000001</v>
      </c>
      <c r="V35">
        <v>21.969964999999998</v>
      </c>
      <c r="W35">
        <v>19.940339999999999</v>
      </c>
      <c r="X35">
        <v>21.819724999999998</v>
      </c>
      <c r="Y35">
        <v>24.149498000000001</v>
      </c>
      <c r="Z35">
        <v>22.633194</v>
      </c>
      <c r="AA35">
        <v>24.381322999999998</v>
      </c>
      <c r="AB35">
        <v>24.092417000000001</v>
      </c>
      <c r="AC35">
        <v>23.225863</v>
      </c>
      <c r="AD35">
        <v>23.114763</v>
      </c>
      <c r="AE35">
        <v>22.038423999999999</v>
      </c>
      <c r="AF35">
        <v>25.892515</v>
      </c>
      <c r="AG35">
        <v>24.031110000000002</v>
      </c>
    </row>
    <row r="36" spans="1:33" x14ac:dyDescent="0.25">
      <c r="A36" s="1">
        <v>44087</v>
      </c>
      <c r="B36">
        <v>21.869077999999998</v>
      </c>
      <c r="C36">
        <v>21.49099</v>
      </c>
      <c r="D36">
        <v>21.596465999999999</v>
      </c>
      <c r="E36">
        <v>21.380040999999999</v>
      </c>
      <c r="F36">
        <v>21.259274999999999</v>
      </c>
      <c r="G36">
        <v>21.281181</v>
      </c>
      <c r="H36">
        <v>20.464262000000002</v>
      </c>
      <c r="I36">
        <v>19.748902999999999</v>
      </c>
      <c r="J36">
        <v>22.053453000000001</v>
      </c>
      <c r="K36">
        <v>22.237839000000001</v>
      </c>
      <c r="L36">
        <v>22.860346</v>
      </c>
      <c r="M36">
        <v>21.392247999999999</v>
      </c>
      <c r="N36">
        <v>21.799889</v>
      </c>
      <c r="O36">
        <v>22.663736</v>
      </c>
      <c r="P36">
        <v>22.185449999999999</v>
      </c>
      <c r="Q36">
        <v>21.450932999999999</v>
      </c>
      <c r="R36">
        <v>22.715309999999999</v>
      </c>
      <c r="S36">
        <v>19.762063999999999</v>
      </c>
      <c r="T36">
        <v>21.761564</v>
      </c>
      <c r="U36">
        <v>19.918695</v>
      </c>
      <c r="V36">
        <v>21.654684</v>
      </c>
      <c r="W36">
        <v>19.58325</v>
      </c>
      <c r="X36">
        <v>21.50498</v>
      </c>
      <c r="Y36">
        <v>24.046586999999999</v>
      </c>
      <c r="Z36">
        <v>22.683868</v>
      </c>
      <c r="AA36">
        <v>24.363510000000002</v>
      </c>
      <c r="AB36">
        <v>23.99343</v>
      </c>
      <c r="AC36">
        <v>23.213806000000002</v>
      </c>
      <c r="AD36">
        <v>23.011434999999999</v>
      </c>
      <c r="AE36">
        <v>22.627822999999999</v>
      </c>
      <c r="AF36">
        <v>25.787500000000001</v>
      </c>
      <c r="AG36">
        <v>24.066541999999998</v>
      </c>
    </row>
    <row r="37" spans="1:33" x14ac:dyDescent="0.25">
      <c r="A37" s="1">
        <v>44088</v>
      </c>
      <c r="B37">
        <v>21.434023</v>
      </c>
      <c r="C37">
        <v>21.213629000000001</v>
      </c>
      <c r="D37">
        <v>21.257989999999999</v>
      </c>
      <c r="E37">
        <v>21.065588000000002</v>
      </c>
      <c r="F37">
        <v>20.985406999999999</v>
      </c>
      <c r="G37">
        <v>21.130392000000001</v>
      </c>
      <c r="H37">
        <v>20.347977</v>
      </c>
      <c r="I37">
        <v>19.430468000000001</v>
      </c>
      <c r="J37">
        <v>21.818258</v>
      </c>
      <c r="K37">
        <v>22.0426</v>
      </c>
      <c r="L37">
        <v>22.642202000000001</v>
      </c>
      <c r="M37">
        <v>21.228473999999999</v>
      </c>
      <c r="N37">
        <v>21.532271999999999</v>
      </c>
      <c r="O37">
        <v>22.393242000000001</v>
      </c>
      <c r="P37">
        <v>22.005737</v>
      </c>
      <c r="Q37">
        <v>21.267403000000002</v>
      </c>
      <c r="R37">
        <v>22.511133000000001</v>
      </c>
      <c r="S37">
        <v>19.440859</v>
      </c>
      <c r="T37">
        <v>21.350449000000001</v>
      </c>
      <c r="U37">
        <v>19.530356999999999</v>
      </c>
      <c r="V37">
        <v>21.088526000000002</v>
      </c>
      <c r="W37">
        <v>19.151603999999999</v>
      </c>
      <c r="X37">
        <v>20.879201999999999</v>
      </c>
      <c r="Y37">
        <v>23.960160999999999</v>
      </c>
      <c r="Z37">
        <v>22.517992</v>
      </c>
      <c r="AA37">
        <v>24.272659999999998</v>
      </c>
      <c r="AB37">
        <v>23.910323999999999</v>
      </c>
      <c r="AC37">
        <v>23.008859999999999</v>
      </c>
      <c r="AD37">
        <v>22.844645</v>
      </c>
      <c r="AE37">
        <v>22.729189000000002</v>
      </c>
      <c r="AF37">
        <v>25.636503000000001</v>
      </c>
      <c r="AG37">
        <v>24.037110999999999</v>
      </c>
    </row>
    <row r="38" spans="1:33" x14ac:dyDescent="0.25">
      <c r="A38" s="1">
        <v>44089</v>
      </c>
      <c r="B38">
        <v>21.097059999999999</v>
      </c>
      <c r="C38">
        <v>21.077912999999999</v>
      </c>
      <c r="D38">
        <v>20.909390999999999</v>
      </c>
      <c r="E38">
        <v>20.77685</v>
      </c>
      <c r="F38">
        <v>20.789223</v>
      </c>
      <c r="G38">
        <v>20.936281000000001</v>
      </c>
      <c r="H38">
        <v>20.222733000000002</v>
      </c>
      <c r="I38">
        <v>19.263977000000001</v>
      </c>
      <c r="J38">
        <v>21.458953999999999</v>
      </c>
      <c r="K38">
        <v>21.781458000000001</v>
      </c>
      <c r="L38">
        <v>22.385748</v>
      </c>
      <c r="M38">
        <v>21.029392000000001</v>
      </c>
      <c r="N38">
        <v>21.261343</v>
      </c>
      <c r="O38">
        <v>22.093653</v>
      </c>
      <c r="P38">
        <v>21.769715999999999</v>
      </c>
      <c r="Q38">
        <v>21.045639999999999</v>
      </c>
      <c r="R38">
        <v>22.274836000000001</v>
      </c>
      <c r="S38">
        <v>19.151201</v>
      </c>
      <c r="T38">
        <v>20.966056999999999</v>
      </c>
      <c r="U38">
        <v>19.129116</v>
      </c>
      <c r="V38">
        <v>20.656649000000002</v>
      </c>
      <c r="W38">
        <v>18.828313999999999</v>
      </c>
      <c r="X38">
        <v>20.440291999999999</v>
      </c>
      <c r="Y38">
        <v>23.840332</v>
      </c>
      <c r="Z38">
        <v>22.143388999999999</v>
      </c>
      <c r="AA38">
        <v>24.068209</v>
      </c>
      <c r="AB38">
        <v>23.813444</v>
      </c>
      <c r="AC38">
        <v>22.732498</v>
      </c>
      <c r="AD38">
        <v>22.608899999999998</v>
      </c>
      <c r="AE38">
        <v>22.699197999999999</v>
      </c>
      <c r="AF38">
        <v>25.413315000000001</v>
      </c>
      <c r="AG38">
        <v>23.839265999999999</v>
      </c>
    </row>
    <row r="39" spans="1:33" x14ac:dyDescent="0.25">
      <c r="A39" s="1">
        <v>44090</v>
      </c>
      <c r="B39">
        <v>21.183413000000002</v>
      </c>
      <c r="C39">
        <v>21.160702000000001</v>
      </c>
      <c r="D39">
        <v>20.91423</v>
      </c>
      <c r="E39">
        <v>20.763059999999999</v>
      </c>
      <c r="F39">
        <v>20.905666</v>
      </c>
      <c r="G39">
        <v>20.906099999999999</v>
      </c>
      <c r="H39">
        <v>20.254992000000001</v>
      </c>
      <c r="I39">
        <v>19.646274999999999</v>
      </c>
      <c r="J39">
        <v>21.617560000000001</v>
      </c>
      <c r="K39">
        <v>21.758354000000001</v>
      </c>
      <c r="L39">
        <v>22.352927999999999</v>
      </c>
      <c r="M39">
        <v>21.012208999999999</v>
      </c>
      <c r="N39">
        <v>21.211511999999999</v>
      </c>
      <c r="O39">
        <v>22.021189</v>
      </c>
      <c r="P39">
        <v>21.713052999999999</v>
      </c>
      <c r="Q39">
        <v>21.014009999999999</v>
      </c>
      <c r="R39">
        <v>22.23255</v>
      </c>
      <c r="S39">
        <v>19.358537999999999</v>
      </c>
      <c r="T39">
        <v>20.849599999999999</v>
      </c>
      <c r="U39">
        <v>19.006741999999999</v>
      </c>
      <c r="V39">
        <v>20.529305000000001</v>
      </c>
      <c r="W39">
        <v>18.761596999999998</v>
      </c>
      <c r="X39">
        <v>20.273859999999999</v>
      </c>
      <c r="Y39">
        <v>23.807822999999999</v>
      </c>
      <c r="Z39">
        <v>21.889165999999999</v>
      </c>
      <c r="AA39">
        <v>24.005407000000002</v>
      </c>
      <c r="AB39">
        <v>23.771141</v>
      </c>
      <c r="AC39">
        <v>22.667300000000001</v>
      </c>
      <c r="AD39">
        <v>22.503912</v>
      </c>
      <c r="AE39">
        <v>22.876069999999999</v>
      </c>
      <c r="AF39">
        <v>25.277113</v>
      </c>
      <c r="AG39">
        <v>23.8674</v>
      </c>
    </row>
    <row r="40" spans="1:33" x14ac:dyDescent="0.25">
      <c r="A40" s="1">
        <v>44091</v>
      </c>
      <c r="B40">
        <v>21.236227</v>
      </c>
      <c r="C40">
        <v>21.207091999999999</v>
      </c>
      <c r="D40">
        <v>21.042238000000001</v>
      </c>
      <c r="E40">
        <v>20.869565999999999</v>
      </c>
      <c r="F40">
        <v>20.978842</v>
      </c>
      <c r="G40">
        <v>20.951650000000001</v>
      </c>
      <c r="H40">
        <v>20.326080000000001</v>
      </c>
      <c r="I40">
        <v>19.966429999999999</v>
      </c>
      <c r="J40">
        <v>21.884888</v>
      </c>
      <c r="K40">
        <v>21.772210000000001</v>
      </c>
      <c r="L40">
        <v>22.302101</v>
      </c>
      <c r="M40">
        <v>21.053259000000001</v>
      </c>
      <c r="N40">
        <v>21.215917999999999</v>
      </c>
      <c r="O40">
        <v>21.970925999999999</v>
      </c>
      <c r="P40">
        <v>21.731369000000001</v>
      </c>
      <c r="Q40">
        <v>21.063300999999999</v>
      </c>
      <c r="R40">
        <v>22.167525999999999</v>
      </c>
      <c r="S40">
        <v>19.667020000000001</v>
      </c>
      <c r="T40">
        <v>20.839003000000002</v>
      </c>
      <c r="U40">
        <v>19.045300000000001</v>
      </c>
      <c r="V40">
        <v>20.50656</v>
      </c>
      <c r="W40">
        <v>19.068007000000001</v>
      </c>
      <c r="X40">
        <v>20.227443999999998</v>
      </c>
      <c r="Y40">
        <v>23.736784</v>
      </c>
      <c r="Z40">
        <v>21.651696999999999</v>
      </c>
      <c r="AA40">
        <v>23.992467999999999</v>
      </c>
      <c r="AB40">
        <v>23.681374000000002</v>
      </c>
      <c r="AC40">
        <v>22.739456000000001</v>
      </c>
      <c r="AD40">
        <v>22.420036</v>
      </c>
      <c r="AE40">
        <v>23.267244000000002</v>
      </c>
      <c r="AF40">
        <v>25.209596999999999</v>
      </c>
      <c r="AG40">
        <v>23.823084000000001</v>
      </c>
    </row>
    <row r="41" spans="1:33" x14ac:dyDescent="0.25">
      <c r="A41" s="1">
        <v>44092</v>
      </c>
      <c r="B41">
        <v>20.984179000000001</v>
      </c>
      <c r="C41">
        <v>21.016677999999999</v>
      </c>
      <c r="D41">
        <v>20.922958000000001</v>
      </c>
      <c r="E41">
        <v>20.789331000000001</v>
      </c>
      <c r="F41">
        <v>20.787279999999999</v>
      </c>
      <c r="G41">
        <v>20.876760000000001</v>
      </c>
      <c r="H41">
        <v>20.251809999999999</v>
      </c>
      <c r="I41">
        <v>19.848005000000001</v>
      </c>
      <c r="J41">
        <v>21.746210000000001</v>
      </c>
      <c r="K41">
        <v>21.681975999999999</v>
      </c>
      <c r="L41">
        <v>22.106552000000001</v>
      </c>
      <c r="M41">
        <v>20.960080999999999</v>
      </c>
      <c r="N41">
        <v>21.070180000000001</v>
      </c>
      <c r="O41">
        <v>21.794236999999999</v>
      </c>
      <c r="P41">
        <v>21.647010000000002</v>
      </c>
      <c r="Q41">
        <v>20.974115000000001</v>
      </c>
      <c r="R41">
        <v>21.983502999999999</v>
      </c>
      <c r="S41">
        <v>19.568449000000001</v>
      </c>
      <c r="T41">
        <v>20.692195999999999</v>
      </c>
      <c r="U41">
        <v>19.409697000000001</v>
      </c>
      <c r="V41">
        <v>20.334054999999999</v>
      </c>
      <c r="W41">
        <v>19.394895999999999</v>
      </c>
      <c r="X41">
        <v>20.053640000000001</v>
      </c>
      <c r="Y41">
        <v>23.519974000000001</v>
      </c>
      <c r="Z41">
        <v>21.2834</v>
      </c>
      <c r="AA41">
        <v>23.82516</v>
      </c>
      <c r="AB41">
        <v>23.519476000000001</v>
      </c>
      <c r="AC41">
        <v>22.610178000000001</v>
      </c>
      <c r="AD41">
        <v>22.222643000000001</v>
      </c>
      <c r="AE41">
        <v>23.165006999999999</v>
      </c>
      <c r="AF41">
        <v>25.007339999999999</v>
      </c>
      <c r="AG41">
        <v>23.703856999999999</v>
      </c>
    </row>
    <row r="42" spans="1:33" x14ac:dyDescent="0.25">
      <c r="A42" s="1">
        <v>44093</v>
      </c>
      <c r="B42">
        <v>20.905394000000001</v>
      </c>
      <c r="C42">
        <v>20.983822</v>
      </c>
      <c r="D42">
        <v>20.815655</v>
      </c>
      <c r="E42">
        <v>20.729654</v>
      </c>
      <c r="F42">
        <v>20.701155</v>
      </c>
      <c r="G42">
        <v>20.781396999999998</v>
      </c>
      <c r="H42">
        <v>20.180389999999999</v>
      </c>
      <c r="I42">
        <v>19.750216999999999</v>
      </c>
      <c r="J42">
        <v>21.585701</v>
      </c>
      <c r="K42">
        <v>21.575785</v>
      </c>
      <c r="L42">
        <v>21.965423999999999</v>
      </c>
      <c r="M42">
        <v>20.868216</v>
      </c>
      <c r="N42">
        <v>20.972163999999999</v>
      </c>
      <c r="O42">
        <v>21.610734999999998</v>
      </c>
      <c r="P42">
        <v>21.548029</v>
      </c>
      <c r="Q42">
        <v>20.882366000000001</v>
      </c>
      <c r="R42">
        <v>21.852394</v>
      </c>
      <c r="S42">
        <v>19.495325000000001</v>
      </c>
      <c r="T42">
        <v>20.566744</v>
      </c>
      <c r="U42">
        <v>19.651693000000002</v>
      </c>
      <c r="V42">
        <v>20.253418</v>
      </c>
      <c r="W42">
        <v>19.698820000000001</v>
      </c>
      <c r="X42">
        <v>20.018940000000001</v>
      </c>
      <c r="Y42">
        <v>23.192450999999998</v>
      </c>
      <c r="Z42">
        <v>20.974497</v>
      </c>
      <c r="AA42">
        <v>23.568173999999999</v>
      </c>
      <c r="AB42">
        <v>23.228327</v>
      </c>
      <c r="AC42">
        <v>22.251352000000001</v>
      </c>
      <c r="AD42">
        <v>22.070917000000001</v>
      </c>
      <c r="AE42">
        <v>22.763929999999998</v>
      </c>
      <c r="AF42">
        <v>24.740593000000001</v>
      </c>
      <c r="AG42">
        <v>23.345006999999999</v>
      </c>
    </row>
    <row r="43" spans="1:33" x14ac:dyDescent="0.25">
      <c r="A43" s="1">
        <v>44094</v>
      </c>
      <c r="B43">
        <v>21.072859999999999</v>
      </c>
      <c r="C43">
        <v>21.050685999999999</v>
      </c>
      <c r="D43">
        <v>20.868846999999999</v>
      </c>
      <c r="E43">
        <v>20.808485000000001</v>
      </c>
      <c r="F43">
        <v>20.783425999999999</v>
      </c>
      <c r="G43">
        <v>20.793576999999999</v>
      </c>
      <c r="H43">
        <v>20.177689999999998</v>
      </c>
      <c r="I43">
        <v>19.872112000000001</v>
      </c>
      <c r="J43">
        <v>21.716652</v>
      </c>
      <c r="K43">
        <v>21.623156000000002</v>
      </c>
      <c r="L43">
        <v>21.9666</v>
      </c>
      <c r="M43">
        <v>20.912255999999999</v>
      </c>
      <c r="N43">
        <v>21.033749</v>
      </c>
      <c r="O43">
        <v>21.562840999999999</v>
      </c>
      <c r="P43">
        <v>21.58372</v>
      </c>
      <c r="Q43">
        <v>20.919115000000001</v>
      </c>
      <c r="R43">
        <v>21.831802</v>
      </c>
      <c r="S43">
        <v>19.76821</v>
      </c>
      <c r="T43">
        <v>20.669637999999999</v>
      </c>
      <c r="U43">
        <v>19.979880000000001</v>
      </c>
      <c r="V43">
        <v>20.439713999999999</v>
      </c>
      <c r="W43">
        <v>19.822452999999999</v>
      </c>
      <c r="X43">
        <v>20.272234000000001</v>
      </c>
      <c r="Y43">
        <v>23.107061000000002</v>
      </c>
      <c r="Z43">
        <v>20.888414000000001</v>
      </c>
      <c r="AA43">
        <v>23.455113999999998</v>
      </c>
      <c r="AB43">
        <v>23.1477</v>
      </c>
      <c r="AC43">
        <v>22.12565</v>
      </c>
      <c r="AD43">
        <v>22.03839</v>
      </c>
      <c r="AE43">
        <v>22.872221</v>
      </c>
      <c r="AF43">
        <v>24.621946000000001</v>
      </c>
      <c r="AG43">
        <v>23.311274000000001</v>
      </c>
    </row>
    <row r="44" spans="1:33" x14ac:dyDescent="0.25">
      <c r="A44" s="1">
        <v>44095</v>
      </c>
      <c r="B44">
        <v>21.12068</v>
      </c>
      <c r="C44">
        <v>21.072026999999999</v>
      </c>
      <c r="D44">
        <v>20.920893</v>
      </c>
      <c r="E44">
        <v>20.817419999999998</v>
      </c>
      <c r="F44">
        <v>20.732189999999999</v>
      </c>
      <c r="G44">
        <v>20.80245</v>
      </c>
      <c r="H44">
        <v>20.162559999999999</v>
      </c>
      <c r="I44">
        <v>19.855974</v>
      </c>
      <c r="J44">
        <v>21.921769999999999</v>
      </c>
      <c r="K44">
        <v>21.706253</v>
      </c>
      <c r="L44">
        <v>22.006799999999998</v>
      </c>
      <c r="M44">
        <v>20.934570000000001</v>
      </c>
      <c r="N44">
        <v>21.106667999999999</v>
      </c>
      <c r="O44">
        <v>21.610105999999998</v>
      </c>
      <c r="P44">
        <v>21.662125</v>
      </c>
      <c r="Q44">
        <v>20.957052000000001</v>
      </c>
      <c r="R44">
        <v>21.84817</v>
      </c>
      <c r="S44">
        <v>19.820736</v>
      </c>
      <c r="T44">
        <v>20.806477000000001</v>
      </c>
      <c r="U44">
        <v>20.022245000000002</v>
      </c>
      <c r="V44">
        <v>20.599208999999998</v>
      </c>
      <c r="W44">
        <v>19.880838000000001</v>
      </c>
      <c r="X44">
        <v>20.467780999999999</v>
      </c>
      <c r="Y44">
        <v>23.168962000000001</v>
      </c>
      <c r="Z44">
        <v>20.907831000000002</v>
      </c>
      <c r="AA44">
        <v>23.447908000000002</v>
      </c>
      <c r="AB44">
        <v>23.198160000000001</v>
      </c>
      <c r="AC44">
        <v>22.147286999999999</v>
      </c>
      <c r="AD44">
        <v>22.053108000000002</v>
      </c>
      <c r="AE44">
        <v>23.171339</v>
      </c>
      <c r="AF44">
        <v>24.601240000000001</v>
      </c>
      <c r="AG44">
        <v>23.298857000000002</v>
      </c>
    </row>
    <row r="45" spans="1:33" x14ac:dyDescent="0.25">
      <c r="A45" s="1">
        <v>44096</v>
      </c>
      <c r="B45">
        <v>21.024908</v>
      </c>
      <c r="C45">
        <v>20.981089000000001</v>
      </c>
      <c r="D45">
        <v>20.821083000000002</v>
      </c>
      <c r="E45">
        <v>20.716311999999999</v>
      </c>
      <c r="F45">
        <v>20.576857</v>
      </c>
      <c r="G45">
        <v>20.708672</v>
      </c>
      <c r="H45">
        <v>20.071909999999999</v>
      </c>
      <c r="I45">
        <v>19.526486999999999</v>
      </c>
      <c r="J45">
        <v>21.820646</v>
      </c>
      <c r="K45">
        <v>21.654564000000001</v>
      </c>
      <c r="L45">
        <v>21.967749999999999</v>
      </c>
      <c r="M45">
        <v>20.847013</v>
      </c>
      <c r="N45">
        <v>21.040728000000001</v>
      </c>
      <c r="O45">
        <v>21.591248</v>
      </c>
      <c r="P45">
        <v>21.61703</v>
      </c>
      <c r="Q45">
        <v>20.875699999999998</v>
      </c>
      <c r="R45">
        <v>21.798719999999999</v>
      </c>
      <c r="S45">
        <v>19.55564</v>
      </c>
      <c r="T45">
        <v>20.799067999999998</v>
      </c>
      <c r="U45">
        <v>20.024063000000002</v>
      </c>
      <c r="V45">
        <v>20.62997</v>
      </c>
      <c r="W45">
        <v>19.941276999999999</v>
      </c>
      <c r="X45">
        <v>20.507017000000001</v>
      </c>
      <c r="Y45">
        <v>22.984055000000001</v>
      </c>
      <c r="Z45">
        <v>20.914503</v>
      </c>
      <c r="AA45">
        <v>23.371717</v>
      </c>
      <c r="AB45">
        <v>23.006810999999999</v>
      </c>
      <c r="AC45">
        <v>21.791596999999999</v>
      </c>
      <c r="AD45">
        <v>22.02298</v>
      </c>
      <c r="AE45">
        <v>23.004014999999999</v>
      </c>
      <c r="AF45">
        <v>24.550476</v>
      </c>
      <c r="AG45">
        <v>23.079139999999999</v>
      </c>
    </row>
    <row r="46" spans="1:33" x14ac:dyDescent="0.25">
      <c r="A46" s="1">
        <v>44097</v>
      </c>
      <c r="B46">
        <v>20.769196999999998</v>
      </c>
      <c r="C46">
        <v>20.804703</v>
      </c>
      <c r="D46">
        <v>20.598915000000002</v>
      </c>
      <c r="E46">
        <v>20.513566999999998</v>
      </c>
      <c r="F46">
        <v>20.414580000000001</v>
      </c>
      <c r="G46">
        <v>20.531552999999999</v>
      </c>
      <c r="H46">
        <v>19.912783000000001</v>
      </c>
      <c r="I46">
        <v>19.122323999999999</v>
      </c>
      <c r="J46">
        <v>21.475847000000002</v>
      </c>
      <c r="K46">
        <v>21.454713999999999</v>
      </c>
      <c r="L46">
        <v>21.809736000000001</v>
      </c>
      <c r="M46">
        <v>20.681849</v>
      </c>
      <c r="N46">
        <v>20.839516</v>
      </c>
      <c r="O46">
        <v>21.453821000000001</v>
      </c>
      <c r="P46">
        <v>21.407250999999999</v>
      </c>
      <c r="Q46">
        <v>20.705062999999999</v>
      </c>
      <c r="R46">
        <v>21.638007999999999</v>
      </c>
      <c r="S46">
        <v>19.147724</v>
      </c>
      <c r="T46">
        <v>20.65804</v>
      </c>
      <c r="U46">
        <v>20.055311</v>
      </c>
      <c r="V46">
        <v>20.473075999999999</v>
      </c>
      <c r="W46">
        <v>19.959385000000001</v>
      </c>
      <c r="X46">
        <v>20.357021</v>
      </c>
      <c r="Y46">
        <v>22.68628</v>
      </c>
      <c r="Z46">
        <v>20.849679999999999</v>
      </c>
      <c r="AA46">
        <v>23.238129000000001</v>
      </c>
      <c r="AB46">
        <v>22.796778</v>
      </c>
      <c r="AC46">
        <v>21.401533000000001</v>
      </c>
      <c r="AD46">
        <v>21.877367</v>
      </c>
      <c r="AE46">
        <v>22.122948000000001</v>
      </c>
      <c r="AF46">
        <v>24.390274000000002</v>
      </c>
      <c r="AG46">
        <v>22.931509999999999</v>
      </c>
    </row>
    <row r="47" spans="1:33" x14ac:dyDescent="0.25">
      <c r="A47" s="1">
        <v>44098</v>
      </c>
      <c r="B47">
        <v>20.847563000000001</v>
      </c>
      <c r="C47">
        <v>20.908949</v>
      </c>
      <c r="D47">
        <v>20.614522999999998</v>
      </c>
      <c r="E47">
        <v>20.533128999999999</v>
      </c>
      <c r="F47">
        <v>20.513483000000001</v>
      </c>
      <c r="G47">
        <v>20.481059999999999</v>
      </c>
      <c r="H47">
        <v>19.876325999999999</v>
      </c>
      <c r="I47">
        <v>19.198694</v>
      </c>
      <c r="J47">
        <v>21.430213999999999</v>
      </c>
      <c r="K47">
        <v>21.364529999999998</v>
      </c>
      <c r="L47">
        <v>21.747281999999998</v>
      </c>
      <c r="M47">
        <v>20.610744</v>
      </c>
      <c r="N47">
        <v>20.825935000000001</v>
      </c>
      <c r="O47">
        <v>21.459983999999999</v>
      </c>
      <c r="P47">
        <v>21.322759999999999</v>
      </c>
      <c r="Q47">
        <v>20.646393</v>
      </c>
      <c r="R47">
        <v>21.612410000000001</v>
      </c>
      <c r="S47">
        <v>19.151060000000001</v>
      </c>
      <c r="T47">
        <v>20.699131000000001</v>
      </c>
      <c r="U47">
        <v>20.186451000000002</v>
      </c>
      <c r="V47">
        <v>20.585477999999998</v>
      </c>
      <c r="W47">
        <v>20.107676999999999</v>
      </c>
      <c r="X47">
        <v>20.491116999999999</v>
      </c>
      <c r="Y47">
        <v>22.715941999999998</v>
      </c>
      <c r="Z47">
        <v>20.943995000000001</v>
      </c>
      <c r="AA47">
        <v>23.134976999999999</v>
      </c>
      <c r="AB47">
        <v>22.822824000000001</v>
      </c>
      <c r="AC47">
        <v>21.454415999999998</v>
      </c>
      <c r="AD47">
        <v>21.793060000000001</v>
      </c>
      <c r="AE47">
        <v>22.100037</v>
      </c>
      <c r="AF47">
        <v>24.297089</v>
      </c>
      <c r="AG47">
        <v>22.906127999999999</v>
      </c>
    </row>
    <row r="48" spans="1:33" x14ac:dyDescent="0.25">
      <c r="A48" s="1">
        <v>44099</v>
      </c>
      <c r="B48">
        <v>20.611113</v>
      </c>
      <c r="C48">
        <v>20.697420000000001</v>
      </c>
      <c r="D48">
        <v>20.538446</v>
      </c>
      <c r="E48">
        <v>20.388864999999999</v>
      </c>
      <c r="F48">
        <v>20.252282999999998</v>
      </c>
      <c r="G48">
        <v>20.334118</v>
      </c>
      <c r="H48">
        <v>19.793510000000001</v>
      </c>
      <c r="I48">
        <v>18.794589999999999</v>
      </c>
      <c r="J48">
        <v>21.159314999999999</v>
      </c>
      <c r="K48">
        <v>21.217216000000001</v>
      </c>
      <c r="L48">
        <v>21.570813999999999</v>
      </c>
      <c r="M48">
        <v>20.430634999999999</v>
      </c>
      <c r="N48">
        <v>20.683530000000001</v>
      </c>
      <c r="O48">
        <v>21.314692000000001</v>
      </c>
      <c r="P48">
        <v>21.162476999999999</v>
      </c>
      <c r="Q48">
        <v>20.496829999999999</v>
      </c>
      <c r="R48">
        <v>21.458763000000001</v>
      </c>
      <c r="S48">
        <v>18.936074999999999</v>
      </c>
      <c r="T48">
        <v>20.558682999999998</v>
      </c>
      <c r="U48">
        <v>20.202829999999999</v>
      </c>
      <c r="V48">
        <v>20.463059999999999</v>
      </c>
      <c r="W48">
        <v>20.128793999999999</v>
      </c>
      <c r="X48">
        <v>20.407087000000001</v>
      </c>
      <c r="Y48">
        <v>22.33268</v>
      </c>
      <c r="Z48">
        <v>20.897652000000001</v>
      </c>
      <c r="AA48">
        <v>22.912645000000001</v>
      </c>
      <c r="AB48">
        <v>22.472000000000001</v>
      </c>
      <c r="AC48">
        <v>21.265028000000001</v>
      </c>
      <c r="AD48">
        <v>21.646387000000001</v>
      </c>
      <c r="AE48">
        <v>21.871739999999999</v>
      </c>
      <c r="AF48">
        <v>24.067183</v>
      </c>
      <c r="AG48">
        <v>22.553101999999999</v>
      </c>
    </row>
    <row r="49" spans="1:33" x14ac:dyDescent="0.25">
      <c r="A49" s="1">
        <v>44100</v>
      </c>
      <c r="B49">
        <v>20.734964000000002</v>
      </c>
      <c r="C49">
        <v>20.734895999999999</v>
      </c>
      <c r="D49">
        <v>20.541160000000001</v>
      </c>
      <c r="E49">
        <v>20.377963999999999</v>
      </c>
      <c r="F49">
        <v>20.335560000000001</v>
      </c>
      <c r="G49">
        <v>20.304079999999999</v>
      </c>
      <c r="H49">
        <v>19.767965</v>
      </c>
      <c r="I49">
        <v>18.902972999999999</v>
      </c>
      <c r="J49">
        <v>21.25346</v>
      </c>
      <c r="K49">
        <v>21.201418</v>
      </c>
      <c r="L49">
        <v>21.546831000000001</v>
      </c>
      <c r="M49">
        <v>20.446950000000001</v>
      </c>
      <c r="N49">
        <v>20.686654999999998</v>
      </c>
      <c r="O49">
        <v>21.285297</v>
      </c>
      <c r="P49">
        <v>21.146822</v>
      </c>
      <c r="Q49">
        <v>20.473513000000001</v>
      </c>
      <c r="R49">
        <v>21.453665000000001</v>
      </c>
      <c r="S49">
        <v>19.031092000000001</v>
      </c>
      <c r="T49">
        <v>20.567693999999999</v>
      </c>
      <c r="U49">
        <v>20.309667999999999</v>
      </c>
      <c r="V49">
        <v>20.618611999999999</v>
      </c>
      <c r="W49">
        <v>20.220739999999999</v>
      </c>
      <c r="X49">
        <v>20.606348000000001</v>
      </c>
      <c r="Y49">
        <v>22.197991999999999</v>
      </c>
      <c r="Z49">
        <v>20.963653999999998</v>
      </c>
      <c r="AA49">
        <v>22.857907999999998</v>
      </c>
      <c r="AB49">
        <v>22.410173</v>
      </c>
      <c r="AC49">
        <v>21.123573</v>
      </c>
      <c r="AD49">
        <v>21.625696000000001</v>
      </c>
      <c r="AE49">
        <v>22.088139999999999</v>
      </c>
      <c r="AF49">
        <v>23.94275</v>
      </c>
      <c r="AG49">
        <v>22.61853</v>
      </c>
    </row>
    <row r="50" spans="1:33" x14ac:dyDescent="0.25">
      <c r="A50" s="1">
        <v>44101</v>
      </c>
      <c r="B50">
        <v>21.030863</v>
      </c>
      <c r="C50">
        <v>20.964676000000001</v>
      </c>
      <c r="D50">
        <v>20.713743000000001</v>
      </c>
      <c r="E50">
        <v>20.540842000000001</v>
      </c>
      <c r="F50">
        <v>20.617039999999999</v>
      </c>
      <c r="G50">
        <v>20.463259000000001</v>
      </c>
      <c r="H50">
        <v>19.910246000000001</v>
      </c>
      <c r="I50">
        <v>19.470708999999999</v>
      </c>
      <c r="J50">
        <v>21.636880000000001</v>
      </c>
      <c r="K50">
        <v>21.353102</v>
      </c>
      <c r="L50">
        <v>21.637283</v>
      </c>
      <c r="M50">
        <v>20.612707</v>
      </c>
      <c r="N50">
        <v>20.873139999999999</v>
      </c>
      <c r="O50">
        <v>21.406697999999999</v>
      </c>
      <c r="P50">
        <v>21.294654999999999</v>
      </c>
      <c r="Q50">
        <v>20.626898000000001</v>
      </c>
      <c r="R50">
        <v>21.538744000000001</v>
      </c>
      <c r="S50">
        <v>19.379002</v>
      </c>
      <c r="T50">
        <v>20.769627</v>
      </c>
      <c r="U50">
        <v>20.404419999999998</v>
      </c>
      <c r="V50">
        <v>20.874504000000002</v>
      </c>
      <c r="W50">
        <v>20.194835999999999</v>
      </c>
      <c r="X50">
        <v>20.858473</v>
      </c>
      <c r="Y50">
        <v>22.452309</v>
      </c>
      <c r="Z50">
        <v>21.19031</v>
      </c>
      <c r="AA50">
        <v>22.942178999999999</v>
      </c>
      <c r="AB50">
        <v>22.618241999999999</v>
      </c>
      <c r="AC50">
        <v>21.144525999999999</v>
      </c>
      <c r="AD50">
        <v>21.692644000000001</v>
      </c>
      <c r="AE50">
        <v>22.440871999999999</v>
      </c>
      <c r="AF50">
        <v>23.891135999999999</v>
      </c>
      <c r="AG50">
        <v>22.721291999999998</v>
      </c>
    </row>
    <row r="51" spans="1:33" x14ac:dyDescent="0.25">
      <c r="A51" s="1">
        <v>44102</v>
      </c>
      <c r="B51">
        <v>21.138117000000001</v>
      </c>
      <c r="C51">
        <v>21.246583999999999</v>
      </c>
      <c r="D51">
        <v>20.921901999999999</v>
      </c>
      <c r="E51">
        <v>20.675052999999998</v>
      </c>
      <c r="F51">
        <v>20.821052999999999</v>
      </c>
      <c r="G51">
        <v>20.646538</v>
      </c>
      <c r="H51">
        <v>20.02441</v>
      </c>
      <c r="I51">
        <v>20.077999999999999</v>
      </c>
      <c r="J51">
        <v>21.926313</v>
      </c>
      <c r="K51">
        <v>21.488329</v>
      </c>
      <c r="L51">
        <v>21.709517000000002</v>
      </c>
      <c r="M51">
        <v>20.773482999999999</v>
      </c>
      <c r="N51">
        <v>21.037002999999999</v>
      </c>
      <c r="O51">
        <v>21.520721000000002</v>
      </c>
      <c r="P51">
        <v>21.444724999999998</v>
      </c>
      <c r="Q51">
        <v>20.788461999999999</v>
      </c>
      <c r="R51">
        <v>21.612884999999999</v>
      </c>
      <c r="S51">
        <v>19.594871999999999</v>
      </c>
      <c r="T51">
        <v>20.958044000000001</v>
      </c>
      <c r="U51">
        <v>20.391884000000001</v>
      </c>
      <c r="V51">
        <v>21.0503</v>
      </c>
      <c r="W51">
        <v>20.306775999999999</v>
      </c>
      <c r="X51">
        <v>21.023779999999999</v>
      </c>
      <c r="Y51">
        <v>22.591951000000002</v>
      </c>
      <c r="Z51">
        <v>21.394327000000001</v>
      </c>
      <c r="AA51">
        <v>22.984266000000002</v>
      </c>
      <c r="AB51">
        <v>22.684571999999999</v>
      </c>
      <c r="AC51">
        <v>21.216010000000001</v>
      </c>
      <c r="AD51">
        <v>21.751814</v>
      </c>
      <c r="AE51">
        <v>22.848745000000001</v>
      </c>
      <c r="AF51">
        <v>23.884492999999999</v>
      </c>
      <c r="AG51">
        <v>22.739386</v>
      </c>
    </row>
    <row r="52" spans="1:33" x14ac:dyDescent="0.25">
      <c r="A52" s="1">
        <v>44103</v>
      </c>
      <c r="B52">
        <v>21.515000000000001</v>
      </c>
      <c r="C52">
        <v>21.620882000000002</v>
      </c>
      <c r="D52">
        <v>21.214559999999999</v>
      </c>
      <c r="E52">
        <v>21.008573999999999</v>
      </c>
      <c r="F52">
        <v>21.040308</v>
      </c>
      <c r="G52">
        <v>20.853090000000002</v>
      </c>
      <c r="H52">
        <v>20.158041000000001</v>
      </c>
      <c r="I52">
        <v>20.398762000000001</v>
      </c>
      <c r="J52">
        <v>22.371397000000002</v>
      </c>
      <c r="K52">
        <v>21.704315000000001</v>
      </c>
      <c r="L52">
        <v>21.920819999999999</v>
      </c>
      <c r="M52">
        <v>20.970721999999999</v>
      </c>
      <c r="N52">
        <v>21.272606</v>
      </c>
      <c r="O52">
        <v>21.796194</v>
      </c>
      <c r="P52">
        <v>21.659689</v>
      </c>
      <c r="Q52">
        <v>20.989360000000001</v>
      </c>
      <c r="R52">
        <v>21.835999000000001</v>
      </c>
      <c r="S52">
        <v>20.149649</v>
      </c>
      <c r="T52">
        <v>21.289005</v>
      </c>
      <c r="U52">
        <v>20.593596999999999</v>
      </c>
      <c r="V52">
        <v>21.335823000000001</v>
      </c>
      <c r="W52">
        <v>20.406967000000002</v>
      </c>
      <c r="X52">
        <v>21.285795</v>
      </c>
      <c r="Y52">
        <v>22.823013</v>
      </c>
      <c r="Z52">
        <v>21.749945</v>
      </c>
      <c r="AA52">
        <v>23.15541</v>
      </c>
      <c r="AB52">
        <v>22.86551</v>
      </c>
      <c r="AC52">
        <v>21.542397999999999</v>
      </c>
      <c r="AD52">
        <v>21.927813</v>
      </c>
      <c r="AE52">
        <v>22.627334999999999</v>
      </c>
      <c r="AF52">
        <v>23.990518999999999</v>
      </c>
      <c r="AG52">
        <v>23.012540000000001</v>
      </c>
    </row>
    <row r="53" spans="1:33" x14ac:dyDescent="0.25">
      <c r="A53" s="1">
        <v>44104</v>
      </c>
      <c r="B53">
        <v>21.458227000000001</v>
      </c>
      <c r="C53">
        <v>21.762589999999999</v>
      </c>
      <c r="D53">
        <v>21.323305000000001</v>
      </c>
      <c r="E53">
        <v>21.106846000000001</v>
      </c>
      <c r="F53">
        <v>20.964247</v>
      </c>
      <c r="G53">
        <v>20.916260000000001</v>
      </c>
      <c r="H53">
        <v>20.192938000000002</v>
      </c>
      <c r="I53">
        <v>20.140270000000001</v>
      </c>
      <c r="J53">
        <v>22.262084999999999</v>
      </c>
      <c r="K53">
        <v>21.72072</v>
      </c>
      <c r="L53">
        <v>21.949074</v>
      </c>
      <c r="M53">
        <v>21.028700000000001</v>
      </c>
      <c r="N53">
        <v>21.327096999999998</v>
      </c>
      <c r="O53">
        <v>21.812349999999999</v>
      </c>
      <c r="P53">
        <v>21.697023000000002</v>
      </c>
      <c r="Q53">
        <v>21.054563999999999</v>
      </c>
      <c r="R53">
        <v>21.865877000000001</v>
      </c>
      <c r="S53">
        <v>20.200592</v>
      </c>
      <c r="T53">
        <v>21.386130999999999</v>
      </c>
      <c r="U53">
        <v>20.583970999999998</v>
      </c>
      <c r="V53">
        <v>21.343992</v>
      </c>
      <c r="W53">
        <v>20.317371000000001</v>
      </c>
      <c r="X53">
        <v>21.280214000000001</v>
      </c>
      <c r="Y53">
        <v>22.978010000000001</v>
      </c>
      <c r="Z53">
        <v>21.925077000000002</v>
      </c>
      <c r="AA53">
        <v>23.198630999999999</v>
      </c>
      <c r="AB53">
        <v>22.982641000000001</v>
      </c>
      <c r="AC53">
        <v>21.773546</v>
      </c>
      <c r="AD53">
        <v>22.000639</v>
      </c>
      <c r="AE53">
        <v>22.847189</v>
      </c>
      <c r="AF53">
        <v>24.029945000000001</v>
      </c>
      <c r="AG53">
        <v>23.053446000000001</v>
      </c>
    </row>
    <row r="54" spans="1:33" x14ac:dyDescent="0.25">
      <c r="A54" s="1">
        <v>44105</v>
      </c>
      <c r="B54">
        <v>21.516344</v>
      </c>
      <c r="C54">
        <v>21.902674000000001</v>
      </c>
      <c r="D54">
        <v>21.412572999999998</v>
      </c>
      <c r="E54">
        <v>21.203146</v>
      </c>
      <c r="F54">
        <v>21.076550000000001</v>
      </c>
      <c r="G54">
        <v>21.015944000000001</v>
      </c>
      <c r="H54">
        <v>20.258172999999999</v>
      </c>
      <c r="I54">
        <v>20.133206999999999</v>
      </c>
      <c r="J54">
        <v>22.316305</v>
      </c>
      <c r="K54">
        <v>21.834864</v>
      </c>
      <c r="L54">
        <v>22.07048</v>
      </c>
      <c r="M54">
        <v>21.141446999999999</v>
      </c>
      <c r="N54">
        <v>21.474726</v>
      </c>
      <c r="O54">
        <v>21.879580000000001</v>
      </c>
      <c r="P54">
        <v>21.809141</v>
      </c>
      <c r="Q54">
        <v>21.160944000000001</v>
      </c>
      <c r="R54">
        <v>21.941438999999999</v>
      </c>
      <c r="S54">
        <v>20.289192</v>
      </c>
      <c r="T54">
        <v>21.482498</v>
      </c>
      <c r="U54">
        <v>20.45607</v>
      </c>
      <c r="V54">
        <v>21.401955000000001</v>
      </c>
      <c r="W54">
        <v>20.195356</v>
      </c>
      <c r="X54">
        <v>21.294497</v>
      </c>
      <c r="Y54">
        <v>23.037690000000001</v>
      </c>
      <c r="Z54">
        <v>22.007256000000002</v>
      </c>
      <c r="AA54">
        <v>23.195672999999999</v>
      </c>
      <c r="AB54">
        <v>23.0258</v>
      </c>
      <c r="AC54">
        <v>21.827559000000001</v>
      </c>
      <c r="AD54">
        <v>22.09507</v>
      </c>
      <c r="AE54">
        <v>22.889085999999999</v>
      </c>
      <c r="AF54">
        <v>24.036971999999999</v>
      </c>
      <c r="AG54">
        <v>23.035086</v>
      </c>
    </row>
    <row r="55" spans="1:33" x14ac:dyDescent="0.25">
      <c r="A55" s="1">
        <v>44106</v>
      </c>
      <c r="B55">
        <v>21.564692000000001</v>
      </c>
      <c r="C55">
        <v>22.016031000000002</v>
      </c>
      <c r="D55">
        <v>21.473410000000001</v>
      </c>
      <c r="E55">
        <v>21.245163000000002</v>
      </c>
      <c r="F55">
        <v>21.152439999999999</v>
      </c>
      <c r="G55">
        <v>21.111975000000001</v>
      </c>
      <c r="H55">
        <v>20.297794</v>
      </c>
      <c r="I55">
        <v>20.168600000000001</v>
      </c>
      <c r="J55">
        <v>22.383797000000001</v>
      </c>
      <c r="K55">
        <v>21.944890999999998</v>
      </c>
      <c r="L55">
        <v>22.127573000000002</v>
      </c>
      <c r="M55">
        <v>21.236044</v>
      </c>
      <c r="N55">
        <v>21.599571000000001</v>
      </c>
      <c r="O55">
        <v>21.917992000000002</v>
      </c>
      <c r="P55">
        <v>21.926659000000001</v>
      </c>
      <c r="Q55">
        <v>21.273599999999998</v>
      </c>
      <c r="R55">
        <v>21.990905999999999</v>
      </c>
      <c r="S55">
        <v>20.369206999999999</v>
      </c>
      <c r="T55">
        <v>21.510994</v>
      </c>
      <c r="U55">
        <v>20.290188000000001</v>
      </c>
      <c r="V55">
        <v>21.358834999999999</v>
      </c>
      <c r="W55">
        <v>20.036802000000002</v>
      </c>
      <c r="X55">
        <v>21.203066</v>
      </c>
      <c r="Y55">
        <v>23.082571000000002</v>
      </c>
      <c r="Z55">
        <v>22.020163</v>
      </c>
      <c r="AA55">
        <v>23.197088000000001</v>
      </c>
      <c r="AB55">
        <v>23.035301</v>
      </c>
      <c r="AC55">
        <v>21.948599000000002</v>
      </c>
      <c r="AD55">
        <v>22.149412000000002</v>
      </c>
      <c r="AE55">
        <v>22.453690000000002</v>
      </c>
      <c r="AF55">
        <v>24.047889999999999</v>
      </c>
      <c r="AG55">
        <v>23.020371999999998</v>
      </c>
    </row>
    <row r="56" spans="1:33" x14ac:dyDescent="0.25">
      <c r="A56" s="1">
        <v>44107</v>
      </c>
      <c r="B56">
        <v>21.487030000000001</v>
      </c>
      <c r="C56">
        <v>22.051071</v>
      </c>
      <c r="D56">
        <v>21.466771999999999</v>
      </c>
      <c r="E56">
        <v>21.221626000000001</v>
      </c>
      <c r="F56">
        <v>21.106031000000002</v>
      </c>
      <c r="G56">
        <v>21.139824000000001</v>
      </c>
      <c r="H56">
        <v>20.27122</v>
      </c>
      <c r="I56">
        <v>20.006903000000001</v>
      </c>
      <c r="J56">
        <v>22.252707999999998</v>
      </c>
      <c r="K56">
        <v>21.981515999999999</v>
      </c>
      <c r="L56">
        <v>22.129822000000001</v>
      </c>
      <c r="M56">
        <v>21.259112999999999</v>
      </c>
      <c r="N56">
        <v>21.646597</v>
      </c>
      <c r="O56">
        <v>21.927144999999999</v>
      </c>
      <c r="P56">
        <v>21.968347999999999</v>
      </c>
      <c r="Q56">
        <v>21.311589999999999</v>
      </c>
      <c r="R56">
        <v>22.011863999999999</v>
      </c>
      <c r="S56">
        <v>20.215057000000002</v>
      </c>
      <c r="T56">
        <v>21.476472999999999</v>
      </c>
      <c r="U56">
        <v>20.169364999999999</v>
      </c>
      <c r="V56">
        <v>21.254259999999999</v>
      </c>
      <c r="W56">
        <v>20.017220999999999</v>
      </c>
      <c r="X56">
        <v>21.051237</v>
      </c>
      <c r="Y56">
        <v>23.023592000000001</v>
      </c>
      <c r="Z56">
        <v>21.937049999999999</v>
      </c>
      <c r="AA56">
        <v>23.120958000000002</v>
      </c>
      <c r="AB56">
        <v>22.956382999999999</v>
      </c>
      <c r="AC56">
        <v>21.921240000000001</v>
      </c>
      <c r="AD56">
        <v>22.154696000000001</v>
      </c>
      <c r="AE56">
        <v>22.070784</v>
      </c>
      <c r="AF56">
        <v>23.988955000000001</v>
      </c>
      <c r="AG56">
        <v>22.911269999999998</v>
      </c>
    </row>
    <row r="57" spans="1:33" x14ac:dyDescent="0.25">
      <c r="A57" s="1">
        <v>44108</v>
      </c>
      <c r="B57">
        <v>21.296734000000001</v>
      </c>
      <c r="C57">
        <v>21.929008</v>
      </c>
      <c r="D57">
        <v>21.364336000000002</v>
      </c>
      <c r="E57">
        <v>21.079203</v>
      </c>
      <c r="F57">
        <v>20.909472000000001</v>
      </c>
      <c r="G57">
        <v>21.093775000000001</v>
      </c>
      <c r="H57">
        <v>20.178992999999998</v>
      </c>
      <c r="I57">
        <v>19.586324999999999</v>
      </c>
      <c r="J57">
        <v>22.002569999999999</v>
      </c>
      <c r="K57">
        <v>21.926409</v>
      </c>
      <c r="L57">
        <v>22.069792</v>
      </c>
      <c r="M57">
        <v>21.211957999999999</v>
      </c>
      <c r="N57">
        <v>21.602522</v>
      </c>
      <c r="O57">
        <v>21.821059999999999</v>
      </c>
      <c r="P57">
        <v>21.923173999999999</v>
      </c>
      <c r="Q57">
        <v>21.284464</v>
      </c>
      <c r="R57">
        <v>21.953371000000001</v>
      </c>
      <c r="S57">
        <v>19.937853</v>
      </c>
      <c r="T57">
        <v>21.369364000000001</v>
      </c>
      <c r="U57">
        <v>20.112707</v>
      </c>
      <c r="V57">
        <v>21.043657</v>
      </c>
      <c r="W57">
        <v>19.907957</v>
      </c>
      <c r="X57">
        <v>20.799710000000001</v>
      </c>
      <c r="Y57">
        <v>22.848393999999999</v>
      </c>
      <c r="Z57">
        <v>21.748819999999998</v>
      </c>
      <c r="AA57">
        <v>22.967146</v>
      </c>
      <c r="AB57">
        <v>22.762018000000001</v>
      </c>
      <c r="AC57">
        <v>21.839355000000001</v>
      </c>
      <c r="AD57">
        <v>22.103014000000002</v>
      </c>
      <c r="AE57">
        <v>22.282081999999999</v>
      </c>
      <c r="AF57">
        <v>23.882833000000002</v>
      </c>
      <c r="AG57">
        <v>22.731435999999999</v>
      </c>
    </row>
    <row r="58" spans="1:33" x14ac:dyDescent="0.25">
      <c r="A58" s="1">
        <v>44109</v>
      </c>
      <c r="B58">
        <v>21.02871</v>
      </c>
      <c r="C58">
        <v>21.702711000000001</v>
      </c>
      <c r="D58">
        <v>21.206682000000001</v>
      </c>
      <c r="E58">
        <v>20.854685</v>
      </c>
      <c r="F58">
        <v>20.703638000000002</v>
      </c>
      <c r="G58">
        <v>20.944572000000001</v>
      </c>
      <c r="H58">
        <v>20.064993000000001</v>
      </c>
      <c r="I58">
        <v>19.252445000000002</v>
      </c>
      <c r="J58">
        <v>21.524605000000001</v>
      </c>
      <c r="K58">
        <v>21.765509000000002</v>
      </c>
      <c r="L58">
        <v>21.930502000000001</v>
      </c>
      <c r="M58">
        <v>21.069489000000001</v>
      </c>
      <c r="N58">
        <v>21.474191999999999</v>
      </c>
      <c r="O58">
        <v>21.610199000000001</v>
      </c>
      <c r="P58">
        <v>21.768442</v>
      </c>
      <c r="Q58">
        <v>21.155756</v>
      </c>
      <c r="R58">
        <v>21.797546000000001</v>
      </c>
      <c r="S58">
        <v>19.333677000000002</v>
      </c>
      <c r="T58">
        <v>21.099339000000001</v>
      </c>
      <c r="U58">
        <v>19.870529999999999</v>
      </c>
      <c r="V58">
        <v>20.730740000000001</v>
      </c>
      <c r="W58">
        <v>19.580492</v>
      </c>
      <c r="X58">
        <v>20.477163000000001</v>
      </c>
      <c r="Y58">
        <v>22.666772999999999</v>
      </c>
      <c r="Z58">
        <v>21.461372000000001</v>
      </c>
      <c r="AA58">
        <v>22.762716000000001</v>
      </c>
      <c r="AB58">
        <v>22.616416999999998</v>
      </c>
      <c r="AC58">
        <v>21.371207999999999</v>
      </c>
      <c r="AD58">
        <v>21.965423999999999</v>
      </c>
      <c r="AE58">
        <v>22.078627000000001</v>
      </c>
      <c r="AF58">
        <v>23.70147</v>
      </c>
      <c r="AG58">
        <v>22.55838</v>
      </c>
    </row>
    <row r="59" spans="1:33" x14ac:dyDescent="0.25">
      <c r="A59" s="1">
        <v>44110</v>
      </c>
      <c r="B59">
        <v>20.868338000000001</v>
      </c>
      <c r="C59">
        <v>21.518968999999998</v>
      </c>
      <c r="D59">
        <v>21.075790000000001</v>
      </c>
      <c r="E59">
        <v>20.698049999999999</v>
      </c>
      <c r="F59">
        <v>20.495519999999999</v>
      </c>
      <c r="G59">
        <v>20.779997000000002</v>
      </c>
      <c r="H59">
        <v>19.888760000000001</v>
      </c>
      <c r="I59">
        <v>19.003354999999999</v>
      </c>
      <c r="J59">
        <v>21.13597</v>
      </c>
      <c r="K59">
        <v>21.601949999999999</v>
      </c>
      <c r="L59">
        <v>21.81494</v>
      </c>
      <c r="M59">
        <v>20.909744</v>
      </c>
      <c r="N59">
        <v>21.306757000000001</v>
      </c>
      <c r="O59">
        <v>21.507164</v>
      </c>
      <c r="P59">
        <v>21.597788000000001</v>
      </c>
      <c r="Q59">
        <v>21.010014999999999</v>
      </c>
      <c r="R59">
        <v>21.695442</v>
      </c>
      <c r="S59">
        <v>18.96256</v>
      </c>
      <c r="T59">
        <v>20.910822</v>
      </c>
      <c r="U59">
        <v>19.538910000000001</v>
      </c>
      <c r="V59">
        <v>20.603933000000001</v>
      </c>
      <c r="W59">
        <v>19.179317000000001</v>
      </c>
      <c r="X59">
        <v>20.366785</v>
      </c>
      <c r="Y59">
        <v>22.442778000000001</v>
      </c>
      <c r="Z59">
        <v>21.228033</v>
      </c>
      <c r="AA59">
        <v>22.536642000000001</v>
      </c>
      <c r="AB59">
        <v>22.411217000000001</v>
      </c>
      <c r="AC59">
        <v>20.933205000000001</v>
      </c>
      <c r="AD59">
        <v>21.833051999999999</v>
      </c>
      <c r="AE59">
        <v>21.742211999999999</v>
      </c>
      <c r="AF59">
        <v>23.572583999999999</v>
      </c>
      <c r="AG59">
        <v>22.339233</v>
      </c>
    </row>
    <row r="60" spans="1:33" x14ac:dyDescent="0.25">
      <c r="A60" s="1">
        <v>44111</v>
      </c>
      <c r="B60">
        <v>20.437539999999998</v>
      </c>
      <c r="C60">
        <v>21.090088000000002</v>
      </c>
      <c r="D60">
        <v>20.777542</v>
      </c>
      <c r="E60">
        <v>20.330815999999999</v>
      </c>
      <c r="F60">
        <v>20.083300000000001</v>
      </c>
      <c r="G60">
        <v>20.462140000000002</v>
      </c>
      <c r="H60">
        <v>19.582977</v>
      </c>
      <c r="I60">
        <v>18.406897000000001</v>
      </c>
      <c r="J60">
        <v>20.526495000000001</v>
      </c>
      <c r="K60">
        <v>21.243922999999999</v>
      </c>
      <c r="L60">
        <v>21.517305</v>
      </c>
      <c r="M60">
        <v>20.561401</v>
      </c>
      <c r="N60">
        <v>20.927927</v>
      </c>
      <c r="O60">
        <v>21.233156000000001</v>
      </c>
      <c r="P60">
        <v>21.231553999999999</v>
      </c>
      <c r="Q60">
        <v>20.679766000000001</v>
      </c>
      <c r="R60">
        <v>21.444459999999999</v>
      </c>
      <c r="S60">
        <v>18.27271</v>
      </c>
      <c r="T60">
        <v>20.576908</v>
      </c>
      <c r="U60">
        <v>19.141715999999999</v>
      </c>
      <c r="V60">
        <v>20.282091000000001</v>
      </c>
      <c r="W60">
        <v>18.93684</v>
      </c>
      <c r="X60">
        <v>20.032425</v>
      </c>
      <c r="Y60">
        <v>22.201322999999999</v>
      </c>
      <c r="Z60">
        <v>20.836359999999999</v>
      </c>
      <c r="AA60">
        <v>22.317720000000001</v>
      </c>
      <c r="AB60">
        <v>22.177958</v>
      </c>
      <c r="AC60">
        <v>20.502587999999999</v>
      </c>
      <c r="AD60">
        <v>21.573135000000001</v>
      </c>
      <c r="AE60">
        <v>21.201073000000001</v>
      </c>
      <c r="AF60">
        <v>23.424364000000001</v>
      </c>
      <c r="AG60">
        <v>22.128081999999999</v>
      </c>
    </row>
    <row r="61" spans="1:33" x14ac:dyDescent="0.25">
      <c r="A61" s="1">
        <v>44112</v>
      </c>
      <c r="B61">
        <v>20.036487999999999</v>
      </c>
      <c r="C61">
        <v>20.575482999999998</v>
      </c>
      <c r="D61">
        <v>20.392531999999999</v>
      </c>
      <c r="E61">
        <v>19.926939000000001</v>
      </c>
      <c r="F61">
        <v>19.770189999999999</v>
      </c>
      <c r="G61">
        <v>20.102820000000001</v>
      </c>
      <c r="H61">
        <v>19.296544999999998</v>
      </c>
      <c r="I61">
        <v>17.942568000000001</v>
      </c>
      <c r="J61">
        <v>19.839155000000002</v>
      </c>
      <c r="K61">
        <v>20.773218</v>
      </c>
      <c r="L61">
        <v>21.115639999999999</v>
      </c>
      <c r="M61">
        <v>20.183695</v>
      </c>
      <c r="N61">
        <v>20.499103999999999</v>
      </c>
      <c r="O61">
        <v>20.866561999999998</v>
      </c>
      <c r="P61">
        <v>20.766694999999999</v>
      </c>
      <c r="Q61">
        <v>20.291128</v>
      </c>
      <c r="R61">
        <v>21.086190999999999</v>
      </c>
      <c r="S61">
        <v>17.454488999999999</v>
      </c>
      <c r="T61">
        <v>20.078742999999999</v>
      </c>
      <c r="U61">
        <v>18.92005</v>
      </c>
      <c r="V61">
        <v>19.819849999999999</v>
      </c>
      <c r="W61">
        <v>18.902391000000001</v>
      </c>
      <c r="X61">
        <v>19.52732</v>
      </c>
      <c r="Y61">
        <v>21.766446999999999</v>
      </c>
      <c r="Z61">
        <v>20.363598</v>
      </c>
      <c r="AA61">
        <v>22.150960000000001</v>
      </c>
      <c r="AB61">
        <v>21.879577999999999</v>
      </c>
      <c r="AC61">
        <v>19.921495</v>
      </c>
      <c r="AD61">
        <v>21.226541999999998</v>
      </c>
      <c r="AE61">
        <v>20.223299000000001</v>
      </c>
      <c r="AF61">
        <v>23.240172999999999</v>
      </c>
      <c r="AG61">
        <v>21.861307</v>
      </c>
    </row>
    <row r="62" spans="1:33" x14ac:dyDescent="0.25">
      <c r="A62" s="1">
        <v>44113</v>
      </c>
      <c r="B62">
        <v>19.632338000000001</v>
      </c>
      <c r="C62">
        <v>20.089144000000001</v>
      </c>
      <c r="D62">
        <v>20.030836000000001</v>
      </c>
      <c r="E62">
        <v>19.518879999999999</v>
      </c>
      <c r="F62">
        <v>19.575299999999999</v>
      </c>
      <c r="G62">
        <v>19.777887</v>
      </c>
      <c r="H62">
        <v>19.091059000000001</v>
      </c>
      <c r="I62">
        <v>17.750095000000002</v>
      </c>
      <c r="J62">
        <v>19.429089999999999</v>
      </c>
      <c r="K62">
        <v>20.436060000000001</v>
      </c>
      <c r="L62">
        <v>20.800660000000001</v>
      </c>
      <c r="M62">
        <v>19.879068</v>
      </c>
      <c r="N62">
        <v>20.137718</v>
      </c>
      <c r="O62">
        <v>20.515497</v>
      </c>
      <c r="P62">
        <v>20.415796</v>
      </c>
      <c r="Q62">
        <v>19.957172</v>
      </c>
      <c r="R62">
        <v>20.788080000000001</v>
      </c>
      <c r="S62">
        <v>16.872658000000001</v>
      </c>
      <c r="T62">
        <v>19.603269999999998</v>
      </c>
      <c r="U62">
        <v>18.813027999999999</v>
      </c>
      <c r="V62">
        <v>19.374587999999999</v>
      </c>
      <c r="W62">
        <v>18.665002999999999</v>
      </c>
      <c r="X62">
        <v>19.084648000000001</v>
      </c>
      <c r="Y62">
        <v>21.424757</v>
      </c>
      <c r="Z62">
        <v>19.949202</v>
      </c>
      <c r="AA62">
        <v>21.879919999999998</v>
      </c>
      <c r="AB62">
        <v>21.608839</v>
      </c>
      <c r="AC62">
        <v>19.310839000000001</v>
      </c>
      <c r="AD62">
        <v>20.926912000000002</v>
      </c>
      <c r="AE62">
        <v>19.698647000000001</v>
      </c>
      <c r="AF62">
        <v>22.957153000000002</v>
      </c>
      <c r="AG62">
        <v>21.565484999999999</v>
      </c>
    </row>
    <row r="63" spans="1:33" x14ac:dyDescent="0.25">
      <c r="A63" s="1">
        <v>44114</v>
      </c>
      <c r="B63">
        <v>19.461480999999999</v>
      </c>
      <c r="C63">
        <v>19.840554999999998</v>
      </c>
      <c r="D63">
        <v>19.778684999999999</v>
      </c>
      <c r="E63">
        <v>19.331659999999999</v>
      </c>
      <c r="F63">
        <v>19.571629000000001</v>
      </c>
      <c r="G63">
        <v>19.654752999999999</v>
      </c>
      <c r="H63">
        <v>18.97589</v>
      </c>
      <c r="I63">
        <v>17.783821</v>
      </c>
      <c r="J63">
        <v>19.468914000000002</v>
      </c>
      <c r="K63">
        <v>20.316483999999999</v>
      </c>
      <c r="L63">
        <v>20.636220000000002</v>
      </c>
      <c r="M63">
        <v>19.747910999999998</v>
      </c>
      <c r="N63">
        <v>20.018463000000001</v>
      </c>
      <c r="O63">
        <v>20.338660000000001</v>
      </c>
      <c r="P63">
        <v>20.299831000000001</v>
      </c>
      <c r="Q63">
        <v>19.838137</v>
      </c>
      <c r="R63">
        <v>20.625696000000001</v>
      </c>
      <c r="S63">
        <v>16.895330000000001</v>
      </c>
      <c r="T63">
        <v>19.432907</v>
      </c>
      <c r="U63">
        <v>18.660672999999999</v>
      </c>
      <c r="V63">
        <v>19.272794999999999</v>
      </c>
      <c r="W63">
        <v>18.502434000000001</v>
      </c>
      <c r="X63">
        <v>19.095662999999998</v>
      </c>
      <c r="Y63">
        <v>21.315424</v>
      </c>
      <c r="Z63">
        <v>19.746207999999999</v>
      </c>
      <c r="AA63">
        <v>21.684035999999999</v>
      </c>
      <c r="AB63">
        <v>21.540354000000001</v>
      </c>
      <c r="AC63">
        <v>19.070872999999999</v>
      </c>
      <c r="AD63">
        <v>20.720735999999999</v>
      </c>
      <c r="AE63">
        <v>19.785435</v>
      </c>
      <c r="AF63">
        <v>22.695395000000001</v>
      </c>
      <c r="AG63">
        <v>21.417480000000001</v>
      </c>
    </row>
    <row r="64" spans="1:33" x14ac:dyDescent="0.25">
      <c r="A64" s="1">
        <v>44115</v>
      </c>
      <c r="B64">
        <v>19.439098000000001</v>
      </c>
      <c r="C64">
        <v>19.771758999999999</v>
      </c>
      <c r="D64">
        <v>19.641483000000001</v>
      </c>
      <c r="E64">
        <v>19.272704999999998</v>
      </c>
      <c r="F64">
        <v>19.553633000000001</v>
      </c>
      <c r="G64">
        <v>19.57995</v>
      </c>
      <c r="H64">
        <v>19.005089000000002</v>
      </c>
      <c r="I64">
        <v>17.865462999999998</v>
      </c>
      <c r="J64">
        <v>19.486177000000001</v>
      </c>
      <c r="K64">
        <v>20.231024000000001</v>
      </c>
      <c r="L64">
        <v>20.482119999999998</v>
      </c>
      <c r="M64">
        <v>19.693224000000001</v>
      </c>
      <c r="N64">
        <v>19.900514999999999</v>
      </c>
      <c r="O64">
        <v>20.180289999999999</v>
      </c>
      <c r="P64">
        <v>20.194641000000001</v>
      </c>
      <c r="Q64">
        <v>19.779367000000001</v>
      </c>
      <c r="R64">
        <v>20.469346999999999</v>
      </c>
      <c r="S64">
        <v>17.132110000000001</v>
      </c>
      <c r="T64">
        <v>19.279882000000001</v>
      </c>
      <c r="U64">
        <v>18.465319000000001</v>
      </c>
      <c r="V64">
        <v>19.129013</v>
      </c>
      <c r="W64">
        <v>18.159462000000001</v>
      </c>
      <c r="X64">
        <v>18.993586000000001</v>
      </c>
      <c r="Y64">
        <v>21.115462999999998</v>
      </c>
      <c r="Z64">
        <v>19.63785</v>
      </c>
      <c r="AA64">
        <v>21.487435999999999</v>
      </c>
      <c r="AB64">
        <v>21.282003</v>
      </c>
      <c r="AC64">
        <v>18.871245999999999</v>
      </c>
      <c r="AD64">
        <v>20.589787999999999</v>
      </c>
      <c r="AE64">
        <v>19.973299999999998</v>
      </c>
      <c r="AF64">
        <v>22.414069999999999</v>
      </c>
      <c r="AG64">
        <v>21.161754999999999</v>
      </c>
    </row>
    <row r="65" spans="1:33" x14ac:dyDescent="0.25">
      <c r="A65" s="1">
        <v>44116</v>
      </c>
      <c r="B65">
        <v>19.474640000000001</v>
      </c>
      <c r="C65">
        <v>19.740666999999998</v>
      </c>
      <c r="D65">
        <v>19.622589999999999</v>
      </c>
      <c r="E65">
        <v>19.262789000000001</v>
      </c>
      <c r="F65">
        <v>19.530837999999999</v>
      </c>
      <c r="G65">
        <v>19.540216000000001</v>
      </c>
      <c r="H65">
        <v>18.930574</v>
      </c>
      <c r="I65">
        <v>18.053834999999999</v>
      </c>
      <c r="J65">
        <v>19.369016999999999</v>
      </c>
      <c r="K65">
        <v>20.092013999999999</v>
      </c>
      <c r="L65">
        <v>20.281410000000001</v>
      </c>
      <c r="M65">
        <v>19.649494000000001</v>
      </c>
      <c r="N65">
        <v>19.761513000000001</v>
      </c>
      <c r="O65">
        <v>19.967354</v>
      </c>
      <c r="P65">
        <v>20.075962000000001</v>
      </c>
      <c r="Q65">
        <v>19.714400000000001</v>
      </c>
      <c r="R65">
        <v>20.265749</v>
      </c>
      <c r="S65">
        <v>17.029990999999999</v>
      </c>
      <c r="T65">
        <v>19.112276000000001</v>
      </c>
      <c r="U65">
        <v>18.172812</v>
      </c>
      <c r="V65">
        <v>19.018001999999999</v>
      </c>
      <c r="W65">
        <v>18.076564999999999</v>
      </c>
      <c r="X65">
        <v>18.859697000000001</v>
      </c>
      <c r="Y65">
        <v>20.75543</v>
      </c>
      <c r="Z65">
        <v>19.446178</v>
      </c>
      <c r="AA65">
        <v>21.240639999999999</v>
      </c>
      <c r="AB65">
        <v>20.872623000000001</v>
      </c>
      <c r="AC65">
        <v>18.419703999999999</v>
      </c>
      <c r="AD65">
        <v>20.408932</v>
      </c>
      <c r="AE65">
        <v>19.844185</v>
      </c>
      <c r="AF65">
        <v>22.056799999999999</v>
      </c>
      <c r="AG65">
        <v>20.825512</v>
      </c>
    </row>
    <row r="66" spans="1:33" x14ac:dyDescent="0.25">
      <c r="A66" s="1">
        <v>44117</v>
      </c>
      <c r="B66">
        <v>19.586006000000001</v>
      </c>
      <c r="C66">
        <v>19.754736000000001</v>
      </c>
      <c r="D66">
        <v>19.658982999999999</v>
      </c>
      <c r="E66">
        <v>19.329969999999999</v>
      </c>
      <c r="F66">
        <v>19.561631999999999</v>
      </c>
      <c r="G66">
        <v>19.533791999999998</v>
      </c>
      <c r="H66">
        <v>18.905881999999998</v>
      </c>
      <c r="I66">
        <v>18.305081999999999</v>
      </c>
      <c r="J66">
        <v>19.477219999999999</v>
      </c>
      <c r="K66">
        <v>20.066368000000001</v>
      </c>
      <c r="L66">
        <v>20.204087999999999</v>
      </c>
      <c r="M66">
        <v>19.644072000000001</v>
      </c>
      <c r="N66">
        <v>19.756027</v>
      </c>
      <c r="O66">
        <v>19.989359</v>
      </c>
      <c r="P66">
        <v>20.043406999999998</v>
      </c>
      <c r="Q66">
        <v>19.682638000000001</v>
      </c>
      <c r="R66">
        <v>20.217506</v>
      </c>
      <c r="S66">
        <v>17.100967000000001</v>
      </c>
      <c r="T66">
        <v>19.100477000000001</v>
      </c>
      <c r="U66">
        <v>18.184398999999999</v>
      </c>
      <c r="V66">
        <v>19.020506000000001</v>
      </c>
      <c r="W66">
        <v>18.131159</v>
      </c>
      <c r="X66">
        <v>18.824407999999998</v>
      </c>
      <c r="Y66">
        <v>20.541927000000001</v>
      </c>
      <c r="Z66">
        <v>19.341013</v>
      </c>
      <c r="AA66">
        <v>21.129484000000001</v>
      </c>
      <c r="AB66">
        <v>20.689292999999999</v>
      </c>
      <c r="AC66">
        <v>18.054663000000001</v>
      </c>
      <c r="AD66">
        <v>20.281117999999999</v>
      </c>
      <c r="AE66">
        <v>19.935002999999998</v>
      </c>
      <c r="AF66">
        <v>21.818314000000001</v>
      </c>
      <c r="AG66">
        <v>20.709859999999999</v>
      </c>
    </row>
    <row r="67" spans="1:33" x14ac:dyDescent="0.25">
      <c r="A67" s="1">
        <v>44118</v>
      </c>
      <c r="B67">
        <v>19.761713</v>
      </c>
      <c r="C67">
        <v>19.849253000000001</v>
      </c>
      <c r="D67">
        <v>19.815366999999998</v>
      </c>
      <c r="E67">
        <v>19.513411999999999</v>
      </c>
      <c r="F67">
        <v>19.642220999999999</v>
      </c>
      <c r="G67">
        <v>19.602906999999998</v>
      </c>
      <c r="H67">
        <v>19.006325</v>
      </c>
      <c r="I67">
        <v>18.566267</v>
      </c>
      <c r="J67">
        <v>19.774595000000001</v>
      </c>
      <c r="K67">
        <v>20.101900000000001</v>
      </c>
      <c r="L67">
        <v>20.220324999999999</v>
      </c>
      <c r="M67">
        <v>19.713736000000001</v>
      </c>
      <c r="N67">
        <v>19.780573</v>
      </c>
      <c r="O67">
        <v>20.042978000000002</v>
      </c>
      <c r="P67">
        <v>20.088090000000001</v>
      </c>
      <c r="Q67">
        <v>19.739777</v>
      </c>
      <c r="R67">
        <v>20.189878</v>
      </c>
      <c r="S67">
        <v>17.464843999999999</v>
      </c>
      <c r="T67">
        <v>19.139084</v>
      </c>
      <c r="U67">
        <v>18.446847999999999</v>
      </c>
      <c r="V67">
        <v>18.931252000000001</v>
      </c>
      <c r="W67">
        <v>18.002699</v>
      </c>
      <c r="X67">
        <v>18.729996</v>
      </c>
      <c r="Y67">
        <v>20.582329000000001</v>
      </c>
      <c r="Z67">
        <v>19.405428000000001</v>
      </c>
      <c r="AA67">
        <v>21.143954999999998</v>
      </c>
      <c r="AB67">
        <v>20.702891999999999</v>
      </c>
      <c r="AC67">
        <v>17.918682</v>
      </c>
      <c r="AD67">
        <v>20.255037000000002</v>
      </c>
      <c r="AE67">
        <v>20.434920000000002</v>
      </c>
      <c r="AF67">
        <v>21.632189</v>
      </c>
      <c r="AG67">
        <v>20.807634</v>
      </c>
    </row>
    <row r="68" spans="1:33" x14ac:dyDescent="0.25">
      <c r="A68" s="1">
        <v>44119</v>
      </c>
      <c r="B68">
        <v>19.688925000000001</v>
      </c>
      <c r="C68">
        <v>19.848009999999999</v>
      </c>
      <c r="D68">
        <v>19.861889000000001</v>
      </c>
      <c r="E68">
        <v>19.53613</v>
      </c>
      <c r="F68">
        <v>19.623808</v>
      </c>
      <c r="G68">
        <v>19.645727000000001</v>
      </c>
      <c r="H68">
        <v>19.091771999999999</v>
      </c>
      <c r="I68">
        <v>18.772112</v>
      </c>
      <c r="J68">
        <v>19.851500999999999</v>
      </c>
      <c r="K68">
        <v>20.065086000000001</v>
      </c>
      <c r="L68">
        <v>20.131474999999998</v>
      </c>
      <c r="M68">
        <v>19.738347999999998</v>
      </c>
      <c r="N68">
        <v>19.736418</v>
      </c>
      <c r="O68">
        <v>19.993220000000001</v>
      </c>
      <c r="P68">
        <v>20.073682999999999</v>
      </c>
      <c r="Q68">
        <v>19.761087</v>
      </c>
      <c r="R68">
        <v>20.109213</v>
      </c>
      <c r="S68">
        <v>17.508982</v>
      </c>
      <c r="T68">
        <v>19.072158999999999</v>
      </c>
      <c r="U68">
        <v>18.612635000000001</v>
      </c>
      <c r="V68">
        <v>18.874447</v>
      </c>
      <c r="W68">
        <v>17.968371999999999</v>
      </c>
      <c r="X68">
        <v>18.669150999999999</v>
      </c>
      <c r="Y68">
        <v>20.527315000000002</v>
      </c>
      <c r="Z68">
        <v>19.371604999999999</v>
      </c>
      <c r="AA68">
        <v>21.046832999999999</v>
      </c>
      <c r="AB68">
        <v>20.625623999999998</v>
      </c>
      <c r="AC68">
        <v>17.812538</v>
      </c>
      <c r="AD68">
        <v>20.161528000000001</v>
      </c>
      <c r="AE68">
        <v>20.237241999999998</v>
      </c>
      <c r="AF68">
        <v>21.327504999999999</v>
      </c>
      <c r="AG68">
        <v>20.683996</v>
      </c>
    </row>
    <row r="69" spans="1:33" x14ac:dyDescent="0.25">
      <c r="A69" s="1">
        <v>44120</v>
      </c>
      <c r="B69">
        <v>19.675218999999998</v>
      </c>
      <c r="C69">
        <v>19.865587000000001</v>
      </c>
      <c r="D69">
        <v>19.854680999999999</v>
      </c>
      <c r="E69">
        <v>19.590775000000001</v>
      </c>
      <c r="F69">
        <v>19.589428000000002</v>
      </c>
      <c r="G69">
        <v>19.629759</v>
      </c>
      <c r="H69">
        <v>19.11196</v>
      </c>
      <c r="I69">
        <v>18.935365999999998</v>
      </c>
      <c r="J69">
        <v>19.833078</v>
      </c>
      <c r="K69">
        <v>20.041696999999999</v>
      </c>
      <c r="L69">
        <v>20.100034999999998</v>
      </c>
      <c r="M69">
        <v>19.724931999999999</v>
      </c>
      <c r="N69">
        <v>19.739636999999998</v>
      </c>
      <c r="O69">
        <v>19.999984999999999</v>
      </c>
      <c r="P69">
        <v>20.06251</v>
      </c>
      <c r="Q69">
        <v>19.757162000000001</v>
      </c>
      <c r="R69">
        <v>20.072962</v>
      </c>
      <c r="S69">
        <v>17.579333999999999</v>
      </c>
      <c r="T69">
        <v>19.031251999999999</v>
      </c>
      <c r="U69">
        <v>18.770544000000001</v>
      </c>
      <c r="V69">
        <v>18.844915</v>
      </c>
      <c r="W69">
        <v>18.198456</v>
      </c>
      <c r="X69">
        <v>18.614279</v>
      </c>
      <c r="Y69">
        <v>20.431090000000001</v>
      </c>
      <c r="Z69">
        <v>19.361848999999999</v>
      </c>
      <c r="AA69">
        <v>20.945107</v>
      </c>
      <c r="AB69">
        <v>20.491402000000001</v>
      </c>
      <c r="AC69">
        <v>17.927</v>
      </c>
      <c r="AD69">
        <v>20.10031</v>
      </c>
      <c r="AE69">
        <v>19.616282000000002</v>
      </c>
      <c r="AF69">
        <v>21.164847999999999</v>
      </c>
      <c r="AG69">
        <v>20.569002000000001</v>
      </c>
    </row>
    <row r="70" spans="1:33" x14ac:dyDescent="0.25">
      <c r="A70" s="1">
        <v>44121</v>
      </c>
      <c r="B70">
        <v>19.783415000000002</v>
      </c>
      <c r="C70">
        <v>19.867699999999999</v>
      </c>
      <c r="D70">
        <v>19.893080000000001</v>
      </c>
      <c r="E70">
        <v>19.690466000000001</v>
      </c>
      <c r="F70">
        <v>19.578766000000002</v>
      </c>
      <c r="G70">
        <v>19.596730999999998</v>
      </c>
      <c r="H70">
        <v>19.085419000000002</v>
      </c>
      <c r="I70">
        <v>18.930219999999998</v>
      </c>
      <c r="J70">
        <v>19.757909999999999</v>
      </c>
      <c r="K70">
        <v>20.000392999999999</v>
      </c>
      <c r="L70">
        <v>20.090779999999999</v>
      </c>
      <c r="M70">
        <v>19.702605999999999</v>
      </c>
      <c r="N70">
        <v>19.730440000000002</v>
      </c>
      <c r="O70">
        <v>20.007695999999999</v>
      </c>
      <c r="P70">
        <v>20.021822</v>
      </c>
      <c r="Q70">
        <v>19.731580000000001</v>
      </c>
      <c r="R70">
        <v>20.054296000000001</v>
      </c>
      <c r="S70">
        <v>17.599419999999999</v>
      </c>
      <c r="T70">
        <v>19.024930999999999</v>
      </c>
      <c r="U70">
        <v>18.603306</v>
      </c>
      <c r="V70">
        <v>18.849322999999998</v>
      </c>
      <c r="W70">
        <v>18.215136000000001</v>
      </c>
      <c r="X70">
        <v>18.608709999999999</v>
      </c>
      <c r="Y70">
        <v>20.367253999999999</v>
      </c>
      <c r="Z70">
        <v>19.390326000000002</v>
      </c>
      <c r="AA70">
        <v>20.857839999999999</v>
      </c>
      <c r="AB70">
        <v>20.419727000000002</v>
      </c>
      <c r="AC70">
        <v>17.798656000000001</v>
      </c>
      <c r="AD70">
        <v>20.079823000000001</v>
      </c>
      <c r="AE70">
        <v>18.917809999999999</v>
      </c>
      <c r="AF70">
        <v>20.996016000000001</v>
      </c>
      <c r="AG70">
        <v>20.543147999999999</v>
      </c>
    </row>
    <row r="71" spans="1:33" x14ac:dyDescent="0.25">
      <c r="A71" s="1">
        <v>44122</v>
      </c>
      <c r="B71">
        <v>19.842894000000001</v>
      </c>
      <c r="C71">
        <v>19.799135</v>
      </c>
      <c r="D71">
        <v>19.874379999999999</v>
      </c>
      <c r="E71">
        <v>19.708825999999998</v>
      </c>
      <c r="F71">
        <v>19.475774999999999</v>
      </c>
      <c r="G71">
        <v>19.561603999999999</v>
      </c>
      <c r="H71">
        <v>19.005758</v>
      </c>
      <c r="I71">
        <v>18.724976999999999</v>
      </c>
      <c r="J71">
        <v>19.790281</v>
      </c>
      <c r="K71">
        <v>19.989509999999999</v>
      </c>
      <c r="L71">
        <v>20.092874999999999</v>
      </c>
      <c r="M71">
        <v>19.657007</v>
      </c>
      <c r="N71">
        <v>19.716643999999999</v>
      </c>
      <c r="O71">
        <v>19.939505</v>
      </c>
      <c r="P71">
        <v>20.014408</v>
      </c>
      <c r="Q71">
        <v>19.697184</v>
      </c>
      <c r="R71">
        <v>20.024847000000001</v>
      </c>
      <c r="S71">
        <v>17.780256000000001</v>
      </c>
      <c r="T71">
        <v>19.074406</v>
      </c>
      <c r="U71">
        <v>18.391400999999998</v>
      </c>
      <c r="V71">
        <v>18.968831999999999</v>
      </c>
      <c r="W71">
        <v>18.313504999999999</v>
      </c>
      <c r="X71">
        <v>18.776164999999999</v>
      </c>
      <c r="Y71">
        <v>20.288533999999999</v>
      </c>
      <c r="Z71">
        <v>19.39133</v>
      </c>
      <c r="AA71">
        <v>20.804338000000001</v>
      </c>
      <c r="AB71">
        <v>20.393070000000002</v>
      </c>
      <c r="AC71">
        <v>17.227471999999999</v>
      </c>
      <c r="AD71">
        <v>20.072572999999998</v>
      </c>
      <c r="AE71">
        <v>18.416039000000001</v>
      </c>
      <c r="AF71">
        <v>20.754460000000002</v>
      </c>
      <c r="AG71">
        <v>20.535685999999998</v>
      </c>
    </row>
    <row r="72" spans="1:33" x14ac:dyDescent="0.25">
      <c r="A72" s="1">
        <v>44123</v>
      </c>
      <c r="B72">
        <v>19.820246000000001</v>
      </c>
      <c r="C72">
        <v>19.74352</v>
      </c>
      <c r="D72">
        <v>19.815767000000001</v>
      </c>
      <c r="E72">
        <v>19.646032000000002</v>
      </c>
      <c r="F72">
        <v>19.39087</v>
      </c>
      <c r="G72">
        <v>19.496200000000002</v>
      </c>
      <c r="H72">
        <v>18.893129999999999</v>
      </c>
      <c r="I72">
        <v>18.495373000000001</v>
      </c>
      <c r="J72">
        <v>19.843050000000002</v>
      </c>
      <c r="K72">
        <v>19.990290000000002</v>
      </c>
      <c r="L72">
        <v>20.111235000000001</v>
      </c>
      <c r="M72">
        <v>19.600273000000001</v>
      </c>
      <c r="N72">
        <v>19.69115</v>
      </c>
      <c r="O72">
        <v>19.898346</v>
      </c>
      <c r="P72">
        <v>20.006143999999999</v>
      </c>
      <c r="Q72">
        <v>19.64292</v>
      </c>
      <c r="R72">
        <v>20.01557</v>
      </c>
      <c r="S72">
        <v>17.919840000000001</v>
      </c>
      <c r="T72">
        <v>19.149536000000001</v>
      </c>
      <c r="U72">
        <v>18.502579000000001</v>
      </c>
      <c r="V72">
        <v>19.063782</v>
      </c>
      <c r="W72">
        <v>18.340264999999999</v>
      </c>
      <c r="X72">
        <v>18.926279999999998</v>
      </c>
      <c r="Y72">
        <v>20.071574999999999</v>
      </c>
      <c r="Z72">
        <v>19.437577999999998</v>
      </c>
      <c r="AA72">
        <v>20.785599000000001</v>
      </c>
      <c r="AB72">
        <v>20.409496000000001</v>
      </c>
      <c r="AC72">
        <v>18.565149999999999</v>
      </c>
      <c r="AD72">
        <v>20.086328999999999</v>
      </c>
      <c r="AE72">
        <v>18.070827000000001</v>
      </c>
      <c r="AF72">
        <v>20.389503000000001</v>
      </c>
      <c r="AG72">
        <v>20.566155999999999</v>
      </c>
    </row>
    <row r="73" spans="1:33" x14ac:dyDescent="0.25">
      <c r="A73" s="1">
        <v>44124</v>
      </c>
      <c r="B73">
        <v>19.678614</v>
      </c>
      <c r="C73">
        <v>19.637564000000001</v>
      </c>
      <c r="D73">
        <v>19.712301</v>
      </c>
      <c r="E73">
        <v>19.504339999999999</v>
      </c>
      <c r="F73">
        <v>19.286428000000001</v>
      </c>
      <c r="G73">
        <v>19.403369999999999</v>
      </c>
      <c r="H73">
        <v>18.780687</v>
      </c>
      <c r="I73">
        <v>18.323288000000002</v>
      </c>
      <c r="J73">
        <v>19.703704999999999</v>
      </c>
      <c r="K73">
        <v>19.931545</v>
      </c>
      <c r="L73">
        <v>20.070371999999999</v>
      </c>
      <c r="M73">
        <v>19.523052</v>
      </c>
      <c r="N73">
        <v>19.639257000000001</v>
      </c>
      <c r="O73">
        <v>19.838892000000001</v>
      </c>
      <c r="P73">
        <v>19.937548</v>
      </c>
      <c r="Q73">
        <v>19.559494000000001</v>
      </c>
      <c r="R73">
        <v>19.956448000000002</v>
      </c>
      <c r="S73">
        <v>17.920202</v>
      </c>
      <c r="T73">
        <v>19.169360000000001</v>
      </c>
      <c r="U73">
        <v>18.440294000000002</v>
      </c>
      <c r="V73">
        <v>19.057127000000001</v>
      </c>
      <c r="W73">
        <v>18.397120000000001</v>
      </c>
      <c r="X73">
        <v>18.911459000000001</v>
      </c>
      <c r="Y73">
        <v>19.792134999999998</v>
      </c>
      <c r="Z73">
        <v>19.420684999999999</v>
      </c>
      <c r="AA73">
        <v>20.697244999999999</v>
      </c>
      <c r="AB73">
        <v>20.337114</v>
      </c>
      <c r="AC73">
        <v>19.585771999999999</v>
      </c>
      <c r="AD73">
        <v>20.050642</v>
      </c>
      <c r="AE73">
        <v>18.27186</v>
      </c>
      <c r="AF73">
        <v>19.913125999999998</v>
      </c>
      <c r="AG73">
        <v>20.470749999999999</v>
      </c>
    </row>
    <row r="74" spans="1:33" x14ac:dyDescent="0.25">
      <c r="A74" s="1">
        <v>44125</v>
      </c>
      <c r="B74">
        <v>19.544111000000001</v>
      </c>
      <c r="C74">
        <v>19.596890999999999</v>
      </c>
      <c r="D74">
        <v>19.559553000000001</v>
      </c>
      <c r="E74">
        <v>19.297699000000001</v>
      </c>
      <c r="F74">
        <v>19.239622000000001</v>
      </c>
      <c r="G74">
        <v>19.301238999999999</v>
      </c>
      <c r="H74">
        <v>18.700499000000001</v>
      </c>
      <c r="I74">
        <v>18.197095999999998</v>
      </c>
      <c r="J74">
        <v>19.438108</v>
      </c>
      <c r="K74">
        <v>19.819016999999999</v>
      </c>
      <c r="L74">
        <v>19.950119999999998</v>
      </c>
      <c r="M74">
        <v>19.428325999999998</v>
      </c>
      <c r="N74">
        <v>19.572353</v>
      </c>
      <c r="O74">
        <v>19.738624999999999</v>
      </c>
      <c r="P74">
        <v>19.807449999999999</v>
      </c>
      <c r="Q74">
        <v>19.454172</v>
      </c>
      <c r="R74">
        <v>19.849921999999999</v>
      </c>
      <c r="S74">
        <v>17.704325000000001</v>
      </c>
      <c r="T74">
        <v>19.092943000000002</v>
      </c>
      <c r="U74">
        <v>18.317926</v>
      </c>
      <c r="V74">
        <v>18.898672000000001</v>
      </c>
      <c r="W74">
        <v>18.512177999999999</v>
      </c>
      <c r="X74">
        <v>18.698350000000001</v>
      </c>
      <c r="Y74">
        <v>19.515442</v>
      </c>
      <c r="Z74">
        <v>19.327183000000002</v>
      </c>
      <c r="AA74">
        <v>20.535315000000001</v>
      </c>
      <c r="AB74">
        <v>20.071718000000001</v>
      </c>
      <c r="AC74">
        <v>19.184183000000001</v>
      </c>
      <c r="AD74">
        <v>19.94689</v>
      </c>
      <c r="AE74">
        <v>18.585709999999999</v>
      </c>
      <c r="AF74">
        <v>19.439474000000001</v>
      </c>
      <c r="AG74">
        <v>20.263504000000001</v>
      </c>
    </row>
    <row r="75" spans="1:33" x14ac:dyDescent="0.25">
      <c r="A75" s="1">
        <v>44126</v>
      </c>
      <c r="B75">
        <v>19.409020999999999</v>
      </c>
      <c r="C75">
        <v>19.501854000000002</v>
      </c>
      <c r="D75">
        <v>19.414776</v>
      </c>
      <c r="E75">
        <v>19.151857</v>
      </c>
      <c r="F75">
        <v>19.237898000000001</v>
      </c>
      <c r="G75">
        <v>19.249030000000001</v>
      </c>
      <c r="H75">
        <v>18.645294</v>
      </c>
      <c r="I75">
        <v>18.183779000000001</v>
      </c>
      <c r="J75">
        <v>19.226939999999999</v>
      </c>
      <c r="K75">
        <v>19.709978</v>
      </c>
      <c r="L75">
        <v>19.804365000000001</v>
      </c>
      <c r="M75">
        <v>19.35633</v>
      </c>
      <c r="N75">
        <v>19.500623999999998</v>
      </c>
      <c r="O75">
        <v>19.653670000000002</v>
      </c>
      <c r="P75">
        <v>19.693868999999999</v>
      </c>
      <c r="Q75">
        <v>19.402294000000001</v>
      </c>
      <c r="R75">
        <v>19.737096999999999</v>
      </c>
      <c r="S75">
        <v>17.428808</v>
      </c>
      <c r="T75">
        <v>18.952777999999999</v>
      </c>
      <c r="U75">
        <v>18.268858000000002</v>
      </c>
      <c r="V75">
        <v>18.658691000000001</v>
      </c>
      <c r="W75">
        <v>18.521639</v>
      </c>
      <c r="X75">
        <v>18.437653000000001</v>
      </c>
      <c r="Y75">
        <v>19.626563999999998</v>
      </c>
      <c r="Z75">
        <v>19.167967000000001</v>
      </c>
      <c r="AA75">
        <v>20.328785</v>
      </c>
      <c r="AB75">
        <v>19.868378</v>
      </c>
      <c r="AC75">
        <v>18.408182</v>
      </c>
      <c r="AD75">
        <v>19.814458999999999</v>
      </c>
      <c r="AE75">
        <v>18.35737</v>
      </c>
      <c r="AF75">
        <v>19.197966000000001</v>
      </c>
      <c r="AG75">
        <v>20.005504999999999</v>
      </c>
    </row>
    <row r="76" spans="1:33" x14ac:dyDescent="0.25">
      <c r="A76" s="1">
        <v>44127</v>
      </c>
      <c r="B76">
        <v>18.902951999999999</v>
      </c>
      <c r="C76">
        <v>19.162958</v>
      </c>
      <c r="D76">
        <v>19.064046999999999</v>
      </c>
      <c r="E76">
        <v>18.798224999999999</v>
      </c>
      <c r="F76">
        <v>18.915717999999998</v>
      </c>
      <c r="G76">
        <v>19.038716999999998</v>
      </c>
      <c r="H76">
        <v>18.434740000000001</v>
      </c>
      <c r="I76">
        <v>17.705995999999999</v>
      </c>
      <c r="J76">
        <v>18.565763</v>
      </c>
      <c r="K76">
        <v>19.365041999999999</v>
      </c>
      <c r="L76">
        <v>19.461960000000001</v>
      </c>
      <c r="M76">
        <v>19.091856</v>
      </c>
      <c r="N76">
        <v>19.176504000000001</v>
      </c>
      <c r="O76">
        <v>19.361485999999999</v>
      </c>
      <c r="P76">
        <v>19.353708000000001</v>
      </c>
      <c r="Q76">
        <v>19.188645999999999</v>
      </c>
      <c r="R76">
        <v>19.473739999999999</v>
      </c>
      <c r="S76">
        <v>16.416225000000001</v>
      </c>
      <c r="T76">
        <v>18.546607999999999</v>
      </c>
      <c r="U76">
        <v>18.027070999999999</v>
      </c>
      <c r="V76">
        <v>18.262342</v>
      </c>
      <c r="W76">
        <v>18.148492999999998</v>
      </c>
      <c r="X76">
        <v>18.094367999999999</v>
      </c>
      <c r="Y76">
        <v>19.376771999999999</v>
      </c>
      <c r="Z76">
        <v>18.737259000000002</v>
      </c>
      <c r="AA76">
        <v>19.900904000000001</v>
      </c>
      <c r="AB76">
        <v>19.518328</v>
      </c>
      <c r="AC76">
        <v>17.250830000000001</v>
      </c>
      <c r="AD76">
        <v>19.511590000000002</v>
      </c>
      <c r="AE76">
        <v>17.343447000000001</v>
      </c>
      <c r="AF76">
        <v>19.165274</v>
      </c>
      <c r="AG76">
        <v>19.418866999999999</v>
      </c>
    </row>
    <row r="77" spans="1:33" x14ac:dyDescent="0.25">
      <c r="A77" s="1">
        <v>44128</v>
      </c>
      <c r="B77">
        <v>18.323153000000001</v>
      </c>
      <c r="C77">
        <v>18.735444999999999</v>
      </c>
      <c r="D77">
        <v>18.601790999999999</v>
      </c>
      <c r="E77">
        <v>18.333223</v>
      </c>
      <c r="F77">
        <v>18.420786</v>
      </c>
      <c r="G77">
        <v>18.684555</v>
      </c>
      <c r="H77">
        <v>18.112549999999999</v>
      </c>
      <c r="I77">
        <v>16.81906</v>
      </c>
      <c r="J77">
        <v>18.003091999999999</v>
      </c>
      <c r="K77">
        <v>18.987047</v>
      </c>
      <c r="L77">
        <v>19.136710000000001</v>
      </c>
      <c r="M77">
        <v>18.713750000000001</v>
      </c>
      <c r="N77">
        <v>18.737611999999999</v>
      </c>
      <c r="O77">
        <v>19.060354</v>
      </c>
      <c r="P77">
        <v>18.976019000000001</v>
      </c>
      <c r="Q77">
        <v>18.822458000000001</v>
      </c>
      <c r="R77">
        <v>19.20336</v>
      </c>
      <c r="S77">
        <v>15.557817999999999</v>
      </c>
      <c r="T77">
        <v>18.113882</v>
      </c>
      <c r="U77">
        <v>17.908169000000001</v>
      </c>
      <c r="V77">
        <v>18.030048000000001</v>
      </c>
      <c r="W77">
        <v>17.802868</v>
      </c>
      <c r="X77">
        <v>17.956659999999999</v>
      </c>
      <c r="Y77">
        <v>18.964243</v>
      </c>
      <c r="Z77">
        <v>18.297799999999999</v>
      </c>
      <c r="AA77">
        <v>19.562280000000001</v>
      </c>
      <c r="AB77">
        <v>19.127008</v>
      </c>
      <c r="AC77">
        <v>16.181023</v>
      </c>
      <c r="AD77">
        <v>19.229277</v>
      </c>
      <c r="AE77">
        <v>16.566582</v>
      </c>
      <c r="AF77">
        <v>19.254066000000002</v>
      </c>
      <c r="AG77">
        <v>19.043913</v>
      </c>
    </row>
    <row r="78" spans="1:33" x14ac:dyDescent="0.25">
      <c r="A78" s="1">
        <v>44129</v>
      </c>
      <c r="B78">
        <v>17.841201999999999</v>
      </c>
      <c r="C78">
        <v>18.347709999999999</v>
      </c>
      <c r="D78">
        <v>18.103704</v>
      </c>
      <c r="E78">
        <v>17.888193000000001</v>
      </c>
      <c r="F78">
        <v>18.087595</v>
      </c>
      <c r="G78">
        <v>18.378077000000001</v>
      </c>
      <c r="H78">
        <v>17.885159999999999</v>
      </c>
      <c r="I78">
        <v>16.282990999999999</v>
      </c>
      <c r="J78">
        <v>17.473759000000001</v>
      </c>
      <c r="K78">
        <v>18.634775000000001</v>
      </c>
      <c r="L78">
        <v>18.783358</v>
      </c>
      <c r="M78">
        <v>18.397057</v>
      </c>
      <c r="N78">
        <v>18.307402</v>
      </c>
      <c r="O78">
        <v>18.647787000000001</v>
      </c>
      <c r="P78">
        <v>18.640654000000001</v>
      </c>
      <c r="Q78">
        <v>18.493711000000001</v>
      </c>
      <c r="R78">
        <v>18.858429000000001</v>
      </c>
      <c r="S78">
        <v>14.914921</v>
      </c>
      <c r="T78">
        <v>17.656849000000001</v>
      </c>
      <c r="U78">
        <v>17.54824</v>
      </c>
      <c r="V78">
        <v>17.689157000000002</v>
      </c>
      <c r="W78">
        <v>17.126512999999999</v>
      </c>
      <c r="X78">
        <v>17.662158999999999</v>
      </c>
      <c r="Y78">
        <v>18.430772999999999</v>
      </c>
      <c r="Z78">
        <v>17.841448</v>
      </c>
      <c r="AA78">
        <v>19.230737999999999</v>
      </c>
      <c r="AB78">
        <v>18.762025999999999</v>
      </c>
      <c r="AC78">
        <v>15.26389</v>
      </c>
      <c r="AD78">
        <v>18.907299999999999</v>
      </c>
      <c r="AE78">
        <v>15.918663</v>
      </c>
      <c r="AF78">
        <v>19.159276999999999</v>
      </c>
      <c r="AG78">
        <v>18.687944000000002</v>
      </c>
    </row>
    <row r="79" spans="1:33" x14ac:dyDescent="0.25">
      <c r="A79" s="1">
        <v>44130</v>
      </c>
      <c r="B79">
        <v>15.989326999999999</v>
      </c>
      <c r="C79">
        <v>17.029453</v>
      </c>
      <c r="D79">
        <v>16.598438000000002</v>
      </c>
      <c r="E79">
        <v>16.325520999999998</v>
      </c>
      <c r="F79">
        <v>16.946653000000001</v>
      </c>
      <c r="G79">
        <v>17.644843999999999</v>
      </c>
      <c r="H79">
        <v>17.184370000000001</v>
      </c>
      <c r="I79">
        <v>14.780079000000001</v>
      </c>
      <c r="J79">
        <v>15.614757000000001</v>
      </c>
      <c r="K79">
        <v>17.494886000000001</v>
      </c>
      <c r="L79">
        <v>17.549099999999999</v>
      </c>
      <c r="M79">
        <v>17.609667000000002</v>
      </c>
      <c r="N79">
        <v>17.079712000000001</v>
      </c>
      <c r="O79">
        <v>17.392734999999998</v>
      </c>
      <c r="P79">
        <v>17.628218</v>
      </c>
      <c r="Q79">
        <v>17.569800999999998</v>
      </c>
      <c r="R79">
        <v>17.684244</v>
      </c>
      <c r="S79">
        <v>12.898571</v>
      </c>
      <c r="T79">
        <v>16.090336000000001</v>
      </c>
      <c r="U79">
        <v>16.178270000000001</v>
      </c>
      <c r="V79">
        <v>16.276094000000001</v>
      </c>
      <c r="W79">
        <v>15.773903000000001</v>
      </c>
      <c r="X79">
        <v>16.273949000000002</v>
      </c>
      <c r="Y79">
        <v>16.885083999999999</v>
      </c>
      <c r="Z79">
        <v>16.55744</v>
      </c>
      <c r="AA79">
        <v>18.213491000000001</v>
      </c>
      <c r="AB79">
        <v>17.587914000000001</v>
      </c>
      <c r="AC79">
        <v>14.448822</v>
      </c>
      <c r="AD79">
        <v>17.896056999999999</v>
      </c>
      <c r="AE79">
        <v>14.133782</v>
      </c>
      <c r="AF79">
        <v>17.866083</v>
      </c>
      <c r="AG79">
        <v>17.400469999999999</v>
      </c>
    </row>
    <row r="80" spans="1:33" x14ac:dyDescent="0.25">
      <c r="A80" s="1">
        <v>44131</v>
      </c>
      <c r="B80">
        <v>15.848812000000001</v>
      </c>
      <c r="C80">
        <v>16.943777000000001</v>
      </c>
      <c r="D80">
        <v>15.866970999999999</v>
      </c>
      <c r="E80">
        <v>15.935775</v>
      </c>
      <c r="F80">
        <v>16.809652</v>
      </c>
      <c r="G80">
        <v>17.183046000000001</v>
      </c>
      <c r="H80">
        <v>16.795850000000002</v>
      </c>
      <c r="I80">
        <v>14.717369</v>
      </c>
      <c r="J80">
        <v>14.919593000000001</v>
      </c>
      <c r="K80">
        <v>17.037046</v>
      </c>
      <c r="L80">
        <v>17.117851000000002</v>
      </c>
      <c r="M80">
        <v>17.180060000000001</v>
      </c>
      <c r="N80">
        <v>16.780249000000001</v>
      </c>
      <c r="O80">
        <v>16.998035000000002</v>
      </c>
      <c r="P80">
        <v>17.122557</v>
      </c>
      <c r="Q80">
        <v>17.160788</v>
      </c>
      <c r="R80">
        <v>17.30836</v>
      </c>
      <c r="S80">
        <v>11.756641</v>
      </c>
      <c r="T80">
        <v>15.582744999999999</v>
      </c>
      <c r="U80">
        <v>15.438019000000001</v>
      </c>
      <c r="V80">
        <v>15.840049</v>
      </c>
      <c r="W80">
        <v>15.077693999999999</v>
      </c>
      <c r="X80">
        <v>15.772335999999999</v>
      </c>
      <c r="Y80">
        <v>15.9777</v>
      </c>
      <c r="Z80">
        <v>15.907721499999999</v>
      </c>
      <c r="AA80">
        <v>17.606932</v>
      </c>
      <c r="AB80">
        <v>16.690773</v>
      </c>
      <c r="AC80">
        <v>13.433999</v>
      </c>
      <c r="AD80">
        <v>17.348253</v>
      </c>
      <c r="AE80">
        <v>13.766609000000001</v>
      </c>
      <c r="AF80">
        <v>16.509779999999999</v>
      </c>
      <c r="AG80">
        <v>16.772877000000001</v>
      </c>
    </row>
    <row r="81" spans="1:33" x14ac:dyDescent="0.25">
      <c r="A81" s="1">
        <v>44132</v>
      </c>
      <c r="B81">
        <v>15.73737</v>
      </c>
      <c r="C81">
        <v>16.907381000000001</v>
      </c>
      <c r="D81">
        <v>15.710570000000001</v>
      </c>
      <c r="E81">
        <v>15.749167999999999</v>
      </c>
      <c r="F81">
        <v>16.729012000000001</v>
      </c>
      <c r="G81">
        <v>16.95703</v>
      </c>
      <c r="H81">
        <v>16.574356000000002</v>
      </c>
      <c r="I81">
        <v>15.008538</v>
      </c>
      <c r="J81">
        <v>14.87032</v>
      </c>
      <c r="K81">
        <v>16.818394000000001</v>
      </c>
      <c r="L81">
        <v>16.904786999999999</v>
      </c>
      <c r="M81">
        <v>16.968385999999999</v>
      </c>
      <c r="N81">
        <v>16.602360000000001</v>
      </c>
      <c r="O81">
        <v>16.794015999999999</v>
      </c>
      <c r="P81">
        <v>16.889831999999998</v>
      </c>
      <c r="Q81">
        <v>16.957280999999998</v>
      </c>
      <c r="R81">
        <v>17.078209000000001</v>
      </c>
      <c r="S81">
        <v>11.678824000000001</v>
      </c>
      <c r="T81">
        <v>15.301564000000001</v>
      </c>
      <c r="U81">
        <v>15.014343</v>
      </c>
      <c r="V81">
        <v>15.634888</v>
      </c>
      <c r="W81">
        <v>14.205749000000001</v>
      </c>
      <c r="X81">
        <v>15.558381000000001</v>
      </c>
      <c r="Y81">
        <v>15.57011</v>
      </c>
      <c r="Z81">
        <v>15.578364000000001</v>
      </c>
      <c r="AA81">
        <v>17.271708</v>
      </c>
      <c r="AB81">
        <v>16.493307000000001</v>
      </c>
      <c r="AC81">
        <v>12.732703000000001</v>
      </c>
      <c r="AD81">
        <v>17.054594000000002</v>
      </c>
      <c r="AE81">
        <v>14.070954</v>
      </c>
      <c r="AF81">
        <v>15.635513</v>
      </c>
      <c r="AG81">
        <v>16.538546</v>
      </c>
    </row>
    <row r="82" spans="1:33" x14ac:dyDescent="0.25">
      <c r="A82" s="1">
        <v>44133</v>
      </c>
      <c r="B82">
        <v>15.602333</v>
      </c>
      <c r="C82">
        <v>16.749454</v>
      </c>
      <c r="D82">
        <v>15.7778425</v>
      </c>
      <c r="E82">
        <v>15.604665000000001</v>
      </c>
      <c r="F82">
        <v>16.598714999999999</v>
      </c>
      <c r="G82">
        <v>16.809013</v>
      </c>
      <c r="H82">
        <v>16.444153</v>
      </c>
      <c r="I82">
        <v>15.092760999999999</v>
      </c>
      <c r="J82">
        <v>14.769140999999999</v>
      </c>
      <c r="K82">
        <v>16.623678000000002</v>
      </c>
      <c r="L82">
        <v>16.660219999999999</v>
      </c>
      <c r="M82">
        <v>16.823253999999999</v>
      </c>
      <c r="N82">
        <v>16.416056000000001</v>
      </c>
      <c r="O82">
        <v>16.637219999999999</v>
      </c>
      <c r="P82">
        <v>16.684146999999999</v>
      </c>
      <c r="Q82">
        <v>16.814606000000001</v>
      </c>
      <c r="R82">
        <v>16.851852000000001</v>
      </c>
      <c r="S82">
        <v>11.645485000000001</v>
      </c>
      <c r="T82">
        <v>15.093441</v>
      </c>
      <c r="U82">
        <v>14.914849</v>
      </c>
      <c r="V82">
        <v>15.306293</v>
      </c>
      <c r="W82">
        <v>13.83319</v>
      </c>
      <c r="X82">
        <v>15.243053</v>
      </c>
      <c r="Y82">
        <v>15.429893</v>
      </c>
      <c r="Z82">
        <v>15.392277</v>
      </c>
      <c r="AA82">
        <v>16.980639</v>
      </c>
      <c r="AB82">
        <v>16.257095</v>
      </c>
      <c r="AC82">
        <v>12.577617999999999</v>
      </c>
      <c r="AD82">
        <v>16.800117</v>
      </c>
      <c r="AE82">
        <v>14.351746</v>
      </c>
      <c r="AF82">
        <v>15.229167</v>
      </c>
      <c r="AG82">
        <v>16.307745000000001</v>
      </c>
    </row>
    <row r="83" spans="1:33" x14ac:dyDescent="0.25">
      <c r="A83" s="1">
        <v>44134</v>
      </c>
      <c r="B83">
        <v>15.538309999999999</v>
      </c>
      <c r="C83">
        <v>16.62565</v>
      </c>
      <c r="D83">
        <v>15.887650000000001</v>
      </c>
      <c r="E83">
        <v>15.523073999999999</v>
      </c>
      <c r="F83">
        <v>16.411905000000001</v>
      </c>
      <c r="G83">
        <v>16.653638999999998</v>
      </c>
      <c r="H83">
        <v>16.329432000000001</v>
      </c>
      <c r="I83">
        <v>15.040397</v>
      </c>
      <c r="J83">
        <v>14.781102000000001</v>
      </c>
      <c r="K83">
        <v>16.464737</v>
      </c>
      <c r="L83">
        <v>16.512663</v>
      </c>
      <c r="M83">
        <v>16.660526000000001</v>
      </c>
      <c r="N83">
        <v>16.224060000000001</v>
      </c>
      <c r="O83">
        <v>16.543098000000001</v>
      </c>
      <c r="P83">
        <v>16.513704000000001</v>
      </c>
      <c r="Q83">
        <v>16.660730000000001</v>
      </c>
      <c r="R83">
        <v>16.708838</v>
      </c>
      <c r="S83">
        <v>11.73198</v>
      </c>
      <c r="T83">
        <v>14.939425999999999</v>
      </c>
      <c r="U83">
        <v>14.931022</v>
      </c>
      <c r="V83">
        <v>14.977879</v>
      </c>
      <c r="W83">
        <v>13.845838000000001</v>
      </c>
      <c r="X83">
        <v>14.824721</v>
      </c>
      <c r="Y83">
        <v>15.245785</v>
      </c>
      <c r="Z83">
        <v>15.3361435</v>
      </c>
      <c r="AA83">
        <v>16.824777999999998</v>
      </c>
      <c r="AB83">
        <v>16.034908000000001</v>
      </c>
      <c r="AC83">
        <v>12.432670999999999</v>
      </c>
      <c r="AD83">
        <v>16.622810000000001</v>
      </c>
      <c r="AE83">
        <v>14.244172000000001</v>
      </c>
      <c r="AF83">
        <v>15.017514</v>
      </c>
      <c r="AG83">
        <v>16.24417</v>
      </c>
    </row>
    <row r="84" spans="1:33" x14ac:dyDescent="0.25">
      <c r="A84" s="1">
        <v>44135</v>
      </c>
      <c r="B84">
        <v>15.466384</v>
      </c>
      <c r="C84">
        <v>16.486307</v>
      </c>
      <c r="D84">
        <v>15.993513999999999</v>
      </c>
      <c r="E84">
        <v>15.475911</v>
      </c>
      <c r="F84">
        <v>16.308730000000001</v>
      </c>
      <c r="G84">
        <v>16.510576</v>
      </c>
      <c r="H84">
        <v>16.237919999999999</v>
      </c>
      <c r="I84">
        <v>15.046576999999999</v>
      </c>
      <c r="J84">
        <v>14.779553</v>
      </c>
      <c r="K84">
        <v>16.33915</v>
      </c>
      <c r="L84">
        <v>16.36064</v>
      </c>
      <c r="M84">
        <v>16.523409000000001</v>
      </c>
      <c r="N84">
        <v>16.035595000000001</v>
      </c>
      <c r="O84">
        <v>16.350224999999998</v>
      </c>
      <c r="P84">
        <v>16.373266000000001</v>
      </c>
      <c r="Q84">
        <v>16.507563000000001</v>
      </c>
      <c r="R84">
        <v>16.531777999999999</v>
      </c>
      <c r="S84">
        <v>11.885342</v>
      </c>
      <c r="T84">
        <v>14.747045</v>
      </c>
      <c r="U84">
        <v>14.330036</v>
      </c>
      <c r="V84">
        <v>14.531196</v>
      </c>
      <c r="W84">
        <v>13.674236000000001</v>
      </c>
      <c r="X84">
        <v>14.239043000000001</v>
      </c>
      <c r="Y84">
        <v>14.806210500000001</v>
      </c>
      <c r="Z84">
        <v>15.289577</v>
      </c>
      <c r="AA84">
        <v>16.682700000000001</v>
      </c>
      <c r="AB84">
        <v>15.773774</v>
      </c>
      <c r="AC84">
        <v>12.207259000000001</v>
      </c>
      <c r="AD84">
        <v>16.457632</v>
      </c>
      <c r="AE84">
        <v>14.402416000000001</v>
      </c>
      <c r="AF84">
        <v>14.629795</v>
      </c>
      <c r="AG84">
        <v>16.122613999999999</v>
      </c>
    </row>
    <row r="85" spans="1:33" x14ac:dyDescent="0.25">
      <c r="A85" s="1">
        <v>44136</v>
      </c>
      <c r="B85">
        <v>15.471073000000001</v>
      </c>
      <c r="C85">
        <v>16.456465000000001</v>
      </c>
      <c r="D85">
        <v>16.091464999999999</v>
      </c>
      <c r="E85">
        <v>15.530457500000001</v>
      </c>
      <c r="F85">
        <v>16.293286999999999</v>
      </c>
      <c r="G85">
        <v>16.446760000000001</v>
      </c>
      <c r="H85">
        <v>16.24681</v>
      </c>
      <c r="I85">
        <v>15.301603999999999</v>
      </c>
      <c r="J85">
        <v>14.869313</v>
      </c>
      <c r="K85">
        <v>16.267282000000002</v>
      </c>
      <c r="L85">
        <v>16.283902999999999</v>
      </c>
      <c r="M85">
        <v>16.469173000000001</v>
      </c>
      <c r="N85">
        <v>15.946757</v>
      </c>
      <c r="O85">
        <v>16.158667000000001</v>
      </c>
      <c r="P85">
        <v>16.297450000000001</v>
      </c>
      <c r="Q85">
        <v>16.431750000000001</v>
      </c>
      <c r="R85">
        <v>16.391667999999999</v>
      </c>
      <c r="S85">
        <v>12.054817999999999</v>
      </c>
      <c r="T85">
        <v>14.640374</v>
      </c>
      <c r="U85">
        <v>13.768521</v>
      </c>
      <c r="V85">
        <v>14.525162999999999</v>
      </c>
      <c r="W85">
        <v>13.64706</v>
      </c>
      <c r="X85">
        <v>14.270317</v>
      </c>
      <c r="Y85">
        <v>14.578262</v>
      </c>
      <c r="Z85">
        <v>15.248260999999999</v>
      </c>
      <c r="AA85">
        <v>16.583497999999999</v>
      </c>
      <c r="AB85">
        <v>15.651453999999999</v>
      </c>
      <c r="AC85">
        <v>12.249623</v>
      </c>
      <c r="AD85">
        <v>16.337233000000001</v>
      </c>
      <c r="AE85">
        <v>14.382270999999999</v>
      </c>
      <c r="AF85">
        <v>14.206633999999999</v>
      </c>
      <c r="AG85">
        <v>16.045887</v>
      </c>
    </row>
    <row r="86" spans="1:33" x14ac:dyDescent="0.25">
      <c r="A86" s="1">
        <v>44137</v>
      </c>
      <c r="B86">
        <v>15.467986</v>
      </c>
      <c r="C86">
        <v>16.357572999999999</v>
      </c>
      <c r="D86">
        <v>16.103472</v>
      </c>
      <c r="E86">
        <v>15.591407999999999</v>
      </c>
      <c r="F86">
        <v>16.207941000000002</v>
      </c>
      <c r="G86">
        <v>16.377020000000002</v>
      </c>
      <c r="H86">
        <v>16.239505999999999</v>
      </c>
      <c r="I86">
        <v>15.448665</v>
      </c>
      <c r="J86">
        <v>14.878963000000001</v>
      </c>
      <c r="K86">
        <v>16.170535999999998</v>
      </c>
      <c r="L86">
        <v>16.171446</v>
      </c>
      <c r="M86">
        <v>16.395063</v>
      </c>
      <c r="N86">
        <v>15.868371</v>
      </c>
      <c r="O86">
        <v>15.999466999999999</v>
      </c>
      <c r="P86">
        <v>16.195765000000002</v>
      </c>
      <c r="Q86">
        <v>16.356403</v>
      </c>
      <c r="R86">
        <v>16.232536</v>
      </c>
      <c r="S86">
        <v>12.12449</v>
      </c>
      <c r="T86">
        <v>14.584355</v>
      </c>
      <c r="U86">
        <v>13.739008999999999</v>
      </c>
      <c r="V86">
        <v>14.499043</v>
      </c>
      <c r="W86">
        <v>13.715146000000001</v>
      </c>
      <c r="X86">
        <v>14.234683</v>
      </c>
      <c r="Y86">
        <v>14.370353</v>
      </c>
      <c r="Z86">
        <v>15.138232</v>
      </c>
      <c r="AA86">
        <v>16.448854000000001</v>
      </c>
      <c r="AB86">
        <v>15.466849</v>
      </c>
      <c r="AC86">
        <v>12.336912999999999</v>
      </c>
      <c r="AD86">
        <v>16.200724000000001</v>
      </c>
      <c r="AE86">
        <v>14.316962</v>
      </c>
      <c r="AF86">
        <v>13.740144000000001</v>
      </c>
      <c r="AG86">
        <v>15.752063</v>
      </c>
    </row>
    <row r="87" spans="1:33" x14ac:dyDescent="0.25">
      <c r="A87" s="1">
        <v>44138</v>
      </c>
      <c r="B87">
        <v>15.526669</v>
      </c>
      <c r="C87">
        <v>16.242432000000001</v>
      </c>
      <c r="D87">
        <v>16.04804</v>
      </c>
      <c r="E87">
        <v>15.632094</v>
      </c>
      <c r="F87">
        <v>16.066632999999999</v>
      </c>
      <c r="G87">
        <v>16.279143999999999</v>
      </c>
      <c r="H87">
        <v>16.14705</v>
      </c>
      <c r="I87">
        <v>15.240899000000001</v>
      </c>
      <c r="J87">
        <v>14.959591</v>
      </c>
      <c r="K87">
        <v>16.074210000000001</v>
      </c>
      <c r="L87">
        <v>16.070944000000001</v>
      </c>
      <c r="M87">
        <v>16.288073000000001</v>
      </c>
      <c r="N87">
        <v>15.796307000000001</v>
      </c>
      <c r="O87">
        <v>15.954003</v>
      </c>
      <c r="P87">
        <v>16.101058999999999</v>
      </c>
      <c r="Q87">
        <v>16.262827000000001</v>
      </c>
      <c r="R87">
        <v>16.135698000000001</v>
      </c>
      <c r="S87">
        <v>12.327216</v>
      </c>
      <c r="T87">
        <v>14.567717999999999</v>
      </c>
      <c r="U87">
        <v>13.846541999999999</v>
      </c>
      <c r="V87">
        <v>14.369812</v>
      </c>
      <c r="W87">
        <v>13.695805</v>
      </c>
      <c r="X87">
        <v>14.062473000000001</v>
      </c>
      <c r="Y87">
        <v>14.218707999999999</v>
      </c>
      <c r="Z87">
        <v>15.097049</v>
      </c>
      <c r="AA87">
        <v>16.321867000000001</v>
      </c>
      <c r="AB87">
        <v>15.108952499999999</v>
      </c>
      <c r="AC87">
        <v>12.688165</v>
      </c>
      <c r="AD87">
        <v>16.095247000000001</v>
      </c>
      <c r="AE87">
        <v>14.651137</v>
      </c>
      <c r="AF87">
        <v>13.468966999999999</v>
      </c>
      <c r="AG87">
        <v>15.697749999999999</v>
      </c>
    </row>
    <row r="88" spans="1:33" x14ac:dyDescent="0.25">
      <c r="A88" s="1">
        <v>44139</v>
      </c>
      <c r="B88">
        <v>15.542775000000001</v>
      </c>
      <c r="C88">
        <v>16.217497000000002</v>
      </c>
      <c r="D88">
        <v>15.985092</v>
      </c>
      <c r="E88">
        <v>15.584943000000001</v>
      </c>
      <c r="F88">
        <v>16.076170000000001</v>
      </c>
      <c r="G88">
        <v>16.163983999999999</v>
      </c>
      <c r="H88">
        <v>16.090837000000001</v>
      </c>
      <c r="I88">
        <v>15.140731000000001</v>
      </c>
      <c r="J88">
        <v>14.992578999999999</v>
      </c>
      <c r="K88">
        <v>15.986765999999999</v>
      </c>
      <c r="L88">
        <v>15.997907</v>
      </c>
      <c r="M88">
        <v>16.209288000000001</v>
      </c>
      <c r="N88">
        <v>15.691027999999999</v>
      </c>
      <c r="O88">
        <v>15.896493</v>
      </c>
      <c r="P88">
        <v>15.997453</v>
      </c>
      <c r="Q88">
        <v>16.141400999999998</v>
      </c>
      <c r="R88">
        <v>16.050850000000001</v>
      </c>
      <c r="S88">
        <v>12.443714</v>
      </c>
      <c r="T88">
        <v>14.496726000000001</v>
      </c>
      <c r="U88">
        <v>13.920398</v>
      </c>
      <c r="V88">
        <v>14.230332000000001</v>
      </c>
      <c r="W88">
        <v>13.976508000000001</v>
      </c>
      <c r="X88">
        <v>13.962514000000001</v>
      </c>
      <c r="Y88">
        <v>14.246299</v>
      </c>
      <c r="Z88">
        <v>15.033586</v>
      </c>
      <c r="AA88">
        <v>16.191217000000002</v>
      </c>
      <c r="AB88">
        <v>15.038152</v>
      </c>
      <c r="AC88">
        <v>12.943783</v>
      </c>
      <c r="AD88">
        <v>16.001878999999999</v>
      </c>
      <c r="AE88">
        <v>14.963004</v>
      </c>
      <c r="AF88">
        <v>13.388498999999999</v>
      </c>
      <c r="AG88">
        <v>15.653604</v>
      </c>
    </row>
    <row r="89" spans="1:33" x14ac:dyDescent="0.25">
      <c r="A89" s="1">
        <v>44140</v>
      </c>
      <c r="B89">
        <v>15.843204</v>
      </c>
      <c r="C89">
        <v>16.308485000000001</v>
      </c>
      <c r="D89">
        <v>16.082560000000001</v>
      </c>
      <c r="E89">
        <v>15.780457500000001</v>
      </c>
      <c r="F89">
        <v>16.272369999999999</v>
      </c>
      <c r="G89">
        <v>16.213995000000001</v>
      </c>
      <c r="H89">
        <v>16.169992000000001</v>
      </c>
      <c r="I89">
        <v>15.529679</v>
      </c>
      <c r="J89">
        <v>15.362905</v>
      </c>
      <c r="K89">
        <v>16.060199999999998</v>
      </c>
      <c r="L89">
        <v>16.063272000000001</v>
      </c>
      <c r="M89">
        <v>16.279305000000001</v>
      </c>
      <c r="N89">
        <v>15.735806</v>
      </c>
      <c r="O89">
        <v>15.9258585</v>
      </c>
      <c r="P89">
        <v>16.056355</v>
      </c>
      <c r="Q89">
        <v>16.177250000000001</v>
      </c>
      <c r="R89">
        <v>16.089506</v>
      </c>
      <c r="S89">
        <v>12.807836</v>
      </c>
      <c r="T89">
        <v>14.602221999999999</v>
      </c>
      <c r="U89">
        <v>14.145408</v>
      </c>
      <c r="V89">
        <v>14.399464</v>
      </c>
      <c r="W89">
        <v>14.207814000000001</v>
      </c>
      <c r="X89">
        <v>14.158200000000001</v>
      </c>
      <c r="Y89">
        <v>14.703099</v>
      </c>
      <c r="Z89">
        <v>15.14513</v>
      </c>
      <c r="AA89">
        <v>16.248902999999999</v>
      </c>
      <c r="AB89">
        <v>15.205176</v>
      </c>
      <c r="AC89">
        <v>13.252831</v>
      </c>
      <c r="AD89">
        <v>16.040754</v>
      </c>
      <c r="AE89">
        <v>15.433147</v>
      </c>
      <c r="AF89">
        <v>13.505761</v>
      </c>
      <c r="AG89">
        <v>15.8348</v>
      </c>
    </row>
    <row r="90" spans="1:33" x14ac:dyDescent="0.25">
      <c r="A90" s="1">
        <v>44141</v>
      </c>
      <c r="B90">
        <v>15.347771</v>
      </c>
      <c r="C90">
        <v>15.91826</v>
      </c>
      <c r="D90">
        <v>15.932596999999999</v>
      </c>
      <c r="E90">
        <v>15.601138000000001</v>
      </c>
      <c r="F90">
        <v>15.826497</v>
      </c>
      <c r="G90">
        <v>16.099245</v>
      </c>
      <c r="H90">
        <v>15.940811</v>
      </c>
      <c r="I90">
        <v>14.994622</v>
      </c>
      <c r="J90">
        <v>15.014491</v>
      </c>
      <c r="K90">
        <v>15.850644000000001</v>
      </c>
      <c r="L90">
        <v>15.870445999999999</v>
      </c>
      <c r="M90">
        <v>16.054452999999999</v>
      </c>
      <c r="N90">
        <v>15.572957000000001</v>
      </c>
      <c r="O90">
        <v>15.812843000000001</v>
      </c>
      <c r="P90">
        <v>15.8471575</v>
      </c>
      <c r="Q90">
        <v>16.070744000000001</v>
      </c>
      <c r="R90">
        <v>15.936085</v>
      </c>
      <c r="S90">
        <v>12.931233000000001</v>
      </c>
      <c r="T90">
        <v>14.566001999999999</v>
      </c>
      <c r="U90">
        <v>14.204478999999999</v>
      </c>
      <c r="V90">
        <v>14.329280000000001</v>
      </c>
      <c r="W90">
        <v>14.076663999999999</v>
      </c>
      <c r="X90">
        <v>14.095516</v>
      </c>
      <c r="Y90">
        <v>14.851470000000001</v>
      </c>
      <c r="Z90">
        <v>15.035216</v>
      </c>
      <c r="AA90">
        <v>16.076627999999999</v>
      </c>
      <c r="AB90">
        <v>15.254809</v>
      </c>
      <c r="AC90">
        <v>13.367326</v>
      </c>
      <c r="AD90">
        <v>15.872799000000001</v>
      </c>
      <c r="AE90">
        <v>15.312428000000001</v>
      </c>
      <c r="AF90">
        <v>13.596496999999999</v>
      </c>
      <c r="AG90">
        <v>15.703637000000001</v>
      </c>
    </row>
    <row r="91" spans="1:33" x14ac:dyDescent="0.25">
      <c r="A91" s="1">
        <v>44142</v>
      </c>
      <c r="B91">
        <v>14.758158999999999</v>
      </c>
      <c r="C91">
        <v>15.576250999999999</v>
      </c>
      <c r="D91">
        <v>15.442149000000001</v>
      </c>
      <c r="E91">
        <v>15.092599</v>
      </c>
      <c r="F91">
        <v>15.398051000000001</v>
      </c>
      <c r="G91">
        <v>15.664993000000001</v>
      </c>
      <c r="H91">
        <v>15.562744</v>
      </c>
      <c r="I91">
        <v>14.117588</v>
      </c>
      <c r="J91">
        <v>14.150798</v>
      </c>
      <c r="K91">
        <v>15.340394</v>
      </c>
      <c r="L91">
        <v>15.427039000000001</v>
      </c>
      <c r="M91">
        <v>15.635661000000001</v>
      </c>
      <c r="N91">
        <v>15.161415</v>
      </c>
      <c r="O91">
        <v>15.378356999999999</v>
      </c>
      <c r="P91">
        <v>15.356738</v>
      </c>
      <c r="Q91">
        <v>15.629573000000001</v>
      </c>
      <c r="R91">
        <v>15.547999000000001</v>
      </c>
      <c r="S91">
        <v>12.218244</v>
      </c>
      <c r="T91">
        <v>14.193270999999999</v>
      </c>
      <c r="U91">
        <v>14.019702000000001</v>
      </c>
      <c r="V91">
        <v>14.050445</v>
      </c>
      <c r="W91">
        <v>14.237178</v>
      </c>
      <c r="X91">
        <v>13.945098</v>
      </c>
      <c r="Y91">
        <v>14.402892</v>
      </c>
      <c r="Z91">
        <v>14.489276</v>
      </c>
      <c r="AA91">
        <v>15.647403000000001</v>
      </c>
      <c r="AB91">
        <v>14.797528</v>
      </c>
      <c r="AC91">
        <v>13.096339</v>
      </c>
      <c r="AD91">
        <v>15.513297</v>
      </c>
      <c r="AE91">
        <v>14.445807</v>
      </c>
      <c r="AF91">
        <v>13.5591135</v>
      </c>
      <c r="AG91">
        <v>15.107079499999999</v>
      </c>
    </row>
    <row r="92" spans="1:33" x14ac:dyDescent="0.25">
      <c r="A92" s="1">
        <v>44143</v>
      </c>
      <c r="B92">
        <v>13.725707</v>
      </c>
      <c r="C92">
        <v>14.929103</v>
      </c>
      <c r="D92">
        <v>14.680179000000001</v>
      </c>
      <c r="E92">
        <v>14.302493</v>
      </c>
      <c r="F92">
        <v>14.563919</v>
      </c>
      <c r="G92">
        <v>15.135593</v>
      </c>
      <c r="H92">
        <v>15.016574</v>
      </c>
      <c r="I92">
        <v>12.784461</v>
      </c>
      <c r="J92">
        <v>13.012187000000001</v>
      </c>
      <c r="K92">
        <v>14.813765999999999</v>
      </c>
      <c r="L92">
        <v>14.857079000000001</v>
      </c>
      <c r="M92">
        <v>15.028378</v>
      </c>
      <c r="N92">
        <v>14.445539999999999</v>
      </c>
      <c r="O92">
        <v>14.720367</v>
      </c>
      <c r="P92">
        <v>14.811756000000001</v>
      </c>
      <c r="Q92">
        <v>15.104558000000001</v>
      </c>
      <c r="R92">
        <v>14.958873000000001</v>
      </c>
      <c r="S92">
        <v>11.487904</v>
      </c>
      <c r="T92">
        <v>13.639564500000001</v>
      </c>
      <c r="U92">
        <v>13.937514</v>
      </c>
      <c r="V92">
        <v>13.524355999999999</v>
      </c>
      <c r="W92">
        <v>13.955087000000001</v>
      </c>
      <c r="X92">
        <v>13.515663999999999</v>
      </c>
      <c r="Y92">
        <v>13.675475</v>
      </c>
      <c r="Z92">
        <v>13.8329</v>
      </c>
      <c r="AA92">
        <v>15.043967</v>
      </c>
      <c r="AB92">
        <v>14.071956999999999</v>
      </c>
      <c r="AC92">
        <v>12.020153000000001</v>
      </c>
      <c r="AD92">
        <v>14.985419</v>
      </c>
      <c r="AE92">
        <v>13.588483</v>
      </c>
      <c r="AF92">
        <v>13.357975</v>
      </c>
      <c r="AG92">
        <v>14.248474</v>
      </c>
    </row>
    <row r="93" spans="1:33" x14ac:dyDescent="0.25">
      <c r="A93" s="1">
        <v>44144</v>
      </c>
      <c r="B93">
        <v>12.940670000000001</v>
      </c>
      <c r="C93">
        <v>14.188079999999999</v>
      </c>
      <c r="D93">
        <v>13.822959000000001</v>
      </c>
      <c r="E93">
        <v>13.5096445</v>
      </c>
      <c r="F93">
        <v>13.958800999999999</v>
      </c>
      <c r="G93">
        <v>14.480556999999999</v>
      </c>
      <c r="H93">
        <v>14.320209</v>
      </c>
      <c r="I93">
        <v>12.069877</v>
      </c>
      <c r="J93">
        <v>11.710979</v>
      </c>
      <c r="K93">
        <v>14.053597</v>
      </c>
      <c r="L93">
        <v>14.041252</v>
      </c>
      <c r="M93">
        <v>14.401774</v>
      </c>
      <c r="N93">
        <v>13.703449000000001</v>
      </c>
      <c r="O93">
        <v>13.744251999999999</v>
      </c>
      <c r="P93">
        <v>14.125327</v>
      </c>
      <c r="Q93">
        <v>14.364409</v>
      </c>
      <c r="R93">
        <v>14.191039</v>
      </c>
      <c r="S93">
        <v>9.4706010000000003</v>
      </c>
      <c r="T93">
        <v>12.82952</v>
      </c>
      <c r="U93">
        <v>13.3979845</v>
      </c>
      <c r="V93">
        <v>12.878024</v>
      </c>
      <c r="W93">
        <v>13.044798999999999</v>
      </c>
      <c r="X93">
        <v>12.876244</v>
      </c>
      <c r="Y93">
        <v>12.641745999999999</v>
      </c>
      <c r="Z93">
        <v>12.871309999999999</v>
      </c>
      <c r="AA93">
        <v>14.14598</v>
      </c>
      <c r="AB93">
        <v>13.018428</v>
      </c>
      <c r="AC93">
        <v>10.235594000000001</v>
      </c>
      <c r="AD93">
        <v>14.303134999999999</v>
      </c>
      <c r="AE93">
        <v>12.371157999999999</v>
      </c>
      <c r="AF93">
        <v>12.993423</v>
      </c>
      <c r="AG93">
        <v>13.086937000000001</v>
      </c>
    </row>
    <row r="94" spans="1:33" x14ac:dyDescent="0.25">
      <c r="A94" s="1">
        <v>44145</v>
      </c>
      <c r="B94">
        <v>12.804496</v>
      </c>
      <c r="C94">
        <v>13.864516</v>
      </c>
      <c r="D94">
        <v>13.263401999999999</v>
      </c>
      <c r="E94">
        <v>13.1415825</v>
      </c>
      <c r="F94">
        <v>13.677257000000001</v>
      </c>
      <c r="G94">
        <v>14.076495</v>
      </c>
      <c r="H94">
        <v>13.898123999999999</v>
      </c>
      <c r="I94">
        <v>11.857322</v>
      </c>
      <c r="J94">
        <v>11.252915</v>
      </c>
      <c r="K94">
        <v>13.703536</v>
      </c>
      <c r="L94">
        <v>13.607734000000001</v>
      </c>
      <c r="M94">
        <v>14.017901999999999</v>
      </c>
      <c r="N94">
        <v>13.369308</v>
      </c>
      <c r="O94">
        <v>13.492990000000001</v>
      </c>
      <c r="P94">
        <v>13.723015999999999</v>
      </c>
      <c r="Q94">
        <v>13.972191</v>
      </c>
      <c r="R94">
        <v>13.838817000000001</v>
      </c>
      <c r="S94">
        <v>8.2044630000000005</v>
      </c>
      <c r="T94">
        <v>12.423102999999999</v>
      </c>
      <c r="U94">
        <v>12.969696000000001</v>
      </c>
      <c r="V94">
        <v>12.744615</v>
      </c>
      <c r="W94">
        <v>12.407026999999999</v>
      </c>
      <c r="X94">
        <v>12.836760999999999</v>
      </c>
      <c r="Y94">
        <v>12.122963</v>
      </c>
      <c r="Z94">
        <v>12.364943500000001</v>
      </c>
      <c r="AA94">
        <v>13.627494</v>
      </c>
      <c r="AB94">
        <v>12.42928</v>
      </c>
      <c r="AC94">
        <v>8.9687219999999996</v>
      </c>
      <c r="AD94">
        <v>13.838252000000001</v>
      </c>
      <c r="AE94">
        <v>11.757949</v>
      </c>
      <c r="AF94">
        <v>12.700244</v>
      </c>
      <c r="AG94">
        <v>12.607194</v>
      </c>
    </row>
    <row r="95" spans="1:33" x14ac:dyDescent="0.25">
      <c r="A95" s="1">
        <v>44146</v>
      </c>
      <c r="B95">
        <v>12.830230999999999</v>
      </c>
      <c r="C95">
        <v>13.750313</v>
      </c>
      <c r="D95">
        <v>13.100269000000001</v>
      </c>
      <c r="E95">
        <v>13.040882</v>
      </c>
      <c r="F95">
        <v>13.625330999999999</v>
      </c>
      <c r="G95">
        <v>13.876756</v>
      </c>
      <c r="H95">
        <v>13.754925</v>
      </c>
      <c r="I95">
        <v>12.083641999999999</v>
      </c>
      <c r="J95">
        <v>11.391709000000001</v>
      </c>
      <c r="K95">
        <v>13.519596</v>
      </c>
      <c r="L95">
        <v>13.43159</v>
      </c>
      <c r="M95">
        <v>13.840922000000001</v>
      </c>
      <c r="N95">
        <v>13.301845999999999</v>
      </c>
      <c r="O95">
        <v>13.528188</v>
      </c>
      <c r="P95">
        <v>13.524364</v>
      </c>
      <c r="Q95">
        <v>13.815212000000001</v>
      </c>
      <c r="R95">
        <v>13.745193499999999</v>
      </c>
      <c r="S95">
        <v>8.2167940000000002</v>
      </c>
      <c r="T95">
        <v>12.289894</v>
      </c>
      <c r="U95">
        <v>12.801377</v>
      </c>
      <c r="V95">
        <v>12.612026999999999</v>
      </c>
      <c r="W95">
        <v>11.804429000000001</v>
      </c>
      <c r="X95">
        <v>12.639170999999999</v>
      </c>
      <c r="Y95">
        <v>11.901611000000001</v>
      </c>
      <c r="Z95">
        <v>12.129348</v>
      </c>
      <c r="AA95">
        <v>13.363723</v>
      </c>
      <c r="AB95">
        <v>12.240337</v>
      </c>
      <c r="AC95">
        <v>8.6346469999999993</v>
      </c>
      <c r="AD95">
        <v>13.586171</v>
      </c>
      <c r="AE95">
        <v>11.693530000000001</v>
      </c>
      <c r="AF95">
        <v>12.4853325</v>
      </c>
      <c r="AG95">
        <v>12.514744</v>
      </c>
    </row>
    <row r="96" spans="1:33" x14ac:dyDescent="0.25">
      <c r="A96" s="1">
        <v>44147</v>
      </c>
      <c r="B96">
        <v>12.513501</v>
      </c>
      <c r="C96">
        <v>13.557892000000001</v>
      </c>
      <c r="D96">
        <v>12.998264000000001</v>
      </c>
      <c r="E96">
        <v>12.815701000000001</v>
      </c>
      <c r="F96">
        <v>13.423709000000001</v>
      </c>
      <c r="G96">
        <v>13.697839</v>
      </c>
      <c r="H96">
        <v>13.604732500000001</v>
      </c>
      <c r="I96">
        <v>12.069364</v>
      </c>
      <c r="J96">
        <v>11.421176000000001</v>
      </c>
      <c r="K96">
        <v>13.293499000000001</v>
      </c>
      <c r="L96">
        <v>13.249805</v>
      </c>
      <c r="M96">
        <v>13.658616</v>
      </c>
      <c r="N96">
        <v>13.130447</v>
      </c>
      <c r="O96">
        <v>13.381779</v>
      </c>
      <c r="P96">
        <v>13.320055999999999</v>
      </c>
      <c r="Q96">
        <v>13.637817999999999</v>
      </c>
      <c r="R96">
        <v>13.544941</v>
      </c>
      <c r="S96">
        <v>8.1880869999999994</v>
      </c>
      <c r="T96">
        <v>12.097446</v>
      </c>
      <c r="U96">
        <v>12.575816</v>
      </c>
      <c r="V96">
        <v>12.339703999999999</v>
      </c>
      <c r="W96">
        <v>11.623654</v>
      </c>
      <c r="X96">
        <v>12.307456</v>
      </c>
      <c r="Y96">
        <v>11.695933999999999</v>
      </c>
      <c r="Z96">
        <v>11.931915</v>
      </c>
      <c r="AA96">
        <v>13.125282</v>
      </c>
      <c r="AB96">
        <v>11.977693</v>
      </c>
      <c r="AC96">
        <v>8.4941019999999998</v>
      </c>
      <c r="AD96">
        <v>13.383208</v>
      </c>
      <c r="AE96">
        <v>11.5631895</v>
      </c>
      <c r="AF96">
        <v>12.304983999999999</v>
      </c>
      <c r="AG96">
        <v>12.449491999999999</v>
      </c>
    </row>
    <row r="97" spans="1:33" x14ac:dyDescent="0.25">
      <c r="A97" s="1">
        <v>44148</v>
      </c>
      <c r="B97">
        <v>12.187462999999999</v>
      </c>
      <c r="C97">
        <v>13.256805</v>
      </c>
      <c r="D97">
        <v>12.801522</v>
      </c>
      <c r="E97">
        <v>12.563886</v>
      </c>
      <c r="F97">
        <v>13.084331000000001</v>
      </c>
      <c r="G97">
        <v>13.443248000000001</v>
      </c>
      <c r="H97">
        <v>13.422852000000001</v>
      </c>
      <c r="I97">
        <v>11.773605999999999</v>
      </c>
      <c r="J97">
        <v>11.350177</v>
      </c>
      <c r="K97">
        <v>13.035113000000001</v>
      </c>
      <c r="L97">
        <v>13.077885999999999</v>
      </c>
      <c r="M97">
        <v>13.410892</v>
      </c>
      <c r="N97">
        <v>12.959581999999999</v>
      </c>
      <c r="O97">
        <v>13.168108999999999</v>
      </c>
      <c r="P97">
        <v>13.070619000000001</v>
      </c>
      <c r="Q97">
        <v>13.409784999999999</v>
      </c>
      <c r="R97">
        <v>13.312675</v>
      </c>
      <c r="S97">
        <v>8.1547739999999997</v>
      </c>
      <c r="T97">
        <v>11.888481000000001</v>
      </c>
      <c r="U97">
        <v>11.901432</v>
      </c>
      <c r="V97">
        <v>11.974465</v>
      </c>
      <c r="W97">
        <v>11.198347999999999</v>
      </c>
      <c r="X97">
        <v>11.864388</v>
      </c>
      <c r="Y97">
        <v>11.394016000000001</v>
      </c>
      <c r="Z97">
        <v>11.713927</v>
      </c>
      <c r="AA97">
        <v>12.872158000000001</v>
      </c>
      <c r="AB97">
        <v>11.857450999999999</v>
      </c>
      <c r="AC97">
        <v>8.4976190000000003</v>
      </c>
      <c r="AD97">
        <v>13.149831000000001</v>
      </c>
      <c r="AE97">
        <v>11.64453</v>
      </c>
      <c r="AF97">
        <v>12.146065999999999</v>
      </c>
      <c r="AG97">
        <v>12.368717</v>
      </c>
    </row>
    <row r="98" spans="1:33" x14ac:dyDescent="0.25">
      <c r="A98" s="1">
        <v>44149</v>
      </c>
      <c r="B98">
        <v>12.275993</v>
      </c>
      <c r="C98">
        <v>13.273255000000001</v>
      </c>
      <c r="D98">
        <v>12.80058</v>
      </c>
      <c r="E98">
        <v>12.560266</v>
      </c>
      <c r="F98">
        <v>13.114604</v>
      </c>
      <c r="G98">
        <v>13.308688999999999</v>
      </c>
      <c r="H98">
        <v>13.30325</v>
      </c>
      <c r="I98">
        <v>11.910416</v>
      </c>
      <c r="J98">
        <v>11.674880999999999</v>
      </c>
      <c r="K98">
        <v>12.962387</v>
      </c>
      <c r="L98">
        <v>13.047526</v>
      </c>
      <c r="M98">
        <v>13.295429</v>
      </c>
      <c r="N98">
        <v>12.881413</v>
      </c>
      <c r="O98">
        <v>13.061645</v>
      </c>
      <c r="P98">
        <v>12.996937000000001</v>
      </c>
      <c r="Q98">
        <v>13.273018</v>
      </c>
      <c r="R98">
        <v>13.224812500000001</v>
      </c>
      <c r="S98">
        <v>8.8475579999999994</v>
      </c>
      <c r="T98">
        <v>11.823273</v>
      </c>
      <c r="U98">
        <v>11.313117999999999</v>
      </c>
      <c r="V98">
        <v>11.912788000000001</v>
      </c>
      <c r="W98">
        <v>10.923014999999999</v>
      </c>
      <c r="X98">
        <v>11.751472</v>
      </c>
      <c r="Y98">
        <v>11.235885</v>
      </c>
      <c r="Z98">
        <v>11.798636999999999</v>
      </c>
      <c r="AA98">
        <v>12.837256</v>
      </c>
      <c r="AB98">
        <v>11.902101999999999</v>
      </c>
      <c r="AC98">
        <v>8.7677449999999997</v>
      </c>
      <c r="AD98">
        <v>13.061385</v>
      </c>
      <c r="AE98">
        <v>11.930486</v>
      </c>
      <c r="AF98">
        <v>12.118569000000001</v>
      </c>
      <c r="AG98">
        <v>12.534271</v>
      </c>
    </row>
    <row r="99" spans="1:33" x14ac:dyDescent="0.25">
      <c r="A99" s="1">
        <v>44150</v>
      </c>
      <c r="B99">
        <v>12.252984</v>
      </c>
      <c r="C99">
        <v>13.099807999999999</v>
      </c>
      <c r="D99">
        <v>12.750804</v>
      </c>
      <c r="E99">
        <v>12.526477</v>
      </c>
      <c r="F99">
        <v>12.960748000000001</v>
      </c>
      <c r="G99">
        <v>13.181224</v>
      </c>
      <c r="H99">
        <v>13.257422999999999</v>
      </c>
      <c r="I99">
        <v>11.945183</v>
      </c>
      <c r="J99">
        <v>11.639049999999999</v>
      </c>
      <c r="K99">
        <v>12.857669</v>
      </c>
      <c r="L99">
        <v>12.867962</v>
      </c>
      <c r="M99">
        <v>13.172356000000001</v>
      </c>
      <c r="N99">
        <v>12.725925999999999</v>
      </c>
      <c r="O99">
        <v>12.803805000000001</v>
      </c>
      <c r="P99">
        <v>12.885350000000001</v>
      </c>
      <c r="Q99">
        <v>13.145092</v>
      </c>
      <c r="R99">
        <v>12.993563999999999</v>
      </c>
      <c r="S99">
        <v>8.9513119999999997</v>
      </c>
      <c r="T99">
        <v>11.719109</v>
      </c>
      <c r="U99">
        <v>10.914612999999999</v>
      </c>
      <c r="V99">
        <v>11.774829</v>
      </c>
      <c r="W99">
        <v>10.535351</v>
      </c>
      <c r="X99">
        <v>11.648815000000001</v>
      </c>
      <c r="Y99">
        <v>10.92047</v>
      </c>
      <c r="Z99">
        <v>11.792949</v>
      </c>
      <c r="AA99">
        <v>12.707291</v>
      </c>
      <c r="AB99">
        <v>11.662372</v>
      </c>
      <c r="AC99">
        <v>8.7476920000000007</v>
      </c>
      <c r="AD99">
        <v>12.889455</v>
      </c>
      <c r="AE99">
        <v>11.960167999999999</v>
      </c>
      <c r="AF99">
        <v>11.952514000000001</v>
      </c>
      <c r="AG99">
        <v>12.386054</v>
      </c>
    </row>
    <row r="100" spans="1:33" x14ac:dyDescent="0.25">
      <c r="A100" s="1">
        <v>44151</v>
      </c>
      <c r="B100">
        <v>12.535904</v>
      </c>
      <c r="C100">
        <v>13.152996999999999</v>
      </c>
      <c r="D100">
        <v>12.840031</v>
      </c>
      <c r="E100">
        <v>12.688335</v>
      </c>
      <c r="F100">
        <v>13.074999999999999</v>
      </c>
      <c r="G100">
        <v>13.184834</v>
      </c>
      <c r="H100">
        <v>13.35596</v>
      </c>
      <c r="I100">
        <v>12.392021</v>
      </c>
      <c r="J100">
        <v>11.943206999999999</v>
      </c>
      <c r="K100">
        <v>12.854789</v>
      </c>
      <c r="L100">
        <v>12.858525</v>
      </c>
      <c r="M100">
        <v>13.190438</v>
      </c>
      <c r="N100">
        <v>12.738714999999999</v>
      </c>
      <c r="O100">
        <v>12.780094</v>
      </c>
      <c r="P100">
        <v>12.883868</v>
      </c>
      <c r="Q100">
        <v>13.136905</v>
      </c>
      <c r="R100">
        <v>12.933854</v>
      </c>
      <c r="S100">
        <v>9.4033630000000006</v>
      </c>
      <c r="T100">
        <v>11.747116</v>
      </c>
      <c r="U100">
        <v>10.769489</v>
      </c>
      <c r="V100">
        <v>11.753310000000001</v>
      </c>
      <c r="W100">
        <v>10.627387000000001</v>
      </c>
      <c r="X100">
        <v>11.558066999999999</v>
      </c>
      <c r="Y100">
        <v>11.069129</v>
      </c>
      <c r="Z100">
        <v>11.8832655</v>
      </c>
      <c r="AA100">
        <v>12.74086</v>
      </c>
      <c r="AB100">
        <v>11.793507</v>
      </c>
      <c r="AC100">
        <v>9.0102010000000003</v>
      </c>
      <c r="AD100">
        <v>12.843915000000001</v>
      </c>
      <c r="AE100">
        <v>12.344329</v>
      </c>
      <c r="AF100">
        <v>11.933017</v>
      </c>
      <c r="AG100">
        <v>12.493335</v>
      </c>
    </row>
    <row r="101" spans="1:33" x14ac:dyDescent="0.25">
      <c r="A101" s="1">
        <v>44152</v>
      </c>
      <c r="B101">
        <v>12.615815</v>
      </c>
      <c r="C101">
        <v>13.050841999999999</v>
      </c>
      <c r="D101">
        <v>12.834034000000001</v>
      </c>
      <c r="E101">
        <v>12.833421</v>
      </c>
      <c r="F101">
        <v>13.065701499999999</v>
      </c>
      <c r="G101">
        <v>13.181983000000001</v>
      </c>
      <c r="H101">
        <v>13.572452</v>
      </c>
      <c r="I101">
        <v>12.562934</v>
      </c>
      <c r="J101">
        <v>12.111945</v>
      </c>
      <c r="K101">
        <v>12.807724</v>
      </c>
      <c r="L101">
        <v>12.80735</v>
      </c>
      <c r="M101">
        <v>13.16877</v>
      </c>
      <c r="N101">
        <v>12.77937</v>
      </c>
      <c r="O101">
        <v>12.739661</v>
      </c>
      <c r="P101">
        <v>12.8306465</v>
      </c>
      <c r="Q101">
        <v>13.108834</v>
      </c>
      <c r="R101">
        <v>12.849907</v>
      </c>
      <c r="S101">
        <v>9.7521889999999996</v>
      </c>
      <c r="T101">
        <v>11.793889</v>
      </c>
      <c r="U101">
        <v>10.815289</v>
      </c>
      <c r="V101">
        <v>11.650294000000001</v>
      </c>
      <c r="W101">
        <v>10.805733</v>
      </c>
      <c r="X101">
        <v>11.3528185</v>
      </c>
      <c r="Y101">
        <v>11.279631999999999</v>
      </c>
      <c r="Z101">
        <v>11.903344000000001</v>
      </c>
      <c r="AA101">
        <v>12.70255</v>
      </c>
      <c r="AB101">
        <v>11.8262825</v>
      </c>
      <c r="AC101">
        <v>9.2492649999999994</v>
      </c>
      <c r="AD101">
        <v>12.785085</v>
      </c>
      <c r="AE101">
        <v>12.598226</v>
      </c>
      <c r="AF101">
        <v>11.948112500000001</v>
      </c>
      <c r="AG101">
        <v>12.492063999999999</v>
      </c>
    </row>
    <row r="102" spans="1:33" x14ac:dyDescent="0.25">
      <c r="A102" s="1">
        <v>44153</v>
      </c>
      <c r="B102">
        <v>13.222341</v>
      </c>
      <c r="C102">
        <v>13.284508000000001</v>
      </c>
      <c r="D102">
        <v>12.97808</v>
      </c>
      <c r="E102">
        <v>13.132035</v>
      </c>
      <c r="F102">
        <v>13.233293</v>
      </c>
      <c r="G102">
        <v>13.231004</v>
      </c>
      <c r="H102">
        <v>13.657071</v>
      </c>
      <c r="I102">
        <v>12.859871999999999</v>
      </c>
      <c r="J102">
        <v>12.554989000000001</v>
      </c>
      <c r="K102">
        <v>12.882426000000001</v>
      </c>
      <c r="L102">
        <v>12.940003000000001</v>
      </c>
      <c r="M102">
        <v>13.220851</v>
      </c>
      <c r="N102">
        <v>12.801735000000001</v>
      </c>
      <c r="O102">
        <v>12.875258000000001</v>
      </c>
      <c r="P102">
        <v>12.894169</v>
      </c>
      <c r="Q102">
        <v>13.151058000000001</v>
      </c>
      <c r="R102">
        <v>12.934609</v>
      </c>
      <c r="S102">
        <v>10.438947000000001</v>
      </c>
      <c r="T102">
        <v>11.809194</v>
      </c>
      <c r="U102">
        <v>11.059734000000001</v>
      </c>
      <c r="V102">
        <v>11.435123000000001</v>
      </c>
      <c r="W102">
        <v>11.234118</v>
      </c>
      <c r="X102">
        <v>11.072072</v>
      </c>
      <c r="Y102">
        <v>11.423114999999999</v>
      </c>
      <c r="Z102">
        <v>12.046165999999999</v>
      </c>
      <c r="AA102">
        <v>12.875144000000001</v>
      </c>
      <c r="AB102">
        <v>12.191418000000001</v>
      </c>
      <c r="AC102">
        <v>9.7256210000000003</v>
      </c>
      <c r="AD102">
        <v>12.88231</v>
      </c>
      <c r="AE102">
        <v>13.397736999999999</v>
      </c>
      <c r="AF102">
        <v>12.053665000000001</v>
      </c>
      <c r="AG102">
        <v>12.848981</v>
      </c>
    </row>
    <row r="103" spans="1:33" x14ac:dyDescent="0.25">
      <c r="A103" s="1">
        <v>44154</v>
      </c>
      <c r="B103">
        <v>12.779942500000001</v>
      </c>
      <c r="C103">
        <v>13.131779</v>
      </c>
      <c r="D103">
        <v>12.8823395</v>
      </c>
      <c r="E103">
        <v>12.855510000000001</v>
      </c>
      <c r="F103">
        <v>13.042831</v>
      </c>
      <c r="G103">
        <v>13.113542000000001</v>
      </c>
      <c r="H103">
        <v>13.536524999999999</v>
      </c>
      <c r="I103">
        <v>12.670029</v>
      </c>
      <c r="J103">
        <v>12.309851999999999</v>
      </c>
      <c r="K103">
        <v>12.798669</v>
      </c>
      <c r="L103">
        <v>12.814456</v>
      </c>
      <c r="M103">
        <v>13.09765</v>
      </c>
      <c r="N103">
        <v>12.509204</v>
      </c>
      <c r="O103">
        <v>12.615368999999999</v>
      </c>
      <c r="P103">
        <v>12.802872000000001</v>
      </c>
      <c r="Q103">
        <v>13.016949</v>
      </c>
      <c r="R103">
        <v>12.776484999999999</v>
      </c>
      <c r="S103">
        <v>10.329173000000001</v>
      </c>
      <c r="T103">
        <v>11.620129</v>
      </c>
      <c r="U103">
        <v>11.063556999999999</v>
      </c>
      <c r="V103">
        <v>11.207309</v>
      </c>
      <c r="W103">
        <v>11.573669000000001</v>
      </c>
      <c r="X103">
        <v>11.031192000000001</v>
      </c>
      <c r="Y103">
        <v>11.143846999999999</v>
      </c>
      <c r="Z103">
        <v>11.952472</v>
      </c>
      <c r="AA103">
        <v>12.787425000000001</v>
      </c>
      <c r="AB103">
        <v>11.852378</v>
      </c>
      <c r="AC103">
        <v>9.8518629999999998</v>
      </c>
      <c r="AD103">
        <v>12.758183000000001</v>
      </c>
      <c r="AE103">
        <v>13.553512</v>
      </c>
      <c r="AF103">
        <v>11.947659</v>
      </c>
      <c r="AG103">
        <v>12.627532</v>
      </c>
    </row>
    <row r="104" spans="1:33" x14ac:dyDescent="0.25">
      <c r="A104" s="1">
        <v>44155</v>
      </c>
      <c r="B104">
        <v>12.289396999999999</v>
      </c>
      <c r="C104">
        <v>12.939201000000001</v>
      </c>
      <c r="D104">
        <v>12.655262</v>
      </c>
      <c r="E104">
        <v>12.486663999999999</v>
      </c>
      <c r="F104">
        <v>12.846143</v>
      </c>
      <c r="G104">
        <v>12.9254465</v>
      </c>
      <c r="H104">
        <v>13.408915500000001</v>
      </c>
      <c r="I104">
        <v>12.416266</v>
      </c>
      <c r="J104">
        <v>11.771716</v>
      </c>
      <c r="K104">
        <v>12.547264999999999</v>
      </c>
      <c r="L104">
        <v>12.533906</v>
      </c>
      <c r="M104">
        <v>12.900948</v>
      </c>
      <c r="N104">
        <v>12.190911</v>
      </c>
      <c r="O104">
        <v>12.2963705</v>
      </c>
      <c r="P104">
        <v>12.555736</v>
      </c>
      <c r="Q104">
        <v>12.788306</v>
      </c>
      <c r="R104">
        <v>12.512634</v>
      </c>
      <c r="S104">
        <v>9.6297864999999998</v>
      </c>
      <c r="T104">
        <v>11.362264</v>
      </c>
      <c r="U104">
        <v>10.919245999999999</v>
      </c>
      <c r="V104">
        <v>11.110668</v>
      </c>
      <c r="W104">
        <v>11.729172999999999</v>
      </c>
      <c r="X104">
        <v>11.080754000000001</v>
      </c>
      <c r="Y104">
        <v>10.965691</v>
      </c>
      <c r="Z104">
        <v>11.6658325</v>
      </c>
      <c r="AA104">
        <v>12.509179</v>
      </c>
      <c r="AB104">
        <v>11.530082</v>
      </c>
      <c r="AC104">
        <v>9.8578080000000003</v>
      </c>
      <c r="AD104">
        <v>12.513605999999999</v>
      </c>
      <c r="AE104">
        <v>12.908085</v>
      </c>
      <c r="AF104">
        <v>11.759200999999999</v>
      </c>
      <c r="AG104">
        <v>12.198086999999999</v>
      </c>
    </row>
    <row r="105" spans="1:33" x14ac:dyDescent="0.25">
      <c r="A105" s="1">
        <v>44156</v>
      </c>
      <c r="B105">
        <v>11.934951</v>
      </c>
      <c r="C105">
        <v>12.677296</v>
      </c>
      <c r="D105">
        <v>12.405913</v>
      </c>
      <c r="E105">
        <v>12.158248</v>
      </c>
      <c r="F105">
        <v>12.639619</v>
      </c>
      <c r="G105">
        <v>12.736089</v>
      </c>
      <c r="H105">
        <v>13.318061</v>
      </c>
      <c r="I105">
        <v>12.131966</v>
      </c>
      <c r="J105">
        <v>11.261104</v>
      </c>
      <c r="K105">
        <v>12.297406000000001</v>
      </c>
      <c r="L105">
        <v>12.244748</v>
      </c>
      <c r="M105">
        <v>12.699001000000001</v>
      </c>
      <c r="N105">
        <v>11.92736</v>
      </c>
      <c r="O105">
        <v>12.064109999999999</v>
      </c>
      <c r="P105">
        <v>12.295681999999999</v>
      </c>
      <c r="Q105">
        <v>12.578531999999999</v>
      </c>
      <c r="R105">
        <v>12.287036000000001</v>
      </c>
      <c r="S105">
        <v>8.7646460000000008</v>
      </c>
      <c r="T105">
        <v>11.146561999999999</v>
      </c>
      <c r="U105">
        <v>10.710941999999999</v>
      </c>
      <c r="V105">
        <v>11.15314</v>
      </c>
      <c r="W105">
        <v>11.771352</v>
      </c>
      <c r="X105">
        <v>11.197963</v>
      </c>
      <c r="Y105">
        <v>10.612664000000001</v>
      </c>
      <c r="Z105">
        <v>11.298821</v>
      </c>
      <c r="AA105">
        <v>12.1890135</v>
      </c>
      <c r="AB105">
        <v>11.209842</v>
      </c>
      <c r="AC105">
        <v>9.6629900000000006</v>
      </c>
      <c r="AD105">
        <v>12.243598</v>
      </c>
      <c r="AE105">
        <v>12.060693000000001</v>
      </c>
      <c r="AF105">
        <v>11.549426</v>
      </c>
      <c r="AG105">
        <v>11.781394000000001</v>
      </c>
    </row>
    <row r="106" spans="1:33" x14ac:dyDescent="0.25">
      <c r="A106" s="1">
        <v>44157</v>
      </c>
      <c r="B106">
        <v>11.732262</v>
      </c>
      <c r="C106">
        <v>12.381116</v>
      </c>
      <c r="D106">
        <v>12.192197</v>
      </c>
      <c r="E106">
        <v>11.913453000000001</v>
      </c>
      <c r="F106">
        <v>12.418141</v>
      </c>
      <c r="G106">
        <v>12.548427999999999</v>
      </c>
      <c r="H106">
        <v>13.289070000000001</v>
      </c>
      <c r="I106">
        <v>11.753797</v>
      </c>
      <c r="J106">
        <v>10.787799</v>
      </c>
      <c r="K106">
        <v>12.052213</v>
      </c>
      <c r="L106">
        <v>11.986117999999999</v>
      </c>
      <c r="M106">
        <v>12.477626000000001</v>
      </c>
      <c r="N106">
        <v>11.68787</v>
      </c>
      <c r="O106">
        <v>11.869006000000001</v>
      </c>
      <c r="P106">
        <v>12.044613</v>
      </c>
      <c r="Q106">
        <v>12.388273999999999</v>
      </c>
      <c r="R106">
        <v>12.098672000000001</v>
      </c>
      <c r="S106">
        <v>8.0423249999999999</v>
      </c>
      <c r="T106">
        <v>10.980880000000001</v>
      </c>
      <c r="U106">
        <v>10.491154999999999</v>
      </c>
      <c r="V106">
        <v>11.155735</v>
      </c>
      <c r="W106">
        <v>11.466483</v>
      </c>
      <c r="X106">
        <v>11.195278</v>
      </c>
      <c r="Y106">
        <v>10.289376000000001</v>
      </c>
      <c r="Z106">
        <v>10.89048</v>
      </c>
      <c r="AA106">
        <v>11.903919999999999</v>
      </c>
      <c r="AB106">
        <v>10.969723999999999</v>
      </c>
      <c r="AC106">
        <v>9.3108930000000001</v>
      </c>
      <c r="AD106">
        <v>11.98851</v>
      </c>
      <c r="AE106">
        <v>11.326689999999999</v>
      </c>
      <c r="AF106">
        <v>11.369659</v>
      </c>
      <c r="AG106">
        <v>11.477565999999999</v>
      </c>
    </row>
    <row r="107" spans="1:33" x14ac:dyDescent="0.25">
      <c r="A107" s="1">
        <v>44158</v>
      </c>
      <c r="B107">
        <v>11.716977</v>
      </c>
      <c r="C107">
        <v>12.202985</v>
      </c>
      <c r="D107">
        <v>12.067550000000001</v>
      </c>
      <c r="E107">
        <v>11.800155</v>
      </c>
      <c r="F107">
        <v>12.356420999999999</v>
      </c>
      <c r="G107">
        <v>12.454670999999999</v>
      </c>
      <c r="H107">
        <v>13.233005</v>
      </c>
      <c r="I107">
        <v>11.592263000000001</v>
      </c>
      <c r="J107">
        <v>10.6233015</v>
      </c>
      <c r="K107">
        <v>11.905144999999999</v>
      </c>
      <c r="L107">
        <v>11.843795999999999</v>
      </c>
      <c r="M107">
        <v>12.380637</v>
      </c>
      <c r="N107">
        <v>11.568747500000001</v>
      </c>
      <c r="O107">
        <v>11.805846000000001</v>
      </c>
      <c r="P107">
        <v>11.89766</v>
      </c>
      <c r="Q107">
        <v>12.285384000000001</v>
      </c>
      <c r="R107">
        <v>11.991386</v>
      </c>
      <c r="S107">
        <v>7.7816080000000003</v>
      </c>
      <c r="T107">
        <v>10.927066</v>
      </c>
      <c r="U107">
        <v>10.424906999999999</v>
      </c>
      <c r="V107">
        <v>11.244973</v>
      </c>
      <c r="W107">
        <v>11.319743000000001</v>
      </c>
      <c r="X107">
        <v>11.306565000000001</v>
      </c>
      <c r="Y107">
        <v>10.074477</v>
      </c>
      <c r="Z107">
        <v>10.626488</v>
      </c>
      <c r="AA107">
        <v>11.730746</v>
      </c>
      <c r="AB107">
        <v>10.757577</v>
      </c>
      <c r="AC107">
        <v>9.0951184999999999</v>
      </c>
      <c r="AD107">
        <v>11.818220999999999</v>
      </c>
      <c r="AE107">
        <v>11.647582</v>
      </c>
      <c r="AF107">
        <v>11.291774</v>
      </c>
      <c r="AG107">
        <v>11.411201500000001</v>
      </c>
    </row>
    <row r="108" spans="1:33" x14ac:dyDescent="0.25">
      <c r="A108" s="1">
        <v>44159</v>
      </c>
      <c r="B108">
        <v>11.653853</v>
      </c>
      <c r="C108">
        <v>12.188832</v>
      </c>
      <c r="D108">
        <v>11.825870999999999</v>
      </c>
      <c r="E108">
        <v>11.755382000000001</v>
      </c>
      <c r="F108">
        <v>12.311055</v>
      </c>
      <c r="G108">
        <v>12.404971</v>
      </c>
      <c r="H108">
        <v>13.214416</v>
      </c>
      <c r="I108">
        <v>11.5422735</v>
      </c>
      <c r="J108">
        <v>10.615335999999999</v>
      </c>
      <c r="K108">
        <v>11.823346000000001</v>
      </c>
      <c r="L108">
        <v>11.747195</v>
      </c>
      <c r="M108">
        <v>12.309739</v>
      </c>
      <c r="N108">
        <v>11.506223</v>
      </c>
      <c r="O108">
        <v>11.740779</v>
      </c>
      <c r="P108">
        <v>11.818469</v>
      </c>
      <c r="Q108">
        <v>12.217518</v>
      </c>
      <c r="R108">
        <v>11.901047</v>
      </c>
      <c r="S108">
        <v>7.7684629999999997</v>
      </c>
      <c r="T108">
        <v>10.930626</v>
      </c>
      <c r="U108">
        <v>10.418340000000001</v>
      </c>
      <c r="V108">
        <v>11.220337000000001</v>
      </c>
      <c r="W108">
        <v>11.244797999999999</v>
      </c>
      <c r="X108">
        <v>11.241707</v>
      </c>
      <c r="Y108">
        <v>9.9026530000000008</v>
      </c>
      <c r="Z108">
        <v>10.504045</v>
      </c>
      <c r="AA108">
        <v>11.6529045</v>
      </c>
      <c r="AB108">
        <v>10.684642</v>
      </c>
      <c r="AC108">
        <v>8.8122869999999995</v>
      </c>
      <c r="AD108">
        <v>11.730627999999999</v>
      </c>
      <c r="AE108">
        <v>11.858955</v>
      </c>
      <c r="AF108">
        <v>11.246930000000001</v>
      </c>
      <c r="AG108">
        <v>11.386036000000001</v>
      </c>
    </row>
    <row r="109" spans="1:33" x14ac:dyDescent="0.25">
      <c r="A109" s="1">
        <v>44160</v>
      </c>
      <c r="B109">
        <v>11.489084999999999</v>
      </c>
      <c r="C109">
        <v>12.006663</v>
      </c>
      <c r="D109">
        <v>11.687991999999999</v>
      </c>
      <c r="E109">
        <v>11.68895</v>
      </c>
      <c r="F109">
        <v>12.153604</v>
      </c>
      <c r="G109">
        <v>12.334244</v>
      </c>
      <c r="H109">
        <v>13.169589</v>
      </c>
      <c r="I109">
        <v>11.355181999999999</v>
      </c>
      <c r="J109">
        <v>10.502141</v>
      </c>
      <c r="K109">
        <v>11.700583999999999</v>
      </c>
      <c r="L109">
        <v>11.614561999999999</v>
      </c>
      <c r="M109">
        <v>12.217822</v>
      </c>
      <c r="N109">
        <v>11.42995</v>
      </c>
      <c r="O109">
        <v>11.593464000000001</v>
      </c>
      <c r="P109">
        <v>11.712070000000001</v>
      </c>
      <c r="Q109">
        <v>12.144577</v>
      </c>
      <c r="R109">
        <v>11.753463</v>
      </c>
      <c r="S109">
        <v>7.8418999999999999</v>
      </c>
      <c r="T109">
        <v>10.879939</v>
      </c>
      <c r="U109">
        <v>10.860863999999999</v>
      </c>
      <c r="V109">
        <v>11.085559999999999</v>
      </c>
      <c r="W109">
        <v>11.23146</v>
      </c>
      <c r="X109">
        <v>11.122584</v>
      </c>
      <c r="Y109">
        <v>9.9017470000000003</v>
      </c>
      <c r="Z109">
        <v>10.393905</v>
      </c>
      <c r="AA109">
        <v>11.5563345</v>
      </c>
      <c r="AB109">
        <v>10.534694</v>
      </c>
      <c r="AC109">
        <v>8.6321720000000006</v>
      </c>
      <c r="AD109">
        <v>11.622260000000001</v>
      </c>
      <c r="AE109">
        <v>11.668248</v>
      </c>
      <c r="AF109">
        <v>11.201065</v>
      </c>
      <c r="AG109">
        <v>11.26633</v>
      </c>
    </row>
    <row r="110" spans="1:33" x14ac:dyDescent="0.25">
      <c r="A110" s="1">
        <v>44161</v>
      </c>
      <c r="B110">
        <v>10.938924</v>
      </c>
      <c r="C110">
        <v>11.6768</v>
      </c>
      <c r="D110">
        <v>11.458035000000001</v>
      </c>
      <c r="E110">
        <v>11.335213</v>
      </c>
      <c r="F110">
        <v>11.738664</v>
      </c>
      <c r="G110">
        <v>12.109429</v>
      </c>
      <c r="H110">
        <v>12.80711</v>
      </c>
      <c r="I110">
        <v>10.906867</v>
      </c>
      <c r="J110">
        <v>9.8525670000000005</v>
      </c>
      <c r="K110">
        <v>11.355503000000001</v>
      </c>
      <c r="L110">
        <v>11.182302999999999</v>
      </c>
      <c r="M110">
        <v>11.931483999999999</v>
      </c>
      <c r="N110">
        <v>11.065113999999999</v>
      </c>
      <c r="O110">
        <v>11.192595499999999</v>
      </c>
      <c r="P110">
        <v>11.395104</v>
      </c>
      <c r="Q110">
        <v>11.881888999999999</v>
      </c>
      <c r="R110">
        <v>11.345062</v>
      </c>
      <c r="S110">
        <v>7.6251965000000004</v>
      </c>
      <c r="T110">
        <v>10.483439000000001</v>
      </c>
      <c r="U110">
        <v>10.930522</v>
      </c>
      <c r="V110">
        <v>10.616866</v>
      </c>
      <c r="W110">
        <v>10.827653</v>
      </c>
      <c r="X110">
        <v>10.631783</v>
      </c>
      <c r="Y110">
        <v>9.1633750000000003</v>
      </c>
      <c r="Z110">
        <v>10.088604999999999</v>
      </c>
      <c r="AA110">
        <v>11.208178500000001</v>
      </c>
      <c r="AB110">
        <v>10.147639</v>
      </c>
      <c r="AC110">
        <v>8.1124735000000001</v>
      </c>
      <c r="AD110">
        <v>11.258732</v>
      </c>
      <c r="AE110">
        <v>11.169701999999999</v>
      </c>
      <c r="AF110">
        <v>10.951295</v>
      </c>
      <c r="AG110">
        <v>10.79729</v>
      </c>
    </row>
    <row r="111" spans="1:33" x14ac:dyDescent="0.25">
      <c r="A111" s="1">
        <v>44162</v>
      </c>
      <c r="B111">
        <v>10.693</v>
      </c>
      <c r="C111">
        <v>11.449452000000001</v>
      </c>
      <c r="D111">
        <v>11.190146</v>
      </c>
      <c r="E111">
        <v>11.088698000000001</v>
      </c>
      <c r="F111">
        <v>11.590263999999999</v>
      </c>
      <c r="G111">
        <v>11.903430999999999</v>
      </c>
      <c r="H111">
        <v>12.816345999999999</v>
      </c>
      <c r="I111">
        <v>10.624295</v>
      </c>
      <c r="J111">
        <v>9.3356589999999997</v>
      </c>
      <c r="K111">
        <v>11.085324</v>
      </c>
      <c r="L111">
        <v>10.963943</v>
      </c>
      <c r="M111">
        <v>11.787238</v>
      </c>
      <c r="N111">
        <v>11.016783999999999</v>
      </c>
      <c r="O111">
        <v>10.895526</v>
      </c>
      <c r="P111">
        <v>11.135071999999999</v>
      </c>
      <c r="Q111">
        <v>11.694445999999999</v>
      </c>
      <c r="R111">
        <v>11.13977</v>
      </c>
      <c r="S111">
        <v>6.9835514999999999</v>
      </c>
      <c r="T111">
        <v>10.252528</v>
      </c>
      <c r="U111">
        <v>10.578486</v>
      </c>
      <c r="V111">
        <v>10.401246</v>
      </c>
      <c r="W111">
        <v>10.439607000000001</v>
      </c>
      <c r="X111">
        <v>10.404904999999999</v>
      </c>
      <c r="Y111">
        <v>8.9084015000000001</v>
      </c>
      <c r="Z111">
        <v>9.8223699999999994</v>
      </c>
      <c r="AA111">
        <v>10.824844000000001</v>
      </c>
      <c r="AB111">
        <v>9.8299880000000002</v>
      </c>
      <c r="AC111">
        <v>7.7703476</v>
      </c>
      <c r="AD111">
        <v>10.967255</v>
      </c>
      <c r="AE111">
        <v>10.637378</v>
      </c>
      <c r="AF111">
        <v>10.744773</v>
      </c>
      <c r="AG111">
        <v>10.448249000000001</v>
      </c>
    </row>
    <row r="112" spans="1:33" x14ac:dyDescent="0.25">
      <c r="A112" s="1">
        <v>44163</v>
      </c>
      <c r="B112">
        <v>10.534281999999999</v>
      </c>
      <c r="C112">
        <v>11.424085</v>
      </c>
      <c r="D112">
        <v>11.002227</v>
      </c>
      <c r="E112">
        <v>10.908146</v>
      </c>
      <c r="F112">
        <v>11.451186</v>
      </c>
      <c r="G112">
        <v>11.775771000000001</v>
      </c>
      <c r="H112">
        <v>12.720492999999999</v>
      </c>
      <c r="I112">
        <v>10.457105</v>
      </c>
      <c r="J112">
        <v>9.1082599999999996</v>
      </c>
      <c r="K112">
        <v>10.892293</v>
      </c>
      <c r="L112">
        <v>10.773164</v>
      </c>
      <c r="M112">
        <v>11.655211</v>
      </c>
      <c r="N112">
        <v>10.910878</v>
      </c>
      <c r="O112">
        <v>10.677443999999999</v>
      </c>
      <c r="P112">
        <v>10.945947</v>
      </c>
      <c r="Q112">
        <v>11.562118999999999</v>
      </c>
      <c r="R112">
        <v>10.917752</v>
      </c>
      <c r="S112">
        <v>6.5501404000000001</v>
      </c>
      <c r="T112">
        <v>10.054377000000001</v>
      </c>
      <c r="U112">
        <v>10.313000000000001</v>
      </c>
      <c r="V112">
        <v>10.249259</v>
      </c>
      <c r="W112">
        <v>10.12209</v>
      </c>
      <c r="X112">
        <v>10.264124000000001</v>
      </c>
      <c r="Y112">
        <v>8.5623579999999997</v>
      </c>
      <c r="Z112">
        <v>9.6700999999999997</v>
      </c>
      <c r="AA112">
        <v>10.594495</v>
      </c>
      <c r="AB112">
        <v>9.5494230000000009</v>
      </c>
      <c r="AC112">
        <v>7.4113069999999999</v>
      </c>
      <c r="AD112">
        <v>10.754174000000001</v>
      </c>
      <c r="AE112">
        <v>10.218415999999999</v>
      </c>
      <c r="AF112">
        <v>10.591764</v>
      </c>
      <c r="AG112">
        <v>10.274266000000001</v>
      </c>
    </row>
    <row r="113" spans="1:33" x14ac:dyDescent="0.25">
      <c r="A113" s="1">
        <v>44164</v>
      </c>
      <c r="B113">
        <v>10.45336</v>
      </c>
      <c r="C113">
        <v>11.307850999999999</v>
      </c>
      <c r="D113">
        <v>10.850002999999999</v>
      </c>
      <c r="E113">
        <v>10.780101999999999</v>
      </c>
      <c r="F113">
        <v>11.334358999999999</v>
      </c>
      <c r="G113">
        <v>11.664089000000001</v>
      </c>
      <c r="H113">
        <v>12.752731000000001</v>
      </c>
      <c r="I113">
        <v>10.394830000000001</v>
      </c>
      <c r="J113">
        <v>8.9039070000000002</v>
      </c>
      <c r="K113">
        <v>10.717449999999999</v>
      </c>
      <c r="L113">
        <v>10.596844000000001</v>
      </c>
      <c r="M113">
        <v>11.556106</v>
      </c>
      <c r="N113">
        <v>10.82325</v>
      </c>
      <c r="O113">
        <v>10.523834000000001</v>
      </c>
      <c r="P113">
        <v>10.76834</v>
      </c>
      <c r="Q113">
        <v>11.459117000000001</v>
      </c>
      <c r="R113">
        <v>10.735393999999999</v>
      </c>
      <c r="S113">
        <v>6.2987346999999998</v>
      </c>
      <c r="T113">
        <v>9.8975790000000003</v>
      </c>
      <c r="U113">
        <v>10.015941</v>
      </c>
      <c r="V113">
        <v>10.066739</v>
      </c>
      <c r="W113">
        <v>9.8307230000000008</v>
      </c>
      <c r="X113">
        <v>10.054297</v>
      </c>
      <c r="Y113">
        <v>8.3973019999999998</v>
      </c>
      <c r="Z113">
        <v>9.5230200000000007</v>
      </c>
      <c r="AA113">
        <v>10.356731999999999</v>
      </c>
      <c r="AB113">
        <v>9.3975120000000008</v>
      </c>
      <c r="AC113">
        <v>6.8792099999999996</v>
      </c>
      <c r="AD113">
        <v>10.57198</v>
      </c>
      <c r="AE113">
        <v>9.9412009999999995</v>
      </c>
      <c r="AF113">
        <v>10.443802</v>
      </c>
      <c r="AG113">
        <v>10.066131</v>
      </c>
    </row>
    <row r="114" spans="1:33" x14ac:dyDescent="0.25">
      <c r="A114" s="1">
        <v>44165</v>
      </c>
      <c r="B114">
        <v>10.439773000000001</v>
      </c>
      <c r="C114">
        <v>11.225572</v>
      </c>
      <c r="D114">
        <v>10.749618</v>
      </c>
      <c r="E114">
        <v>10.697559999999999</v>
      </c>
      <c r="F114">
        <v>11.240384000000001</v>
      </c>
      <c r="G114">
        <v>11.554416</v>
      </c>
      <c r="H114">
        <v>12.69411</v>
      </c>
      <c r="I114">
        <v>10.348362</v>
      </c>
      <c r="J114">
        <v>8.8394940000000002</v>
      </c>
      <c r="K114">
        <v>10.576290999999999</v>
      </c>
      <c r="L114">
        <v>10.467653</v>
      </c>
      <c r="M114">
        <v>11.440994</v>
      </c>
      <c r="N114">
        <v>10.714008</v>
      </c>
      <c r="O114">
        <v>10.416119</v>
      </c>
      <c r="P114">
        <v>10.624928000000001</v>
      </c>
      <c r="Q114">
        <v>11.340401999999999</v>
      </c>
      <c r="R114">
        <v>10.584322</v>
      </c>
      <c r="S114">
        <v>6.3082523000000004</v>
      </c>
      <c r="T114">
        <v>9.7572690000000009</v>
      </c>
      <c r="U114">
        <v>9.8251109999999997</v>
      </c>
      <c r="V114">
        <v>9.9144629999999996</v>
      </c>
      <c r="W114">
        <v>9.7711030000000001</v>
      </c>
      <c r="X114">
        <v>9.8887009999999993</v>
      </c>
      <c r="Y114">
        <v>8.0816379999999999</v>
      </c>
      <c r="Z114">
        <v>9.4803510000000006</v>
      </c>
      <c r="AA114">
        <v>10.205859999999999</v>
      </c>
      <c r="AB114">
        <v>9.3023389999999999</v>
      </c>
      <c r="AC114">
        <v>6.5832040000000003</v>
      </c>
      <c r="AD114">
        <v>10.426534999999999</v>
      </c>
      <c r="AE114">
        <v>9.9188080000000003</v>
      </c>
      <c r="AF114">
        <v>10.328419</v>
      </c>
      <c r="AG114">
        <v>9.9467449999999999</v>
      </c>
    </row>
    <row r="115" spans="1:33" x14ac:dyDescent="0.25">
      <c r="A115" s="1">
        <v>44166</v>
      </c>
      <c r="B115">
        <v>10.471315000000001</v>
      </c>
      <c r="C115">
        <v>11.193657</v>
      </c>
      <c r="D115">
        <v>10.707837</v>
      </c>
      <c r="E115">
        <v>10.659083000000001</v>
      </c>
      <c r="F115">
        <v>11.2604475</v>
      </c>
      <c r="G115">
        <v>11.474563</v>
      </c>
      <c r="H115">
        <v>12.5908575</v>
      </c>
      <c r="I115">
        <v>10.4464655</v>
      </c>
      <c r="J115">
        <v>8.9590119999999995</v>
      </c>
      <c r="K115">
        <v>10.511106</v>
      </c>
      <c r="L115">
        <v>10.363704</v>
      </c>
      <c r="M115">
        <v>11.383195000000001</v>
      </c>
      <c r="N115">
        <v>10.634444</v>
      </c>
      <c r="O115">
        <v>10.341844999999999</v>
      </c>
      <c r="P115">
        <v>10.549429</v>
      </c>
      <c r="Q115">
        <v>11.2533045</v>
      </c>
      <c r="R115">
        <v>10.474755999999999</v>
      </c>
      <c r="S115">
        <v>6.3648550000000004</v>
      </c>
      <c r="T115">
        <v>9.6711550000000006</v>
      </c>
      <c r="U115">
        <v>9.8092919999999992</v>
      </c>
      <c r="V115">
        <v>9.8055789999999998</v>
      </c>
      <c r="W115">
        <v>9.7010159999999992</v>
      </c>
      <c r="X115">
        <v>9.7599040000000006</v>
      </c>
      <c r="Y115">
        <v>8.0222230000000003</v>
      </c>
      <c r="Z115">
        <v>9.4701810000000002</v>
      </c>
      <c r="AA115">
        <v>10.112928</v>
      </c>
      <c r="AB115">
        <v>9.1140260000000008</v>
      </c>
      <c r="AC115">
        <v>6.5217175000000003</v>
      </c>
      <c r="AD115">
        <v>10.324187</v>
      </c>
      <c r="AE115">
        <v>10.097922000000001</v>
      </c>
      <c r="AF115">
        <v>10.222208999999999</v>
      </c>
      <c r="AG115">
        <v>9.8559219999999996</v>
      </c>
    </row>
    <row r="116" spans="1:33" x14ac:dyDescent="0.25">
      <c r="A116" s="1">
        <v>44167</v>
      </c>
      <c r="B116">
        <v>10.402018999999999</v>
      </c>
      <c r="C116">
        <v>11.102783000000001</v>
      </c>
      <c r="D116">
        <v>10.651151</v>
      </c>
      <c r="E116">
        <v>10.595193999999999</v>
      </c>
      <c r="F116">
        <v>11.174773</v>
      </c>
      <c r="G116">
        <v>11.431654999999999</v>
      </c>
      <c r="H116">
        <v>12.612667</v>
      </c>
      <c r="I116">
        <v>10.490000999999999</v>
      </c>
      <c r="J116">
        <v>8.9894280000000002</v>
      </c>
      <c r="K116">
        <v>10.421333000000001</v>
      </c>
      <c r="L116">
        <v>10.273569</v>
      </c>
      <c r="M116">
        <v>11.332000000000001</v>
      </c>
      <c r="N116">
        <v>10.561225</v>
      </c>
      <c r="O116">
        <v>10.265414</v>
      </c>
      <c r="P116">
        <v>10.458002</v>
      </c>
      <c r="Q116">
        <v>11.192173</v>
      </c>
      <c r="R116">
        <v>10.372515999999999</v>
      </c>
      <c r="S116">
        <v>6.4559974999999996</v>
      </c>
      <c r="T116">
        <v>9.5891000000000002</v>
      </c>
      <c r="U116">
        <v>9.7002279999999992</v>
      </c>
      <c r="V116">
        <v>9.6720915000000005</v>
      </c>
      <c r="W116">
        <v>9.6856519999999993</v>
      </c>
      <c r="X116">
        <v>9.6258990000000004</v>
      </c>
      <c r="Y116">
        <v>8.3343889999999998</v>
      </c>
      <c r="Z116">
        <v>9.4470259999999993</v>
      </c>
      <c r="AA116">
        <v>10.002135000000001</v>
      </c>
      <c r="AB116">
        <v>8.9732070000000004</v>
      </c>
      <c r="AC116">
        <v>6.4955030000000002</v>
      </c>
      <c r="AD116">
        <v>10.240729999999999</v>
      </c>
      <c r="AE116">
        <v>10.041465000000001</v>
      </c>
      <c r="AF116">
        <v>10.134323999999999</v>
      </c>
      <c r="AG116">
        <v>9.7444480000000002</v>
      </c>
    </row>
    <row r="117" spans="1:33" x14ac:dyDescent="0.25">
      <c r="A117" s="1">
        <v>44168</v>
      </c>
      <c r="B117">
        <v>10.392645999999999</v>
      </c>
      <c r="C117">
        <v>11.069198</v>
      </c>
      <c r="D117">
        <v>10.629954</v>
      </c>
      <c r="E117">
        <v>10.560332000000001</v>
      </c>
      <c r="F117">
        <v>11.201814000000001</v>
      </c>
      <c r="G117">
        <v>11.369358</v>
      </c>
      <c r="H117">
        <v>12.521744</v>
      </c>
      <c r="I117">
        <v>10.579758999999999</v>
      </c>
      <c r="J117">
        <v>8.9991420000000009</v>
      </c>
      <c r="K117">
        <v>10.321432</v>
      </c>
      <c r="L117">
        <v>10.180712</v>
      </c>
      <c r="M117">
        <v>11.273576</v>
      </c>
      <c r="N117">
        <v>10.440628999999999</v>
      </c>
      <c r="O117">
        <v>10.175395</v>
      </c>
      <c r="P117">
        <v>10.360644000000001</v>
      </c>
      <c r="Q117">
        <v>11.114067</v>
      </c>
      <c r="R117">
        <v>10.278926999999999</v>
      </c>
      <c r="S117">
        <v>6.5146236000000002</v>
      </c>
      <c r="T117">
        <v>9.4657579999999992</v>
      </c>
      <c r="U117">
        <v>9.6054069999999996</v>
      </c>
      <c r="V117">
        <v>9.5747009999999992</v>
      </c>
      <c r="W117">
        <v>9.6616719999999994</v>
      </c>
      <c r="X117">
        <v>9.5587949999999999</v>
      </c>
      <c r="Y117">
        <v>7.9342284000000003</v>
      </c>
      <c r="Z117">
        <v>9.4109660000000002</v>
      </c>
      <c r="AA117">
        <v>9.8910040000000006</v>
      </c>
      <c r="AB117">
        <v>8.9443239999999999</v>
      </c>
      <c r="AC117">
        <v>6.490005</v>
      </c>
      <c r="AD117">
        <v>10.144607000000001</v>
      </c>
      <c r="AE117">
        <v>10.025409</v>
      </c>
      <c r="AF117">
        <v>10.019648</v>
      </c>
      <c r="AG117">
        <v>9.6288520000000002</v>
      </c>
    </row>
    <row r="118" spans="1:33" x14ac:dyDescent="0.25">
      <c r="A118" s="1">
        <v>44169</v>
      </c>
      <c r="B118">
        <v>10.298627</v>
      </c>
      <c r="C118">
        <v>10.949180999999999</v>
      </c>
      <c r="D118">
        <v>10.566379</v>
      </c>
      <c r="E118">
        <v>10.481095</v>
      </c>
      <c r="F118">
        <v>11.157997999999999</v>
      </c>
      <c r="G118">
        <v>11.286872000000001</v>
      </c>
      <c r="H118">
        <v>12.503657</v>
      </c>
      <c r="I118">
        <v>10.623353</v>
      </c>
      <c r="J118">
        <v>9.0031269999999992</v>
      </c>
      <c r="K118">
        <v>10.218593</v>
      </c>
      <c r="L118">
        <v>10.069236</v>
      </c>
      <c r="M118">
        <v>11.204285</v>
      </c>
      <c r="N118">
        <v>10.305778</v>
      </c>
      <c r="O118">
        <v>10.075941</v>
      </c>
      <c r="P118">
        <v>10.252948</v>
      </c>
      <c r="Q118">
        <v>11.008490999999999</v>
      </c>
      <c r="R118">
        <v>10.168236</v>
      </c>
      <c r="S118">
        <v>6.5066275999999998</v>
      </c>
      <c r="T118">
        <v>9.3413310000000003</v>
      </c>
      <c r="U118">
        <v>9.5096019999999992</v>
      </c>
      <c r="V118">
        <v>9.4727230000000002</v>
      </c>
      <c r="W118">
        <v>9.6467159999999996</v>
      </c>
      <c r="X118">
        <v>9.4954730000000005</v>
      </c>
      <c r="Y118">
        <v>8.0252494999999993</v>
      </c>
      <c r="Z118">
        <v>9.3470490000000002</v>
      </c>
      <c r="AA118">
        <v>9.7782160000000005</v>
      </c>
      <c r="AB118">
        <v>8.7060130000000004</v>
      </c>
      <c r="AC118">
        <v>6.5077930000000004</v>
      </c>
      <c r="AD118">
        <v>10.0442295</v>
      </c>
      <c r="AE118">
        <v>10.351988</v>
      </c>
      <c r="AF118">
        <v>9.8946590000000008</v>
      </c>
      <c r="AG118">
        <v>9.5005659999999992</v>
      </c>
    </row>
    <row r="119" spans="1:33" x14ac:dyDescent="0.25">
      <c r="A119" s="1">
        <v>44170</v>
      </c>
      <c r="B119">
        <v>10.186517</v>
      </c>
      <c r="C119">
        <v>10.848805</v>
      </c>
      <c r="D119">
        <v>10.483077</v>
      </c>
      <c r="E119">
        <v>10.388123500000001</v>
      </c>
      <c r="F119">
        <v>11.096278</v>
      </c>
      <c r="G119">
        <v>11.258768999999999</v>
      </c>
      <c r="H119">
        <v>12.525791</v>
      </c>
      <c r="I119">
        <v>10.618876</v>
      </c>
      <c r="J119">
        <v>8.8909749999999992</v>
      </c>
      <c r="K119">
        <v>10.1204815</v>
      </c>
      <c r="L119">
        <v>9.9796600000000009</v>
      </c>
      <c r="M119">
        <v>11.151925</v>
      </c>
      <c r="N119">
        <v>10.231369000000001</v>
      </c>
      <c r="O119">
        <v>9.9873180000000001</v>
      </c>
      <c r="P119">
        <v>10.160178999999999</v>
      </c>
      <c r="Q119">
        <v>10.951694</v>
      </c>
      <c r="R119">
        <v>10.078256</v>
      </c>
      <c r="S119">
        <v>6.4791812999999996</v>
      </c>
      <c r="T119">
        <v>9.276097</v>
      </c>
      <c r="U119">
        <v>9.349399</v>
      </c>
      <c r="V119">
        <v>9.4318650000000002</v>
      </c>
      <c r="W119">
        <v>9.6748019999999997</v>
      </c>
      <c r="X119">
        <v>9.4807869999999994</v>
      </c>
      <c r="Y119">
        <v>8.1872600000000002</v>
      </c>
      <c r="Z119">
        <v>9.2545129999999993</v>
      </c>
      <c r="AA119">
        <v>9.6512399999999996</v>
      </c>
      <c r="AB119">
        <v>8.6754820000000006</v>
      </c>
      <c r="AC119">
        <v>6.5630050000000004</v>
      </c>
      <c r="AD119">
        <v>9.9465339999999998</v>
      </c>
      <c r="AE119">
        <v>10.267927999999999</v>
      </c>
      <c r="AF119">
        <v>9.7828320000000009</v>
      </c>
      <c r="AG119">
        <v>9.3493840000000006</v>
      </c>
    </row>
    <row r="120" spans="1:33" x14ac:dyDescent="0.25">
      <c r="A120" s="1">
        <v>44171</v>
      </c>
      <c r="B120">
        <v>10.068076</v>
      </c>
      <c r="C120">
        <v>10.717167</v>
      </c>
      <c r="D120">
        <v>10.339413</v>
      </c>
      <c r="E120">
        <v>10.20641</v>
      </c>
      <c r="F120">
        <v>11.032677</v>
      </c>
      <c r="G120">
        <v>11.108527</v>
      </c>
      <c r="H120">
        <v>12.376531</v>
      </c>
      <c r="I120">
        <v>10.465403</v>
      </c>
      <c r="J120">
        <v>8.6971939999999996</v>
      </c>
      <c r="K120">
        <v>9.9841350000000002</v>
      </c>
      <c r="L120">
        <v>9.8449930000000005</v>
      </c>
      <c r="M120">
        <v>10.999653</v>
      </c>
      <c r="N120">
        <v>10.035833</v>
      </c>
      <c r="O120">
        <v>9.8788830000000001</v>
      </c>
      <c r="P120">
        <v>10.019164</v>
      </c>
      <c r="Q120">
        <v>10.809863999999999</v>
      </c>
      <c r="R120">
        <v>9.9566149999999993</v>
      </c>
      <c r="S120">
        <v>6.3654704000000004</v>
      </c>
      <c r="T120">
        <v>9.1649539999999998</v>
      </c>
      <c r="U120">
        <v>9.2538610000000006</v>
      </c>
      <c r="V120">
        <v>9.3406889999999994</v>
      </c>
      <c r="W120">
        <v>9.5732079999999993</v>
      </c>
      <c r="X120">
        <v>9.3952790000000004</v>
      </c>
      <c r="Y120">
        <v>7.9837470000000001</v>
      </c>
      <c r="Z120">
        <v>9.1159289999999995</v>
      </c>
      <c r="AA120">
        <v>9.481617</v>
      </c>
      <c r="AB120">
        <v>8.5721059999999998</v>
      </c>
      <c r="AC120">
        <v>6.6154339999999996</v>
      </c>
      <c r="AD120">
        <v>9.7940799999999992</v>
      </c>
      <c r="AE120">
        <v>10.219946</v>
      </c>
      <c r="AF120">
        <v>9.6238510000000002</v>
      </c>
      <c r="AG120">
        <v>9.1572949999999995</v>
      </c>
    </row>
    <row r="121" spans="1:33" x14ac:dyDescent="0.25">
      <c r="A121" s="1">
        <v>44172</v>
      </c>
      <c r="B121">
        <v>10.002281</v>
      </c>
      <c r="C121">
        <v>10.590187999999999</v>
      </c>
      <c r="D121">
        <v>10.189083</v>
      </c>
      <c r="E121">
        <v>10.072015</v>
      </c>
      <c r="F121">
        <v>10.972733</v>
      </c>
      <c r="G121">
        <v>10.989067</v>
      </c>
      <c r="H121">
        <v>12.236855</v>
      </c>
      <c r="I121">
        <v>10.478335</v>
      </c>
      <c r="J121">
        <v>8.5972760000000008</v>
      </c>
      <c r="K121">
        <v>9.8438590000000001</v>
      </c>
      <c r="L121">
        <v>9.6496525000000002</v>
      </c>
      <c r="M121">
        <v>10.87079</v>
      </c>
      <c r="N121">
        <v>9.7581389999999999</v>
      </c>
      <c r="O121">
        <v>9.7848539999999993</v>
      </c>
      <c r="P121">
        <v>9.8751660000000001</v>
      </c>
      <c r="Q121">
        <v>10.663197500000001</v>
      </c>
      <c r="R121">
        <v>9.8182569999999991</v>
      </c>
      <c r="S121">
        <v>6.3758397000000002</v>
      </c>
      <c r="T121">
        <v>9.0471524999999993</v>
      </c>
      <c r="U121">
        <v>9.0981699999999996</v>
      </c>
      <c r="V121">
        <v>9.2797479999999997</v>
      </c>
      <c r="W121">
        <v>9.668571</v>
      </c>
      <c r="X121">
        <v>9.3581920000000007</v>
      </c>
      <c r="Y121">
        <v>7.5524063000000003</v>
      </c>
      <c r="Z121">
        <v>8.9707489999999996</v>
      </c>
      <c r="AA121">
        <v>9.3391749999999991</v>
      </c>
      <c r="AB121">
        <v>8.20411</v>
      </c>
      <c r="AC121">
        <v>6.7043514000000002</v>
      </c>
      <c r="AD121">
        <v>9.6355599999999999</v>
      </c>
      <c r="AE121">
        <v>10.391387999999999</v>
      </c>
      <c r="AF121">
        <v>9.4339060000000003</v>
      </c>
      <c r="AG121">
        <v>9.0047599999999992</v>
      </c>
    </row>
    <row r="122" spans="1:33" x14ac:dyDescent="0.25">
      <c r="A122" s="1">
        <v>44173</v>
      </c>
      <c r="B122">
        <v>10.082749</v>
      </c>
      <c r="C122">
        <v>10.565433499999999</v>
      </c>
      <c r="D122">
        <v>10.122463</v>
      </c>
      <c r="E122">
        <v>10.0880575</v>
      </c>
      <c r="F122">
        <v>11.002514</v>
      </c>
      <c r="G122">
        <v>10.972951</v>
      </c>
      <c r="H122">
        <v>12.329782</v>
      </c>
      <c r="I122">
        <v>10.549253999999999</v>
      </c>
      <c r="J122">
        <v>8.6610270000000007</v>
      </c>
      <c r="K122">
        <v>9.8267959999999999</v>
      </c>
      <c r="L122">
        <v>9.6188710000000004</v>
      </c>
      <c r="M122">
        <v>10.821393</v>
      </c>
      <c r="N122">
        <v>9.7744090000000003</v>
      </c>
      <c r="O122">
        <v>9.7543880000000005</v>
      </c>
      <c r="P122">
        <v>9.8333510000000004</v>
      </c>
      <c r="Q122">
        <v>10.636315</v>
      </c>
      <c r="R122">
        <v>9.8264475000000004</v>
      </c>
      <c r="S122">
        <v>6.4382877000000001</v>
      </c>
      <c r="T122">
        <v>9.0841609999999999</v>
      </c>
      <c r="U122">
        <v>9.0334430000000001</v>
      </c>
      <c r="V122">
        <v>9.3191500000000005</v>
      </c>
      <c r="W122">
        <v>9.6910489999999996</v>
      </c>
      <c r="X122">
        <v>9.3497109999999992</v>
      </c>
      <c r="Y122">
        <v>7.6464863000000003</v>
      </c>
      <c r="Z122">
        <v>8.9342780000000008</v>
      </c>
      <c r="AA122">
        <v>9.3270160000000004</v>
      </c>
      <c r="AB122">
        <v>8.2166090000000001</v>
      </c>
      <c r="AC122">
        <v>6.7649999999999997</v>
      </c>
      <c r="AD122">
        <v>9.5966509999999996</v>
      </c>
      <c r="AE122">
        <v>10.607602999999999</v>
      </c>
      <c r="AF122">
        <v>9.3162760000000002</v>
      </c>
      <c r="AG122">
        <v>9.0428510000000006</v>
      </c>
    </row>
    <row r="123" spans="1:33" x14ac:dyDescent="0.25">
      <c r="A123" s="1">
        <v>44174</v>
      </c>
      <c r="B123">
        <v>9.8707720000000005</v>
      </c>
      <c r="C123">
        <v>10.480776000000001</v>
      </c>
      <c r="D123">
        <v>10.06298</v>
      </c>
      <c r="E123">
        <v>10.015796</v>
      </c>
      <c r="F123">
        <v>10.916612000000001</v>
      </c>
      <c r="G123">
        <v>10.951381</v>
      </c>
      <c r="H123">
        <v>12.332160999999999</v>
      </c>
      <c r="I123">
        <v>10.456127</v>
      </c>
      <c r="J123">
        <v>8.5244874999999993</v>
      </c>
      <c r="K123">
        <v>9.7493970000000001</v>
      </c>
      <c r="L123">
        <v>9.4851500000000009</v>
      </c>
      <c r="M123">
        <v>10.760223999999999</v>
      </c>
      <c r="N123">
        <v>9.7144019999999998</v>
      </c>
      <c r="O123">
        <v>9.6170600000000004</v>
      </c>
      <c r="P123">
        <v>9.7633089999999996</v>
      </c>
      <c r="Q123">
        <v>10.590370999999999</v>
      </c>
      <c r="R123">
        <v>9.7206600000000005</v>
      </c>
      <c r="S123">
        <v>6.2742753000000002</v>
      </c>
      <c r="T123">
        <v>9.0428499999999996</v>
      </c>
      <c r="U123">
        <v>8.9228389999999997</v>
      </c>
      <c r="V123">
        <v>9.3333919999999999</v>
      </c>
      <c r="W123">
        <v>9.5759469999999993</v>
      </c>
      <c r="X123">
        <v>9.3843549999999993</v>
      </c>
      <c r="Y123">
        <v>7.7499750000000001</v>
      </c>
      <c r="Z123">
        <v>8.8352009999999996</v>
      </c>
      <c r="AA123">
        <v>9.2326800000000002</v>
      </c>
      <c r="AB123">
        <v>8.2028350000000003</v>
      </c>
      <c r="AC123">
        <v>6.7104125000000003</v>
      </c>
      <c r="AD123">
        <v>9.5062840000000008</v>
      </c>
      <c r="AE123">
        <v>10.347631</v>
      </c>
      <c r="AF123">
        <v>9.1870774999999991</v>
      </c>
      <c r="AG123">
        <v>8.9049410000000009</v>
      </c>
    </row>
    <row r="124" spans="1:33" x14ac:dyDescent="0.25">
      <c r="A124" s="1">
        <v>44175</v>
      </c>
      <c r="B124">
        <v>9.8439910000000008</v>
      </c>
      <c r="C124">
        <v>10.440587000000001</v>
      </c>
      <c r="D124">
        <v>10.097633999999999</v>
      </c>
      <c r="E124">
        <v>10.050725</v>
      </c>
      <c r="F124">
        <v>10.908348</v>
      </c>
      <c r="G124">
        <v>11.001536</v>
      </c>
      <c r="H124">
        <v>12.511195000000001</v>
      </c>
      <c r="I124">
        <v>10.410629999999999</v>
      </c>
      <c r="J124">
        <v>8.5307820000000003</v>
      </c>
      <c r="K124">
        <v>9.6879500000000007</v>
      </c>
      <c r="L124">
        <v>9.4307575000000003</v>
      </c>
      <c r="M124">
        <v>10.796805000000001</v>
      </c>
      <c r="N124">
        <v>9.7391349999999992</v>
      </c>
      <c r="O124">
        <v>9.5610090000000003</v>
      </c>
      <c r="P124">
        <v>9.7193269999999998</v>
      </c>
      <c r="Q124">
        <v>10.633212</v>
      </c>
      <c r="R124">
        <v>9.6492690000000003</v>
      </c>
      <c r="S124">
        <v>6.3631672999999997</v>
      </c>
      <c r="T124">
        <v>9.0488330000000001</v>
      </c>
      <c r="U124">
        <v>8.8451799999999992</v>
      </c>
      <c r="V124">
        <v>9.3163859999999996</v>
      </c>
      <c r="W124">
        <v>9.6552229999999994</v>
      </c>
      <c r="X124">
        <v>9.3569379999999995</v>
      </c>
      <c r="Y124">
        <v>7.9158134000000002</v>
      </c>
      <c r="Z124">
        <v>8.7610379999999992</v>
      </c>
      <c r="AA124">
        <v>9.1408299999999993</v>
      </c>
      <c r="AB124">
        <v>8.3484970000000001</v>
      </c>
      <c r="AC124">
        <v>6.6915290000000001</v>
      </c>
      <c r="AD124">
        <v>9.4403070000000007</v>
      </c>
      <c r="AE124">
        <v>10.316822999999999</v>
      </c>
      <c r="AF124">
        <v>9.1123510000000003</v>
      </c>
      <c r="AG124">
        <v>8.809863</v>
      </c>
    </row>
    <row r="125" spans="1:33" x14ac:dyDescent="0.25">
      <c r="A125" s="1">
        <v>44176</v>
      </c>
      <c r="B125">
        <v>9.4312550000000002</v>
      </c>
      <c r="C125">
        <v>10.307192000000001</v>
      </c>
      <c r="D125">
        <v>9.9734400000000001</v>
      </c>
      <c r="E125">
        <v>9.8891380000000009</v>
      </c>
      <c r="F125">
        <v>10.5839205</v>
      </c>
      <c r="G125">
        <v>10.839482</v>
      </c>
      <c r="H125">
        <v>12.274718999999999</v>
      </c>
      <c r="I125">
        <v>9.9380799999999994</v>
      </c>
      <c r="J125">
        <v>8.3264929999999993</v>
      </c>
      <c r="K125">
        <v>9.5181640000000005</v>
      </c>
      <c r="L125">
        <v>9.2617139999999996</v>
      </c>
      <c r="M125">
        <v>10.632724</v>
      </c>
      <c r="N125">
        <v>9.6177259999999993</v>
      </c>
      <c r="O125">
        <v>9.3936689999999992</v>
      </c>
      <c r="P125">
        <v>9.5748169999999995</v>
      </c>
      <c r="Q125">
        <v>10.46618</v>
      </c>
      <c r="R125">
        <v>9.4752740000000006</v>
      </c>
      <c r="S125">
        <v>6.1939273000000004</v>
      </c>
      <c r="T125">
        <v>8.9297284999999995</v>
      </c>
      <c r="U125">
        <v>8.688212</v>
      </c>
      <c r="V125">
        <v>9.1629299999999994</v>
      </c>
      <c r="W125">
        <v>9.4748990000000006</v>
      </c>
      <c r="X125">
        <v>9.2094830000000005</v>
      </c>
      <c r="Y125">
        <v>7.7986255</v>
      </c>
      <c r="Z125">
        <v>8.6019659999999991</v>
      </c>
      <c r="AA125">
        <v>8.9766049999999993</v>
      </c>
      <c r="AB125">
        <v>8.2291980000000002</v>
      </c>
      <c r="AC125">
        <v>6.614465</v>
      </c>
      <c r="AD125">
        <v>9.2903219999999997</v>
      </c>
      <c r="AE125">
        <v>10.039592000000001</v>
      </c>
      <c r="AF125">
        <v>8.9295500000000008</v>
      </c>
      <c r="AG125">
        <v>8.6518700000000006</v>
      </c>
    </row>
    <row r="126" spans="1:33" x14ac:dyDescent="0.25">
      <c r="A126" s="1">
        <v>44177</v>
      </c>
      <c r="B126">
        <v>9.8302790000000009</v>
      </c>
      <c r="C126">
        <v>10.426097</v>
      </c>
      <c r="D126">
        <v>10.082345</v>
      </c>
      <c r="E126">
        <v>10.105188</v>
      </c>
      <c r="F126">
        <v>10.815015000000001</v>
      </c>
      <c r="G126">
        <v>10.857453</v>
      </c>
      <c r="H126">
        <v>12.323688000000001</v>
      </c>
      <c r="I126">
        <v>10.341529</v>
      </c>
      <c r="J126">
        <v>8.6942990000000009</v>
      </c>
      <c r="K126">
        <v>9.5697600000000005</v>
      </c>
      <c r="L126">
        <v>9.3605839999999993</v>
      </c>
      <c r="M126">
        <v>10.681834</v>
      </c>
      <c r="N126">
        <v>9.7341789999999992</v>
      </c>
      <c r="O126">
        <v>9.4705130000000004</v>
      </c>
      <c r="P126">
        <v>9.6099720000000008</v>
      </c>
      <c r="Q126">
        <v>10.503399999999999</v>
      </c>
      <c r="R126">
        <v>9.5151970000000006</v>
      </c>
      <c r="S126">
        <v>6.7602468</v>
      </c>
      <c r="T126">
        <v>9.0121959999999994</v>
      </c>
      <c r="U126">
        <v>8.7748600000000003</v>
      </c>
      <c r="V126">
        <v>9.2920110000000005</v>
      </c>
      <c r="W126">
        <v>9.3628529999999994</v>
      </c>
      <c r="X126">
        <v>9.3515540000000001</v>
      </c>
      <c r="Y126">
        <v>8.0023739999999997</v>
      </c>
      <c r="Z126">
        <v>8.7270120000000002</v>
      </c>
      <c r="AA126">
        <v>9.0683640000000008</v>
      </c>
      <c r="AB126">
        <v>8.3944069999999993</v>
      </c>
      <c r="AC126">
        <v>6.8866544000000003</v>
      </c>
      <c r="AD126">
        <v>9.3248429999999995</v>
      </c>
      <c r="AE126">
        <v>10.345757499999999</v>
      </c>
      <c r="AF126">
        <v>8.9300929999999994</v>
      </c>
      <c r="AG126">
        <v>8.9155800000000003</v>
      </c>
    </row>
    <row r="127" spans="1:33" x14ac:dyDescent="0.25">
      <c r="A127" s="1">
        <v>44178</v>
      </c>
      <c r="B127">
        <v>9.7635450000000006</v>
      </c>
      <c r="C127">
        <v>10.294456</v>
      </c>
      <c r="D127">
        <v>10.191442</v>
      </c>
      <c r="E127">
        <v>10.252159000000001</v>
      </c>
      <c r="F127">
        <v>10.679783</v>
      </c>
      <c r="G127">
        <v>10.858765</v>
      </c>
      <c r="H127">
        <v>12.256028000000001</v>
      </c>
      <c r="I127">
        <v>10.444321</v>
      </c>
      <c r="J127">
        <v>8.8613660000000003</v>
      </c>
      <c r="K127">
        <v>9.5405820000000006</v>
      </c>
      <c r="L127">
        <v>9.3171750000000007</v>
      </c>
      <c r="M127">
        <v>10.665295</v>
      </c>
      <c r="N127">
        <v>9.7309319999999992</v>
      </c>
      <c r="O127">
        <v>9.4175299999999993</v>
      </c>
      <c r="P127">
        <v>9.5829360000000001</v>
      </c>
      <c r="Q127">
        <v>10.487296000000001</v>
      </c>
      <c r="R127">
        <v>9.4593430000000005</v>
      </c>
      <c r="S127">
        <v>7.1932029999999996</v>
      </c>
      <c r="T127">
        <v>9.0770750000000007</v>
      </c>
      <c r="U127">
        <v>8.7415839999999996</v>
      </c>
      <c r="V127">
        <v>9.3414809999999999</v>
      </c>
      <c r="W127">
        <v>9.0899160000000006</v>
      </c>
      <c r="X127">
        <v>9.4028679999999998</v>
      </c>
      <c r="Y127">
        <v>7.9860040000000003</v>
      </c>
      <c r="Z127">
        <v>8.8174600000000005</v>
      </c>
      <c r="AA127">
        <v>9.0608540000000009</v>
      </c>
      <c r="AB127">
        <v>8.3300900000000002</v>
      </c>
      <c r="AC127">
        <v>7.2541184000000003</v>
      </c>
      <c r="AD127">
        <v>9.3051329999999997</v>
      </c>
      <c r="AE127">
        <v>10.78692</v>
      </c>
      <c r="AF127">
        <v>8.8056629999999991</v>
      </c>
      <c r="AG127">
        <v>8.9047450000000001</v>
      </c>
    </row>
    <row r="128" spans="1:33" x14ac:dyDescent="0.25">
      <c r="A128" s="1">
        <v>44179</v>
      </c>
      <c r="B128">
        <v>9.5379400000000008</v>
      </c>
      <c r="C128">
        <v>10.192876999999999</v>
      </c>
      <c r="D128">
        <v>10.151861999999999</v>
      </c>
      <c r="E128">
        <v>10.185758</v>
      </c>
      <c r="F128">
        <v>10.528072999999999</v>
      </c>
      <c r="G128">
        <v>10.694483999999999</v>
      </c>
      <c r="H128">
        <v>12.072174</v>
      </c>
      <c r="I128">
        <v>10.168199</v>
      </c>
      <c r="J128">
        <v>8.8212679999999999</v>
      </c>
      <c r="K128">
        <v>9.4365600000000001</v>
      </c>
      <c r="L128">
        <v>9.2379230000000003</v>
      </c>
      <c r="M128">
        <v>10.512043</v>
      </c>
      <c r="N128">
        <v>9.5885400000000001</v>
      </c>
      <c r="O128">
        <v>9.3229819999999997</v>
      </c>
      <c r="P128">
        <v>9.4877939999999992</v>
      </c>
      <c r="Q128">
        <v>10.354202000000001</v>
      </c>
      <c r="R128">
        <v>9.357901</v>
      </c>
      <c r="S128">
        <v>7.4786486999999999</v>
      </c>
      <c r="T128">
        <v>9.0206800000000005</v>
      </c>
      <c r="U128">
        <v>8.7256169999999997</v>
      </c>
      <c r="V128">
        <v>9.2034559999999992</v>
      </c>
      <c r="W128">
        <v>9.5099920000000004</v>
      </c>
      <c r="X128">
        <v>9.2341794999999998</v>
      </c>
      <c r="Y128">
        <v>7.9901109999999997</v>
      </c>
      <c r="Z128">
        <v>8.8280600000000007</v>
      </c>
      <c r="AA128">
        <v>8.9998959999999997</v>
      </c>
      <c r="AB128">
        <v>8.3626299999999993</v>
      </c>
      <c r="AC128">
        <v>7.7593110000000003</v>
      </c>
      <c r="AD128">
        <v>9.233352</v>
      </c>
      <c r="AE128">
        <v>10.773774</v>
      </c>
      <c r="AF128">
        <v>8.6879500000000007</v>
      </c>
      <c r="AG128">
        <v>8.803153</v>
      </c>
    </row>
    <row r="129" spans="1:33" x14ac:dyDescent="0.25">
      <c r="A129" s="1">
        <v>44180</v>
      </c>
      <c r="B129">
        <v>9.4828229999999998</v>
      </c>
      <c r="C129">
        <v>10.060046</v>
      </c>
      <c r="D129">
        <v>10.031969</v>
      </c>
      <c r="E129">
        <v>10.035107</v>
      </c>
      <c r="F129">
        <v>10.354927999999999</v>
      </c>
      <c r="G129">
        <v>10.50146</v>
      </c>
      <c r="H129">
        <v>11.82109</v>
      </c>
      <c r="I129">
        <v>10.030741000000001</v>
      </c>
      <c r="J129">
        <v>8.6365449999999999</v>
      </c>
      <c r="K129">
        <v>9.3293029999999995</v>
      </c>
      <c r="L129">
        <v>9.1079445000000003</v>
      </c>
      <c r="M129">
        <v>10.353337</v>
      </c>
      <c r="N129">
        <v>9.4685129999999997</v>
      </c>
      <c r="O129">
        <v>9.1915809999999993</v>
      </c>
      <c r="P129">
        <v>9.3828390000000006</v>
      </c>
      <c r="Q129">
        <v>10.168532000000001</v>
      </c>
      <c r="R129">
        <v>9.2382500000000007</v>
      </c>
      <c r="S129">
        <v>7.1707992999999997</v>
      </c>
      <c r="T129">
        <v>8.8802839999999996</v>
      </c>
      <c r="U129">
        <v>8.6090129999999991</v>
      </c>
      <c r="V129">
        <v>9.0027439999999999</v>
      </c>
      <c r="W129">
        <v>9.732094</v>
      </c>
      <c r="X129">
        <v>8.9905600000000003</v>
      </c>
      <c r="Y129">
        <v>7.9950104</v>
      </c>
      <c r="Z129">
        <v>8.7709320000000002</v>
      </c>
      <c r="AA129">
        <v>8.8976600000000001</v>
      </c>
      <c r="AB129">
        <v>8.2240870000000008</v>
      </c>
      <c r="AC129">
        <v>10.901543999999999</v>
      </c>
      <c r="AD129">
        <v>9.1228840000000009</v>
      </c>
      <c r="AE129">
        <v>10.659414999999999</v>
      </c>
      <c r="AF129">
        <v>8.4633439999999993</v>
      </c>
      <c r="AG129">
        <v>8.6336099999999991</v>
      </c>
    </row>
    <row r="130" spans="1:33" x14ac:dyDescent="0.25">
      <c r="A130" s="1">
        <v>44181</v>
      </c>
      <c r="B130">
        <v>9.5287210000000009</v>
      </c>
      <c r="C130">
        <v>9.9951570000000007</v>
      </c>
      <c r="D130">
        <v>9.8917610000000007</v>
      </c>
      <c r="E130">
        <v>9.9450629999999993</v>
      </c>
      <c r="F130">
        <v>10.28051</v>
      </c>
      <c r="G130">
        <v>10.398197</v>
      </c>
      <c r="H130">
        <v>11.681684000000001</v>
      </c>
      <c r="I130">
        <v>10.014756999999999</v>
      </c>
      <c r="J130">
        <v>8.6440734999999993</v>
      </c>
      <c r="K130">
        <v>9.2835490000000007</v>
      </c>
      <c r="L130">
        <v>9.0819500000000009</v>
      </c>
      <c r="M130">
        <v>10.258101</v>
      </c>
      <c r="N130">
        <v>9.4099989999999991</v>
      </c>
      <c r="O130">
        <v>9.1730509999999992</v>
      </c>
      <c r="P130">
        <v>9.3244679999999995</v>
      </c>
      <c r="Q130">
        <v>10.065631</v>
      </c>
      <c r="R130">
        <v>9.2113560000000003</v>
      </c>
      <c r="S130">
        <v>7.0585174999999998</v>
      </c>
      <c r="T130">
        <v>8.8656699999999997</v>
      </c>
      <c r="U130">
        <v>8.6294710000000006</v>
      </c>
      <c r="V130">
        <v>9.1831949999999996</v>
      </c>
      <c r="W130">
        <v>9.6923110000000001</v>
      </c>
      <c r="X130">
        <v>9.2991899999999994</v>
      </c>
      <c r="Y130">
        <v>8.1451919999999998</v>
      </c>
      <c r="Z130">
        <v>8.7853379999999994</v>
      </c>
      <c r="AA130">
        <v>8.8560459999999992</v>
      </c>
      <c r="AB130">
        <v>8.2930609999999998</v>
      </c>
      <c r="AC130">
        <v>14.002419</v>
      </c>
      <c r="AD130">
        <v>9.0811390000000003</v>
      </c>
      <c r="AE130">
        <v>10.4213</v>
      </c>
      <c r="AF130">
        <v>8.3371180000000003</v>
      </c>
      <c r="AG130">
        <v>8.6028909999999996</v>
      </c>
    </row>
    <row r="131" spans="1:33" x14ac:dyDescent="0.25">
      <c r="A131" s="1">
        <v>44182</v>
      </c>
      <c r="B131">
        <v>9.8003470000000004</v>
      </c>
      <c r="C131">
        <v>10.062768</v>
      </c>
      <c r="D131">
        <v>9.9065550000000009</v>
      </c>
      <c r="E131">
        <v>10.032909</v>
      </c>
      <c r="F131">
        <v>10.437904</v>
      </c>
      <c r="G131">
        <v>10.481242</v>
      </c>
      <c r="H131">
        <v>11.949180999999999</v>
      </c>
      <c r="I131">
        <v>10.274535</v>
      </c>
      <c r="J131">
        <v>9.033887</v>
      </c>
      <c r="K131">
        <v>9.3656970000000008</v>
      </c>
      <c r="L131">
        <v>9.2111630000000009</v>
      </c>
      <c r="M131">
        <v>10.362465</v>
      </c>
      <c r="N131">
        <v>9.5184879999999996</v>
      </c>
      <c r="O131">
        <v>9.2867750000000004</v>
      </c>
      <c r="P131">
        <v>9.4084719999999997</v>
      </c>
      <c r="Q131">
        <v>10.135770000000001</v>
      </c>
      <c r="R131">
        <v>9.2923399999999994</v>
      </c>
      <c r="S131">
        <v>7.5505409999999999</v>
      </c>
      <c r="T131">
        <v>9.0756460000000008</v>
      </c>
      <c r="U131">
        <v>8.8468350000000004</v>
      </c>
      <c r="V131">
        <v>9.4801149999999996</v>
      </c>
      <c r="W131">
        <v>9.6530310000000004</v>
      </c>
      <c r="X131">
        <v>9.6947600000000005</v>
      </c>
      <c r="Y131">
        <v>9.1612860000000005</v>
      </c>
      <c r="Z131">
        <v>8.9831704999999999</v>
      </c>
      <c r="AA131">
        <v>9.0025835000000001</v>
      </c>
      <c r="AB131">
        <v>8.8304089999999995</v>
      </c>
      <c r="AC131">
        <v>13.407387999999999</v>
      </c>
      <c r="AD131">
        <v>9.1862449999999995</v>
      </c>
      <c r="AE131">
        <v>10.904609000000001</v>
      </c>
      <c r="AF131">
        <v>8.3898130000000002</v>
      </c>
      <c r="AG131">
        <v>8.8398109999999992</v>
      </c>
    </row>
    <row r="132" spans="1:33" x14ac:dyDescent="0.25">
      <c r="A132" s="1">
        <v>44183</v>
      </c>
      <c r="B132">
        <v>9.5038595000000008</v>
      </c>
      <c r="C132">
        <v>9.9663380000000004</v>
      </c>
      <c r="D132">
        <v>9.7450720000000004</v>
      </c>
      <c r="E132">
        <v>9.7659409999999998</v>
      </c>
      <c r="F132">
        <v>10.246517000000001</v>
      </c>
      <c r="G132">
        <v>10.279842</v>
      </c>
      <c r="H132">
        <v>11.560714000000001</v>
      </c>
      <c r="I132">
        <v>10.05918</v>
      </c>
      <c r="J132">
        <v>8.7206229999999998</v>
      </c>
      <c r="K132">
        <v>9.2873850000000004</v>
      </c>
      <c r="L132">
        <v>9.1264050000000001</v>
      </c>
      <c r="M132">
        <v>10.158429</v>
      </c>
      <c r="N132">
        <v>9.3829639999999994</v>
      </c>
      <c r="O132">
        <v>9.2075399999999998</v>
      </c>
      <c r="P132">
        <v>9.3236840000000001</v>
      </c>
      <c r="Q132">
        <v>9.9612180000000006</v>
      </c>
      <c r="R132">
        <v>9.1994830000000007</v>
      </c>
      <c r="S132">
        <v>7.2002854000000003</v>
      </c>
      <c r="T132">
        <v>9.0752760000000006</v>
      </c>
      <c r="U132">
        <v>8.7180700000000009</v>
      </c>
      <c r="V132">
        <v>9.4433950000000006</v>
      </c>
      <c r="W132">
        <v>9.8386239999999994</v>
      </c>
      <c r="X132">
        <v>9.5895100000000006</v>
      </c>
      <c r="Y132">
        <v>10.45574</v>
      </c>
      <c r="Z132">
        <v>8.9632570000000005</v>
      </c>
      <c r="AA132">
        <v>8.9181500000000007</v>
      </c>
      <c r="AB132">
        <v>9.6742000000000008</v>
      </c>
      <c r="AC132">
        <v>11.869688999999999</v>
      </c>
      <c r="AD132">
        <v>9.120177</v>
      </c>
      <c r="AE132">
        <v>10.554042000000001</v>
      </c>
      <c r="AF132">
        <v>8.2423549999999999</v>
      </c>
      <c r="AG132">
        <v>8.6918489999999995</v>
      </c>
    </row>
    <row r="133" spans="1:33" x14ac:dyDescent="0.25">
      <c r="A133" s="1">
        <v>44184</v>
      </c>
      <c r="B133">
        <v>9.2670270000000006</v>
      </c>
      <c r="C133">
        <v>9.8086549999999999</v>
      </c>
      <c r="D133">
        <v>9.5186279999999996</v>
      </c>
      <c r="E133">
        <v>9.5012664999999998</v>
      </c>
      <c r="F133">
        <v>10.040666999999999</v>
      </c>
      <c r="G133">
        <v>10.105046</v>
      </c>
      <c r="H133">
        <v>11.285769999999999</v>
      </c>
      <c r="I133">
        <v>9.8143250000000002</v>
      </c>
      <c r="J133">
        <v>8.3723259999999993</v>
      </c>
      <c r="K133">
        <v>9.1583070000000006</v>
      </c>
      <c r="L133">
        <v>9.0354880000000009</v>
      </c>
      <c r="M133">
        <v>9.9742149999999992</v>
      </c>
      <c r="N133">
        <v>9.2356750000000005</v>
      </c>
      <c r="O133">
        <v>9.1560579999999998</v>
      </c>
      <c r="P133">
        <v>9.1838329999999999</v>
      </c>
      <c r="Q133">
        <v>9.7650190000000006</v>
      </c>
      <c r="R133">
        <v>9.1291960000000003</v>
      </c>
      <c r="S133">
        <v>6.7521462000000003</v>
      </c>
      <c r="T133">
        <v>8.9501810000000006</v>
      </c>
      <c r="U133">
        <v>8.7276260000000008</v>
      </c>
      <c r="V133">
        <v>9.324446</v>
      </c>
      <c r="W133">
        <v>9.8267190000000006</v>
      </c>
      <c r="X133">
        <v>9.4652814999999997</v>
      </c>
      <c r="Y133">
        <v>10.835001999999999</v>
      </c>
      <c r="Z133">
        <v>8.82423</v>
      </c>
      <c r="AA133">
        <v>8.7846919999999997</v>
      </c>
      <c r="AB133">
        <v>10.108273499999999</v>
      </c>
      <c r="AC133">
        <v>10.589232000000001</v>
      </c>
      <c r="AD133">
        <v>9.0393504999999994</v>
      </c>
      <c r="AE133">
        <v>9.9415449999999996</v>
      </c>
      <c r="AF133">
        <v>8.1535309999999992</v>
      </c>
      <c r="AG133">
        <v>8.4602660000000007</v>
      </c>
    </row>
    <row r="134" spans="1:33" x14ac:dyDescent="0.25">
      <c r="A134" s="1">
        <v>44185</v>
      </c>
      <c r="B134">
        <v>9.0691400000000009</v>
      </c>
      <c r="C134">
        <v>9.6436139999999995</v>
      </c>
      <c r="D134">
        <v>9.3136700000000001</v>
      </c>
      <c r="E134">
        <v>9.2975960000000004</v>
      </c>
      <c r="F134">
        <v>9.9202910000000006</v>
      </c>
      <c r="G134">
        <v>9.9547910000000002</v>
      </c>
      <c r="H134">
        <v>11.214915</v>
      </c>
      <c r="I134">
        <v>9.6685269999999992</v>
      </c>
      <c r="J134">
        <v>8.1123139999999996</v>
      </c>
      <c r="K134">
        <v>9.0656870000000005</v>
      </c>
      <c r="L134">
        <v>8.9645200000000003</v>
      </c>
      <c r="M134">
        <v>9.8258290000000006</v>
      </c>
      <c r="N134">
        <v>9.1350719999999992</v>
      </c>
      <c r="O134">
        <v>9.1221899999999998</v>
      </c>
      <c r="P134">
        <v>9.0716509999999992</v>
      </c>
      <c r="Q134">
        <v>9.6248450000000005</v>
      </c>
      <c r="R134">
        <v>9.0911209999999993</v>
      </c>
      <c r="S134">
        <v>6.4510712999999997</v>
      </c>
      <c r="T134">
        <v>8.9267690000000002</v>
      </c>
      <c r="U134">
        <v>8.7240409999999997</v>
      </c>
      <c r="V134">
        <v>9.4800970000000007</v>
      </c>
      <c r="W134">
        <v>9.5261700000000005</v>
      </c>
      <c r="X134">
        <v>9.6067149999999994</v>
      </c>
      <c r="Y134">
        <v>10.374432000000001</v>
      </c>
      <c r="Z134">
        <v>8.7630529999999993</v>
      </c>
      <c r="AA134">
        <v>8.6554099999999998</v>
      </c>
      <c r="AB134">
        <v>9.8020370000000003</v>
      </c>
      <c r="AC134">
        <v>8.8026029999999995</v>
      </c>
      <c r="AD134">
        <v>8.9745509999999999</v>
      </c>
      <c r="AE134">
        <v>9.5109659999999998</v>
      </c>
      <c r="AF134">
        <v>8.3283570000000005</v>
      </c>
      <c r="AG134">
        <v>8.2798990000000003</v>
      </c>
    </row>
    <row r="135" spans="1:33" x14ac:dyDescent="0.25">
      <c r="A135" s="1">
        <v>44186</v>
      </c>
      <c r="B135">
        <v>8.8967100000000006</v>
      </c>
      <c r="C135">
        <v>9.3913159999999998</v>
      </c>
      <c r="D135">
        <v>9.1128400000000003</v>
      </c>
      <c r="E135">
        <v>9.1356579999999994</v>
      </c>
      <c r="F135">
        <v>9.7545120000000001</v>
      </c>
      <c r="G135">
        <v>9.8489439999999995</v>
      </c>
      <c r="H135">
        <v>11.360241</v>
      </c>
      <c r="I135">
        <v>9.3858709999999999</v>
      </c>
      <c r="J135">
        <v>7.7981185999999996</v>
      </c>
      <c r="K135">
        <v>8.9677749999999996</v>
      </c>
      <c r="L135">
        <v>8.8637820000000005</v>
      </c>
      <c r="M135">
        <v>9.6930499999999995</v>
      </c>
      <c r="N135">
        <v>9.0571029999999997</v>
      </c>
      <c r="O135">
        <v>9.0222789999999993</v>
      </c>
      <c r="P135">
        <v>8.9612970000000001</v>
      </c>
      <c r="Q135">
        <v>9.5228889999999993</v>
      </c>
      <c r="R135">
        <v>9.0156580000000002</v>
      </c>
      <c r="S135">
        <v>6.2277794000000002</v>
      </c>
      <c r="T135">
        <v>8.9300470000000001</v>
      </c>
      <c r="U135">
        <v>8.6033030000000004</v>
      </c>
      <c r="V135">
        <v>9.4167090000000009</v>
      </c>
      <c r="W135">
        <v>9.3567850000000004</v>
      </c>
      <c r="X135">
        <v>9.4983609999999992</v>
      </c>
      <c r="Y135">
        <v>9.3845759999999991</v>
      </c>
      <c r="Z135">
        <v>8.6201609999999995</v>
      </c>
      <c r="AA135">
        <v>8.5212199999999996</v>
      </c>
      <c r="AB135">
        <v>9.0750779999999995</v>
      </c>
      <c r="AC135">
        <v>7.8125442999999999</v>
      </c>
      <c r="AD135">
        <v>8.8769819999999999</v>
      </c>
      <c r="AE135">
        <v>9.2347099999999998</v>
      </c>
      <c r="AF135">
        <v>8.5526060000000008</v>
      </c>
      <c r="AG135">
        <v>8.0608609999999992</v>
      </c>
    </row>
    <row r="136" spans="1:33" x14ac:dyDescent="0.25">
      <c r="A136" s="1">
        <v>44187</v>
      </c>
      <c r="B136">
        <v>8.9494469999999993</v>
      </c>
      <c r="C136">
        <v>9.3296690000000009</v>
      </c>
      <c r="D136">
        <v>8.9785310000000003</v>
      </c>
      <c r="E136">
        <v>9.0317349999999994</v>
      </c>
      <c r="F136">
        <v>9.7521240000000002</v>
      </c>
      <c r="G136">
        <v>9.790578</v>
      </c>
      <c r="H136">
        <v>11.310814000000001</v>
      </c>
      <c r="I136">
        <v>9.3461400000000001</v>
      </c>
      <c r="J136">
        <v>7.5174269999999996</v>
      </c>
      <c r="K136">
        <v>8.8461219999999994</v>
      </c>
      <c r="L136">
        <v>8.7446249999999992</v>
      </c>
      <c r="M136">
        <v>9.598236</v>
      </c>
      <c r="N136">
        <v>8.9640649999999997</v>
      </c>
      <c r="O136">
        <v>8.889996</v>
      </c>
      <c r="P136">
        <v>8.8424110000000002</v>
      </c>
      <c r="Q136">
        <v>9.4489579999999993</v>
      </c>
      <c r="R136">
        <v>8.9184760000000001</v>
      </c>
      <c r="S136">
        <v>6.0230864999999998</v>
      </c>
      <c r="T136">
        <v>8.8046670000000002</v>
      </c>
      <c r="U136">
        <v>8.4710380000000001</v>
      </c>
      <c r="V136">
        <v>9.1118179999999995</v>
      </c>
      <c r="W136">
        <v>9.3123480000000001</v>
      </c>
      <c r="X136">
        <v>9.1459650000000003</v>
      </c>
      <c r="Y136">
        <v>8.4873969999999996</v>
      </c>
      <c r="Z136">
        <v>8.5047449999999998</v>
      </c>
      <c r="AA136">
        <v>8.3923070000000006</v>
      </c>
      <c r="AB136">
        <v>8.4789729999999999</v>
      </c>
      <c r="AC136">
        <v>7.1599145000000002</v>
      </c>
      <c r="AD136">
        <v>8.7719690000000003</v>
      </c>
      <c r="AE136">
        <v>8.9334345000000006</v>
      </c>
      <c r="AF136">
        <v>8.7570305000000008</v>
      </c>
      <c r="AG136">
        <v>7.9638030000000004</v>
      </c>
    </row>
    <row r="137" spans="1:33" x14ac:dyDescent="0.25">
      <c r="A137" s="1">
        <v>44188</v>
      </c>
      <c r="B137">
        <v>8.4649350000000005</v>
      </c>
      <c r="C137">
        <v>9.0880379999999992</v>
      </c>
      <c r="D137">
        <v>8.7344229999999996</v>
      </c>
      <c r="E137">
        <v>8.7387420000000002</v>
      </c>
      <c r="F137">
        <v>9.3988829999999997</v>
      </c>
      <c r="G137">
        <v>9.620851</v>
      </c>
      <c r="H137">
        <v>10.959414499999999</v>
      </c>
      <c r="I137">
        <v>8.7633860000000006</v>
      </c>
      <c r="J137">
        <v>7.0881724000000004</v>
      </c>
      <c r="K137">
        <v>8.6551880000000008</v>
      </c>
      <c r="L137">
        <v>8.5031459999999992</v>
      </c>
      <c r="M137">
        <v>9.3730130000000003</v>
      </c>
      <c r="N137">
        <v>8.7754349999999999</v>
      </c>
      <c r="O137">
        <v>8.6743780000000008</v>
      </c>
      <c r="P137">
        <v>8.6712799999999994</v>
      </c>
      <c r="Q137">
        <v>9.2651614999999996</v>
      </c>
      <c r="R137">
        <v>8.7345970000000008</v>
      </c>
      <c r="S137">
        <v>5.5437684000000003</v>
      </c>
      <c r="T137">
        <v>8.5465619999999998</v>
      </c>
      <c r="U137">
        <v>8.2534489999999998</v>
      </c>
      <c r="V137">
        <v>8.8290299999999995</v>
      </c>
      <c r="W137">
        <v>9.0804819999999999</v>
      </c>
      <c r="X137">
        <v>8.8731980000000004</v>
      </c>
      <c r="Y137">
        <v>7.5231133000000003</v>
      </c>
      <c r="Z137">
        <v>8.2698750000000008</v>
      </c>
      <c r="AA137">
        <v>8.1154585000000008</v>
      </c>
      <c r="AB137">
        <v>7.7162670000000002</v>
      </c>
      <c r="AC137">
        <v>6.4352</v>
      </c>
      <c r="AD137">
        <v>8.5823859999999996</v>
      </c>
      <c r="AE137">
        <v>8.9138719999999996</v>
      </c>
      <c r="AF137">
        <v>8.9721039999999999</v>
      </c>
      <c r="AG137">
        <v>7.5771885000000001</v>
      </c>
    </row>
    <row r="138" spans="1:33" x14ac:dyDescent="0.25">
      <c r="A138" s="1">
        <v>44189</v>
      </c>
      <c r="B138">
        <v>8.2033710000000006</v>
      </c>
      <c r="C138">
        <v>8.8865560000000006</v>
      </c>
      <c r="D138">
        <v>8.4993669999999995</v>
      </c>
      <c r="E138">
        <v>8.4975419999999993</v>
      </c>
      <c r="F138">
        <v>9.1749229999999997</v>
      </c>
      <c r="G138">
        <v>9.4770959999999995</v>
      </c>
      <c r="H138">
        <v>10.905612</v>
      </c>
      <c r="I138">
        <v>8.1599044999999997</v>
      </c>
      <c r="J138">
        <v>6.8708710000000002</v>
      </c>
      <c r="K138">
        <v>8.5261300000000002</v>
      </c>
      <c r="L138">
        <v>8.4311495000000001</v>
      </c>
      <c r="M138">
        <v>9.2288420000000002</v>
      </c>
      <c r="N138">
        <v>8.6591120000000004</v>
      </c>
      <c r="O138">
        <v>8.5535329999999998</v>
      </c>
      <c r="P138">
        <v>8.5454349999999994</v>
      </c>
      <c r="Q138">
        <v>9.1143029999999996</v>
      </c>
      <c r="R138">
        <v>8.6243429999999996</v>
      </c>
      <c r="S138">
        <v>5.1448182999999998</v>
      </c>
      <c r="T138">
        <v>8.3798060000000003</v>
      </c>
      <c r="U138">
        <v>8.1566189999999992</v>
      </c>
      <c r="V138">
        <v>8.7284100000000002</v>
      </c>
      <c r="W138">
        <v>9.0179460000000002</v>
      </c>
      <c r="X138">
        <v>8.7874879999999997</v>
      </c>
      <c r="Y138">
        <v>6.9865374999999998</v>
      </c>
      <c r="Z138">
        <v>8.1352890000000002</v>
      </c>
      <c r="AA138">
        <v>7.9799040000000003</v>
      </c>
      <c r="AB138">
        <v>7.3043437000000004</v>
      </c>
      <c r="AC138">
        <v>6.1948476000000001</v>
      </c>
      <c r="AD138">
        <v>8.4612999999999996</v>
      </c>
      <c r="AE138">
        <v>9.0288210000000007</v>
      </c>
      <c r="AF138">
        <v>9.0480640000000001</v>
      </c>
      <c r="AG138">
        <v>7.6759529999999998</v>
      </c>
    </row>
    <row r="139" spans="1:33" x14ac:dyDescent="0.25">
      <c r="A139" s="1">
        <v>44190</v>
      </c>
      <c r="B139">
        <v>8.2049819999999993</v>
      </c>
      <c r="C139">
        <v>8.8149789999999992</v>
      </c>
      <c r="D139">
        <v>8.3899144999999997</v>
      </c>
      <c r="E139">
        <v>8.4662120000000005</v>
      </c>
      <c r="F139">
        <v>9.2752905000000005</v>
      </c>
      <c r="G139">
        <v>9.6073050000000002</v>
      </c>
      <c r="H139">
        <v>11.702957</v>
      </c>
      <c r="I139">
        <v>8.166093</v>
      </c>
      <c r="J139">
        <v>6.876995</v>
      </c>
      <c r="K139">
        <v>8.4503310000000003</v>
      </c>
      <c r="L139">
        <v>8.4678649999999998</v>
      </c>
      <c r="M139">
        <v>9.3675490000000003</v>
      </c>
      <c r="N139">
        <v>8.6866459999999996</v>
      </c>
      <c r="O139">
        <v>8.5495204999999999</v>
      </c>
      <c r="P139">
        <v>8.4636099999999992</v>
      </c>
      <c r="Q139">
        <v>9.2124369999999995</v>
      </c>
      <c r="R139">
        <v>8.6032779999999995</v>
      </c>
      <c r="S139">
        <v>5.3270163999999998</v>
      </c>
      <c r="T139">
        <v>8.3913930000000008</v>
      </c>
      <c r="U139">
        <v>8.0381590000000003</v>
      </c>
      <c r="V139">
        <v>8.627599</v>
      </c>
      <c r="W139">
        <v>8.7346310000000003</v>
      </c>
      <c r="X139">
        <v>8.6713989999999992</v>
      </c>
      <c r="Y139">
        <v>6.9254309999999997</v>
      </c>
      <c r="Z139">
        <v>8.0924639999999997</v>
      </c>
      <c r="AA139">
        <v>7.9177321999999997</v>
      </c>
      <c r="AB139">
        <v>7.3812465999999999</v>
      </c>
      <c r="AC139">
        <v>6.1176047000000002</v>
      </c>
      <c r="AD139">
        <v>8.4551935</v>
      </c>
      <c r="AE139">
        <v>8.8977769999999996</v>
      </c>
      <c r="AF139">
        <v>8.8066770000000005</v>
      </c>
      <c r="AG139">
        <v>7.7716025999999996</v>
      </c>
    </row>
    <row r="140" spans="1:33" x14ac:dyDescent="0.25">
      <c r="A140" s="1">
        <v>44191</v>
      </c>
      <c r="B140">
        <v>8.5357485000000004</v>
      </c>
      <c r="C140">
        <v>9.154738</v>
      </c>
      <c r="D140">
        <v>8.5522240000000007</v>
      </c>
      <c r="E140">
        <v>8.6527030000000007</v>
      </c>
      <c r="F140">
        <v>9.6702180000000002</v>
      </c>
      <c r="G140">
        <v>9.8239059999999991</v>
      </c>
      <c r="H140">
        <v>12.039437</v>
      </c>
      <c r="I140">
        <v>8.7133850000000006</v>
      </c>
      <c r="J140">
        <v>7.2720390000000004</v>
      </c>
      <c r="K140">
        <v>8.5304669999999998</v>
      </c>
      <c r="L140">
        <v>8.595008</v>
      </c>
      <c r="M140">
        <v>9.5880320000000001</v>
      </c>
      <c r="N140">
        <v>8.8201870000000007</v>
      </c>
      <c r="O140">
        <v>8.6932580000000002</v>
      </c>
      <c r="P140">
        <v>8.5411370000000009</v>
      </c>
      <c r="Q140">
        <v>9.3909050000000001</v>
      </c>
      <c r="R140">
        <v>8.6796369999999996</v>
      </c>
      <c r="S140">
        <v>6.1896069999999996</v>
      </c>
      <c r="T140">
        <v>8.5211260000000006</v>
      </c>
      <c r="U140">
        <v>8.1557329999999997</v>
      </c>
      <c r="V140">
        <v>8.7705970000000004</v>
      </c>
      <c r="W140">
        <v>8.8851440000000004</v>
      </c>
      <c r="X140">
        <v>8.8618089999999992</v>
      </c>
      <c r="Y140">
        <v>7.1797404</v>
      </c>
      <c r="Z140">
        <v>8.2720520000000004</v>
      </c>
      <c r="AA140">
        <v>8.054252</v>
      </c>
      <c r="AB140">
        <v>7.5814110000000001</v>
      </c>
      <c r="AC140">
        <v>6.4015465000000003</v>
      </c>
      <c r="AD140">
        <v>8.568854</v>
      </c>
      <c r="AE140">
        <v>9.7467410000000001</v>
      </c>
      <c r="AF140">
        <v>8.7741229999999995</v>
      </c>
      <c r="AG140">
        <v>8.0063089999999999</v>
      </c>
    </row>
    <row r="141" spans="1:33" x14ac:dyDescent="0.25">
      <c r="A141" s="1">
        <v>44192</v>
      </c>
      <c r="B141">
        <v>8.5583790000000004</v>
      </c>
      <c r="C141">
        <v>9.2743929999999999</v>
      </c>
      <c r="D141">
        <v>8.7117909999999998</v>
      </c>
      <c r="E141">
        <v>8.7853774999999992</v>
      </c>
      <c r="F141">
        <v>9.7547940000000004</v>
      </c>
      <c r="G141">
        <v>9.8812684999999991</v>
      </c>
      <c r="H141">
        <v>11.777756</v>
      </c>
      <c r="I141">
        <v>9.0763119999999997</v>
      </c>
      <c r="J141">
        <v>7.4478188000000003</v>
      </c>
      <c r="K141">
        <v>8.5823160000000005</v>
      </c>
      <c r="L141">
        <v>8.5601850000000006</v>
      </c>
      <c r="M141">
        <v>9.6746300000000005</v>
      </c>
      <c r="N141">
        <v>8.8584709999999998</v>
      </c>
      <c r="O141">
        <v>8.6626169999999991</v>
      </c>
      <c r="P141">
        <v>8.5998699999999992</v>
      </c>
      <c r="Q141">
        <v>9.4745670000000004</v>
      </c>
      <c r="R141">
        <v>8.6658910000000002</v>
      </c>
      <c r="S141">
        <v>6.3576220000000001</v>
      </c>
      <c r="T141">
        <v>8.5716049999999999</v>
      </c>
      <c r="U141">
        <v>8.1941159999999993</v>
      </c>
      <c r="V141">
        <v>8.7983659999999997</v>
      </c>
      <c r="W141">
        <v>8.9352929999999997</v>
      </c>
      <c r="X141">
        <v>8.8712510000000009</v>
      </c>
      <c r="Y141">
        <v>7.1390605000000003</v>
      </c>
      <c r="Z141">
        <v>8.3562975000000002</v>
      </c>
      <c r="AA141">
        <v>8.1117179999999998</v>
      </c>
      <c r="AB141">
        <v>7.7122684000000001</v>
      </c>
      <c r="AC141">
        <v>6.4518332000000003</v>
      </c>
      <c r="AD141">
        <v>8.5746280000000006</v>
      </c>
      <c r="AE141">
        <v>10.417413</v>
      </c>
      <c r="AF141">
        <v>8.7967119999999994</v>
      </c>
      <c r="AG141">
        <v>8.0160070000000001</v>
      </c>
    </row>
    <row r="142" spans="1:33" x14ac:dyDescent="0.25">
      <c r="A142" s="1">
        <v>44193</v>
      </c>
      <c r="B142">
        <v>8.5975809999999999</v>
      </c>
      <c r="C142">
        <v>9.3151779999999995</v>
      </c>
      <c r="D142">
        <v>8.8009599999999999</v>
      </c>
      <c r="E142">
        <v>8.8688730000000007</v>
      </c>
      <c r="F142">
        <v>9.8211549999999992</v>
      </c>
      <c r="G142">
        <v>10.008451000000001</v>
      </c>
      <c r="H142">
        <v>11.706208</v>
      </c>
      <c r="I142">
        <v>9.1306200000000004</v>
      </c>
      <c r="J142">
        <v>7.5926299999999998</v>
      </c>
      <c r="K142">
        <v>8.5954160000000002</v>
      </c>
      <c r="L142">
        <v>8.5570149999999998</v>
      </c>
      <c r="M142">
        <v>9.7836940000000006</v>
      </c>
      <c r="N142">
        <v>8.9194630000000004</v>
      </c>
      <c r="O142">
        <v>8.6431509999999996</v>
      </c>
      <c r="P142">
        <v>8.6278690000000005</v>
      </c>
      <c r="Q142">
        <v>9.5986480000000007</v>
      </c>
      <c r="R142">
        <v>8.6405519999999996</v>
      </c>
      <c r="S142">
        <v>6.5607410000000002</v>
      </c>
      <c r="T142">
        <v>8.5923780000000001</v>
      </c>
      <c r="U142">
        <v>8.2716054999999997</v>
      </c>
      <c r="V142">
        <v>8.7199050000000007</v>
      </c>
      <c r="W142">
        <v>9.0286290000000005</v>
      </c>
      <c r="X142">
        <v>8.7562040000000003</v>
      </c>
      <c r="Y142">
        <v>7.3164277000000002</v>
      </c>
      <c r="Z142">
        <v>8.4163390000000007</v>
      </c>
      <c r="AA142">
        <v>8.1550250000000002</v>
      </c>
      <c r="AB142">
        <v>7.7436794999999998</v>
      </c>
      <c r="AC142">
        <v>6.8038483000000003</v>
      </c>
      <c r="AD142">
        <v>8.5731929999999998</v>
      </c>
      <c r="AE142">
        <v>10.769745</v>
      </c>
      <c r="AF142">
        <v>8.7428790000000003</v>
      </c>
      <c r="AG142">
        <v>8.047307</v>
      </c>
    </row>
    <row r="143" spans="1:33" x14ac:dyDescent="0.25">
      <c r="A143" s="1">
        <v>44194</v>
      </c>
      <c r="B143">
        <v>8.4303690000000007</v>
      </c>
      <c r="C143">
        <v>9.3538960000000007</v>
      </c>
      <c r="D143">
        <v>8.8369350000000004</v>
      </c>
      <c r="E143">
        <v>8.7791530000000009</v>
      </c>
      <c r="F143">
        <v>9.7307480000000002</v>
      </c>
      <c r="G143">
        <v>9.8764219999999998</v>
      </c>
      <c r="H143">
        <v>11.424045</v>
      </c>
      <c r="I143">
        <v>9.0717020000000002</v>
      </c>
      <c r="J143">
        <v>7.4861236</v>
      </c>
      <c r="K143">
        <v>8.5183610000000005</v>
      </c>
      <c r="L143">
        <v>8.4628479999999993</v>
      </c>
      <c r="M143">
        <v>9.6793999999999993</v>
      </c>
      <c r="N143">
        <v>8.82334</v>
      </c>
      <c r="O143">
        <v>8.5402170000000002</v>
      </c>
      <c r="P143">
        <v>8.5648429999999998</v>
      </c>
      <c r="Q143">
        <v>9.4958449999999992</v>
      </c>
      <c r="R143">
        <v>8.5437910000000006</v>
      </c>
      <c r="S143">
        <v>6.542656</v>
      </c>
      <c r="T143">
        <v>8.4986139999999999</v>
      </c>
      <c r="U143">
        <v>8.1774380000000004</v>
      </c>
      <c r="V143">
        <v>8.6397469999999998</v>
      </c>
      <c r="W143">
        <v>9.0330949999999994</v>
      </c>
      <c r="X143">
        <v>8.6881380000000004</v>
      </c>
      <c r="Y143">
        <v>7.4124264999999996</v>
      </c>
      <c r="Z143">
        <v>8.3624340000000004</v>
      </c>
      <c r="AA143">
        <v>8.0963790000000007</v>
      </c>
      <c r="AB143">
        <v>7.6695786000000004</v>
      </c>
      <c r="AC143">
        <v>7.3418559999999999</v>
      </c>
      <c r="AD143">
        <v>8.4886379999999999</v>
      </c>
      <c r="AE143">
        <v>10.258255</v>
      </c>
      <c r="AF143">
        <v>8.6675170000000001</v>
      </c>
      <c r="AG143">
        <v>7.9023940000000001</v>
      </c>
    </row>
    <row r="144" spans="1:33" x14ac:dyDescent="0.25">
      <c r="A144" s="1">
        <v>44195</v>
      </c>
      <c r="B144">
        <v>8.4932219999999994</v>
      </c>
      <c r="C144">
        <v>9.2273599999999991</v>
      </c>
      <c r="D144">
        <v>8.8320849999999993</v>
      </c>
      <c r="E144">
        <v>8.7655899999999995</v>
      </c>
      <c r="F144">
        <v>9.5844199999999997</v>
      </c>
      <c r="G144">
        <v>9.7099569999999993</v>
      </c>
      <c r="H144">
        <v>11.248956</v>
      </c>
      <c r="I144">
        <v>9.1094159999999995</v>
      </c>
      <c r="J144">
        <v>7.2577585999999998</v>
      </c>
      <c r="K144">
        <v>8.4244210000000006</v>
      </c>
      <c r="L144">
        <v>8.3291039999999992</v>
      </c>
      <c r="M144">
        <v>9.5493009999999998</v>
      </c>
      <c r="N144">
        <v>8.7491009999999996</v>
      </c>
      <c r="O144">
        <v>8.4110154999999995</v>
      </c>
      <c r="P144">
        <v>8.4702099999999998</v>
      </c>
      <c r="Q144">
        <v>9.3671950000000006</v>
      </c>
      <c r="R144">
        <v>8.4422750000000004</v>
      </c>
      <c r="S144">
        <v>5.9751060000000003</v>
      </c>
      <c r="T144">
        <v>8.3728510000000007</v>
      </c>
      <c r="U144">
        <v>8.0779270000000007</v>
      </c>
      <c r="V144">
        <v>8.579034</v>
      </c>
      <c r="W144">
        <v>8.936788</v>
      </c>
      <c r="X144">
        <v>8.6650550000000006</v>
      </c>
      <c r="Y144">
        <v>7.4861180000000003</v>
      </c>
      <c r="Z144">
        <v>8.2335829999999994</v>
      </c>
      <c r="AA144">
        <v>7.9368587000000002</v>
      </c>
      <c r="AB144">
        <v>7.4875835999999998</v>
      </c>
      <c r="AC144">
        <v>7.5459519999999998</v>
      </c>
      <c r="AD144">
        <v>8.3641740000000002</v>
      </c>
      <c r="AE144">
        <v>9.5749650000000006</v>
      </c>
      <c r="AF144">
        <v>8.4932940000000006</v>
      </c>
      <c r="AG144">
        <v>7.644895</v>
      </c>
    </row>
    <row r="145" spans="1:33" x14ac:dyDescent="0.25">
      <c r="A145" s="1">
        <v>44196</v>
      </c>
      <c r="B145">
        <v>8.7083180000000002</v>
      </c>
      <c r="C145">
        <v>9.3202590000000001</v>
      </c>
      <c r="D145">
        <v>8.9392250000000004</v>
      </c>
      <c r="E145">
        <v>8.9029190000000007</v>
      </c>
      <c r="F145">
        <v>9.6606229999999993</v>
      </c>
      <c r="G145">
        <v>9.7385439999999992</v>
      </c>
      <c r="H145">
        <v>11.196358999999999</v>
      </c>
      <c r="I145">
        <v>9.3855295000000005</v>
      </c>
      <c r="J145">
        <v>7.6121309999999998</v>
      </c>
      <c r="K145">
        <v>8.4979139999999997</v>
      </c>
      <c r="L145">
        <v>8.43309</v>
      </c>
      <c r="M145">
        <v>9.5835019999999993</v>
      </c>
      <c r="N145">
        <v>8.8008980000000001</v>
      </c>
      <c r="O145">
        <v>8.5150020000000008</v>
      </c>
      <c r="P145">
        <v>8.5400969999999994</v>
      </c>
      <c r="Q145">
        <v>9.3942709999999998</v>
      </c>
      <c r="R145">
        <v>8.5011379999999992</v>
      </c>
      <c r="S145">
        <v>6.3832535999999998</v>
      </c>
      <c r="T145">
        <v>8.4368569999999998</v>
      </c>
      <c r="U145">
        <v>8.2209489999999992</v>
      </c>
      <c r="V145">
        <v>8.7622339999999994</v>
      </c>
      <c r="W145">
        <v>8.9293639999999996</v>
      </c>
      <c r="X145">
        <v>8.9096630000000001</v>
      </c>
      <c r="Y145">
        <v>7.7362226999999999</v>
      </c>
      <c r="Z145">
        <v>8.3304930000000006</v>
      </c>
      <c r="AA145">
        <v>8.0554740000000002</v>
      </c>
      <c r="AB145">
        <v>7.6958612999999998</v>
      </c>
      <c r="AC145">
        <v>7.7912325999999998</v>
      </c>
      <c r="AD145">
        <v>8.4305280000000007</v>
      </c>
      <c r="AE145">
        <v>9.7435550000000006</v>
      </c>
      <c r="AF145">
        <v>8.4858910000000005</v>
      </c>
      <c r="AG145">
        <v>7.8761305999999998</v>
      </c>
    </row>
    <row r="146" spans="1:33" x14ac:dyDescent="0.25">
      <c r="A146" s="1">
        <v>44197</v>
      </c>
      <c r="B146">
        <v>8.6151389999999992</v>
      </c>
      <c r="C146">
        <v>9.2560549999999999</v>
      </c>
      <c r="D146">
        <v>8.9269010000000009</v>
      </c>
      <c r="E146">
        <v>8.8735649999999993</v>
      </c>
      <c r="F146">
        <v>9.5602979999999995</v>
      </c>
      <c r="G146">
        <v>9.6758810000000004</v>
      </c>
      <c r="H146">
        <v>11.057426</v>
      </c>
      <c r="I146">
        <v>9.3206419999999994</v>
      </c>
      <c r="J146">
        <v>7.6145959999999997</v>
      </c>
      <c r="K146">
        <v>8.4949670000000008</v>
      </c>
      <c r="L146">
        <v>8.3862269999999999</v>
      </c>
      <c r="M146">
        <v>9.5348000000000006</v>
      </c>
      <c r="N146">
        <v>8.7770840000000003</v>
      </c>
      <c r="O146">
        <v>8.4665330000000001</v>
      </c>
      <c r="P146">
        <v>8.5368200000000005</v>
      </c>
      <c r="Q146">
        <v>9.3406830000000003</v>
      </c>
      <c r="R146">
        <v>8.4563629999999996</v>
      </c>
      <c r="S146">
        <v>6.2627616000000002</v>
      </c>
      <c r="T146">
        <v>8.4202150000000007</v>
      </c>
      <c r="U146">
        <v>8.1715579999999992</v>
      </c>
      <c r="V146">
        <v>8.6876540000000002</v>
      </c>
      <c r="W146">
        <v>8.8465749999999996</v>
      </c>
      <c r="X146">
        <v>8.8003490000000006</v>
      </c>
      <c r="Y146">
        <v>7.8281729999999996</v>
      </c>
      <c r="Z146">
        <v>8.3091799999999996</v>
      </c>
      <c r="AA146">
        <v>8.0404730000000004</v>
      </c>
      <c r="AB146">
        <v>7.7713739999999998</v>
      </c>
      <c r="AC146">
        <v>7.5258139999999996</v>
      </c>
      <c r="AD146">
        <v>8.3997949999999992</v>
      </c>
      <c r="AE146">
        <v>9.5655169999999998</v>
      </c>
      <c r="AF146">
        <v>8.3393955000000002</v>
      </c>
      <c r="AG146">
        <v>7.8108095999999998</v>
      </c>
    </row>
    <row r="147" spans="1:33" x14ac:dyDescent="0.25">
      <c r="A147" s="1">
        <v>44198</v>
      </c>
      <c r="B147">
        <v>8.6575690000000005</v>
      </c>
      <c r="C147">
        <v>9.2378169999999997</v>
      </c>
      <c r="D147">
        <v>8.9138940000000009</v>
      </c>
      <c r="E147">
        <v>8.8495749999999997</v>
      </c>
      <c r="F147">
        <v>9.5818440000000002</v>
      </c>
      <c r="G147">
        <v>9.6325950000000002</v>
      </c>
      <c r="H147">
        <v>10.956708000000001</v>
      </c>
      <c r="I147">
        <v>9.3877550000000003</v>
      </c>
      <c r="J147">
        <v>7.5923179999999997</v>
      </c>
      <c r="K147">
        <v>8.4589920000000003</v>
      </c>
      <c r="L147">
        <v>8.3446899999999999</v>
      </c>
      <c r="M147">
        <v>9.4826765000000002</v>
      </c>
      <c r="N147">
        <v>8.7182279999999999</v>
      </c>
      <c r="O147">
        <v>8.4476499999999994</v>
      </c>
      <c r="P147">
        <v>8.4914310000000004</v>
      </c>
      <c r="Q147">
        <v>9.2894679999999994</v>
      </c>
      <c r="R147">
        <v>8.4307575000000003</v>
      </c>
      <c r="S147">
        <v>6.3317904</v>
      </c>
      <c r="T147">
        <v>8.3680850000000007</v>
      </c>
      <c r="U147">
        <v>8.1887720000000002</v>
      </c>
      <c r="V147">
        <v>8.6471359999999997</v>
      </c>
      <c r="W147">
        <v>8.9589029999999994</v>
      </c>
      <c r="X147">
        <v>8.76126</v>
      </c>
      <c r="Y147">
        <v>7.7654540000000001</v>
      </c>
      <c r="Z147">
        <v>8.2424850000000003</v>
      </c>
      <c r="AA147">
        <v>8.014132</v>
      </c>
      <c r="AB147">
        <v>7.7609468000000001</v>
      </c>
      <c r="AC147">
        <v>7.4105926000000002</v>
      </c>
      <c r="AD147">
        <v>8.3549720000000001</v>
      </c>
      <c r="AE147">
        <v>9.9639220000000002</v>
      </c>
      <c r="AF147">
        <v>8.1982359999999996</v>
      </c>
      <c r="AG147">
        <v>7.7776522999999997</v>
      </c>
    </row>
    <row r="148" spans="1:33" x14ac:dyDescent="0.25">
      <c r="A148" s="1">
        <v>44199</v>
      </c>
      <c r="B148">
        <v>8.9163160000000001</v>
      </c>
      <c r="C148">
        <v>9.3178509999999992</v>
      </c>
      <c r="D148">
        <v>9.0061689999999999</v>
      </c>
      <c r="E148">
        <v>8.9936039999999995</v>
      </c>
      <c r="F148">
        <v>9.7433080000000007</v>
      </c>
      <c r="G148">
        <v>9.6713459999999998</v>
      </c>
      <c r="H148">
        <v>11.024652</v>
      </c>
      <c r="I148">
        <v>9.7219630000000006</v>
      </c>
      <c r="J148">
        <v>7.9118040000000001</v>
      </c>
      <c r="K148">
        <v>8.5366210000000002</v>
      </c>
      <c r="L148">
        <v>8.4390169999999998</v>
      </c>
      <c r="M148">
        <v>9.5424279999999992</v>
      </c>
      <c r="N148">
        <v>8.7861089999999997</v>
      </c>
      <c r="O148">
        <v>8.5556190000000001</v>
      </c>
      <c r="P148">
        <v>8.5665040000000001</v>
      </c>
      <c r="Q148">
        <v>9.3222269999999998</v>
      </c>
      <c r="R148">
        <v>8.5101499999999994</v>
      </c>
      <c r="S148">
        <v>6.5890883999999996</v>
      </c>
      <c r="T148">
        <v>8.4484860000000008</v>
      </c>
      <c r="U148">
        <v>8.2832139999999992</v>
      </c>
      <c r="V148">
        <v>8.7020440000000008</v>
      </c>
      <c r="W148">
        <v>9.0028330000000008</v>
      </c>
      <c r="X148">
        <v>8.8056269999999994</v>
      </c>
      <c r="Y148">
        <v>7.8219209999999997</v>
      </c>
      <c r="Z148">
        <v>8.3524065000000007</v>
      </c>
      <c r="AA148">
        <v>8.1054300000000001</v>
      </c>
      <c r="AB148">
        <v>7.867953</v>
      </c>
      <c r="AC148">
        <v>7.4992656999999996</v>
      </c>
      <c r="AD148">
        <v>8.4252479999999998</v>
      </c>
      <c r="AE148">
        <v>10.426553</v>
      </c>
      <c r="AF148">
        <v>8.1621900000000007</v>
      </c>
      <c r="AG148">
        <v>8.0129000000000001</v>
      </c>
    </row>
    <row r="149" spans="1:33" x14ac:dyDescent="0.25">
      <c r="A149" s="1">
        <v>44200</v>
      </c>
      <c r="B149">
        <v>9.1889439999999993</v>
      </c>
      <c r="C149">
        <v>9.4368280000000002</v>
      </c>
      <c r="D149">
        <v>9.1219909999999995</v>
      </c>
      <c r="E149">
        <v>9.2040279999999992</v>
      </c>
      <c r="F149">
        <v>9.8926250000000007</v>
      </c>
      <c r="G149">
        <v>9.8460389999999993</v>
      </c>
      <c r="H149">
        <v>11.334941000000001</v>
      </c>
      <c r="I149">
        <v>9.9197369999999996</v>
      </c>
      <c r="J149">
        <v>8.2394090000000002</v>
      </c>
      <c r="K149">
        <v>8.6625700000000005</v>
      </c>
      <c r="L149">
        <v>8.5468189999999993</v>
      </c>
      <c r="M149">
        <v>9.7200919999999993</v>
      </c>
      <c r="N149">
        <v>8.9487430000000003</v>
      </c>
      <c r="O149">
        <v>8.6401020000000006</v>
      </c>
      <c r="P149">
        <v>8.6998800000000003</v>
      </c>
      <c r="Q149">
        <v>9.4835180000000001</v>
      </c>
      <c r="R149">
        <v>8.5799129999999995</v>
      </c>
      <c r="S149">
        <v>7.1108623</v>
      </c>
      <c r="T149">
        <v>8.6063240000000008</v>
      </c>
      <c r="U149">
        <v>8.4384049999999995</v>
      </c>
      <c r="V149">
        <v>8.8244089999999993</v>
      </c>
      <c r="W149">
        <v>9.0205789999999997</v>
      </c>
      <c r="X149">
        <v>8.9151050000000005</v>
      </c>
      <c r="Y149">
        <v>7.9841847000000001</v>
      </c>
      <c r="Z149">
        <v>8.5018539999999998</v>
      </c>
      <c r="AA149">
        <v>8.2731220000000008</v>
      </c>
      <c r="AB149">
        <v>8.0265609999999992</v>
      </c>
      <c r="AC149">
        <v>7.7176460000000002</v>
      </c>
      <c r="AD149">
        <v>8.5279869999999995</v>
      </c>
      <c r="AE149">
        <v>10.621133</v>
      </c>
      <c r="AF149">
        <v>8.2013079999999992</v>
      </c>
      <c r="AG149">
        <v>8.2443969999999993</v>
      </c>
    </row>
    <row r="150" spans="1:33" x14ac:dyDescent="0.25">
      <c r="A150" s="1">
        <v>44201</v>
      </c>
      <c r="B150">
        <v>9.0882109999999994</v>
      </c>
      <c r="C150">
        <v>9.3410100000000007</v>
      </c>
      <c r="D150">
        <v>9.1697399999999991</v>
      </c>
      <c r="E150">
        <v>9.0764230000000001</v>
      </c>
      <c r="F150">
        <v>9.8533089999999994</v>
      </c>
      <c r="G150">
        <v>9.7298690000000008</v>
      </c>
      <c r="H150">
        <v>10.959661000000001</v>
      </c>
      <c r="I150">
        <v>9.7924109999999995</v>
      </c>
      <c r="J150">
        <v>8.069998</v>
      </c>
      <c r="K150">
        <v>8.6313519999999997</v>
      </c>
      <c r="L150">
        <v>8.5236440000000009</v>
      </c>
      <c r="M150">
        <v>9.5816590000000001</v>
      </c>
      <c r="N150">
        <v>8.8520199999999996</v>
      </c>
      <c r="O150">
        <v>8.6220999999999997</v>
      </c>
      <c r="P150">
        <v>8.6474390000000003</v>
      </c>
      <c r="Q150">
        <v>9.3977900000000005</v>
      </c>
      <c r="R150">
        <v>8.5763590000000001</v>
      </c>
      <c r="S150">
        <v>7.1065636000000003</v>
      </c>
      <c r="T150">
        <v>8.6558484999999994</v>
      </c>
      <c r="U150">
        <v>8.4220869999999994</v>
      </c>
      <c r="V150">
        <v>8.9471059999999998</v>
      </c>
      <c r="W150">
        <v>9.2275609999999997</v>
      </c>
      <c r="X150">
        <v>9.0269549999999992</v>
      </c>
      <c r="Y150">
        <v>7.8908800000000001</v>
      </c>
      <c r="Z150">
        <v>8.5083129999999993</v>
      </c>
      <c r="AA150">
        <v>8.2703279999999992</v>
      </c>
      <c r="AB150">
        <v>7.9783362999999996</v>
      </c>
      <c r="AC150">
        <v>7.9781326999999997</v>
      </c>
      <c r="AD150">
        <v>8.5031979999999994</v>
      </c>
      <c r="AE150">
        <v>10.169472000000001</v>
      </c>
      <c r="AF150">
        <v>8.1205119999999997</v>
      </c>
      <c r="AG150">
        <v>8.2310060000000007</v>
      </c>
    </row>
    <row r="151" spans="1:33" x14ac:dyDescent="0.25">
      <c r="A151" s="1">
        <v>44202</v>
      </c>
      <c r="B151">
        <v>8.8691224999999996</v>
      </c>
      <c r="C151">
        <v>9.2969109999999997</v>
      </c>
      <c r="D151">
        <v>9.084714</v>
      </c>
      <c r="E151">
        <v>8.9807159999999993</v>
      </c>
      <c r="F151">
        <v>9.7601659999999999</v>
      </c>
      <c r="G151">
        <v>9.6709440000000004</v>
      </c>
      <c r="H151">
        <v>10.914320999999999</v>
      </c>
      <c r="I151">
        <v>9.7572430000000008</v>
      </c>
      <c r="J151">
        <v>7.922072</v>
      </c>
      <c r="K151">
        <v>8.5993130000000004</v>
      </c>
      <c r="L151">
        <v>8.4619230000000005</v>
      </c>
      <c r="M151">
        <v>9.4880294999999997</v>
      </c>
      <c r="N151">
        <v>8.782667</v>
      </c>
      <c r="O151">
        <v>8.6000399999999999</v>
      </c>
      <c r="P151">
        <v>8.6053139999999999</v>
      </c>
      <c r="Q151">
        <v>9.3306719999999999</v>
      </c>
      <c r="R151">
        <v>8.5670330000000003</v>
      </c>
      <c r="S151">
        <v>6.8155055000000004</v>
      </c>
      <c r="T151">
        <v>8.6115239999999993</v>
      </c>
      <c r="U151">
        <v>8.3657690000000002</v>
      </c>
      <c r="V151">
        <v>8.818168</v>
      </c>
      <c r="W151">
        <v>9.4277829999999998</v>
      </c>
      <c r="X151">
        <v>8.8433430000000008</v>
      </c>
      <c r="Y151">
        <v>7.8656163000000001</v>
      </c>
      <c r="Z151">
        <v>8.469875</v>
      </c>
      <c r="AA151">
        <v>8.2310590000000001</v>
      </c>
      <c r="AB151">
        <v>7.9558735</v>
      </c>
      <c r="AC151">
        <v>8.1835009999999997</v>
      </c>
      <c r="AD151">
        <v>8.4676410000000004</v>
      </c>
      <c r="AE151">
        <v>9.7996300000000005</v>
      </c>
      <c r="AF151">
        <v>8.0606480000000005</v>
      </c>
      <c r="AG151">
        <v>8.1437980000000003</v>
      </c>
    </row>
    <row r="152" spans="1:33" x14ac:dyDescent="0.25">
      <c r="A152" s="1">
        <v>44203</v>
      </c>
      <c r="B152">
        <v>8.8473860000000002</v>
      </c>
      <c r="C152">
        <v>9.2585335000000004</v>
      </c>
      <c r="D152">
        <v>9.0354910000000004</v>
      </c>
      <c r="E152">
        <v>8.9766379999999995</v>
      </c>
      <c r="F152">
        <v>9.7401905000000006</v>
      </c>
      <c r="G152">
        <v>9.6847080000000005</v>
      </c>
      <c r="H152">
        <v>11.011343999999999</v>
      </c>
      <c r="I152">
        <v>9.6696249999999999</v>
      </c>
      <c r="J152">
        <v>7.987412</v>
      </c>
      <c r="K152">
        <v>8.6757589999999993</v>
      </c>
      <c r="L152">
        <v>8.5133989999999997</v>
      </c>
      <c r="M152">
        <v>9.4962090000000003</v>
      </c>
      <c r="N152">
        <v>8.8312919999999995</v>
      </c>
      <c r="O152">
        <v>8.6395619999999997</v>
      </c>
      <c r="P152">
        <v>8.6700890000000008</v>
      </c>
      <c r="Q152">
        <v>9.3509019999999996</v>
      </c>
      <c r="R152">
        <v>8.6328440000000004</v>
      </c>
      <c r="S152">
        <v>6.6399713</v>
      </c>
      <c r="T152">
        <v>8.6811190000000007</v>
      </c>
      <c r="U152">
        <v>8.3824450000000006</v>
      </c>
      <c r="V152">
        <v>8.9462569999999992</v>
      </c>
      <c r="W152">
        <v>9.4715290000000003</v>
      </c>
      <c r="X152">
        <v>9.0072700000000001</v>
      </c>
      <c r="Y152">
        <v>8.1079229999999995</v>
      </c>
      <c r="Z152">
        <v>8.5062110000000004</v>
      </c>
      <c r="AA152">
        <v>8.2821580000000008</v>
      </c>
      <c r="AB152">
        <v>8.1131580000000003</v>
      </c>
      <c r="AC152">
        <v>8.2028829999999999</v>
      </c>
      <c r="AD152">
        <v>8.5111869999999996</v>
      </c>
      <c r="AE152">
        <v>10.042082000000001</v>
      </c>
      <c r="AF152">
        <v>8.1071860000000004</v>
      </c>
      <c r="AG152">
        <v>8.2263500000000001</v>
      </c>
    </row>
    <row r="153" spans="1:33" x14ac:dyDescent="0.25">
      <c r="A153" s="1">
        <v>44204</v>
      </c>
      <c r="B153">
        <v>9.0474589999999999</v>
      </c>
      <c r="C153">
        <v>9.3056859999999997</v>
      </c>
      <c r="D153">
        <v>9.1297060000000005</v>
      </c>
      <c r="E153">
        <v>9.1520879999999991</v>
      </c>
      <c r="F153">
        <v>9.7838229999999999</v>
      </c>
      <c r="G153">
        <v>9.7841880000000003</v>
      </c>
      <c r="H153">
        <v>11.288921</v>
      </c>
      <c r="I153">
        <v>9.7327739999999991</v>
      </c>
      <c r="J153">
        <v>7.9942726999999998</v>
      </c>
      <c r="K153">
        <v>8.7368229999999993</v>
      </c>
      <c r="L153">
        <v>8.5678629999999991</v>
      </c>
      <c r="M153">
        <v>9.5882635000000001</v>
      </c>
      <c r="N153">
        <v>8.9363460000000003</v>
      </c>
      <c r="O153">
        <v>8.6795030000000004</v>
      </c>
      <c r="P153">
        <v>8.7446999999999999</v>
      </c>
      <c r="Q153">
        <v>9.4468910000000008</v>
      </c>
      <c r="R153">
        <v>8.6805970000000006</v>
      </c>
      <c r="S153">
        <v>6.6958957000000003</v>
      </c>
      <c r="T153">
        <v>8.8140820000000009</v>
      </c>
      <c r="U153">
        <v>8.4857150000000008</v>
      </c>
      <c r="V153">
        <v>9.1180430000000001</v>
      </c>
      <c r="W153">
        <v>9.4353149999999992</v>
      </c>
      <c r="X153">
        <v>9.1990289999999995</v>
      </c>
      <c r="Y153">
        <v>8.2418530000000008</v>
      </c>
      <c r="Z153">
        <v>8.5448219999999999</v>
      </c>
      <c r="AA153">
        <v>8.3299570000000003</v>
      </c>
      <c r="AB153">
        <v>8.2557139999999993</v>
      </c>
      <c r="AC153">
        <v>8.1319649999999992</v>
      </c>
      <c r="AD153">
        <v>8.5651550000000007</v>
      </c>
      <c r="AE153">
        <v>10.234722</v>
      </c>
      <c r="AF153">
        <v>8.1777619999999995</v>
      </c>
      <c r="AG153">
        <v>8.3275349999999992</v>
      </c>
    </row>
    <row r="154" spans="1:33" x14ac:dyDescent="0.25">
      <c r="A154" s="1">
        <v>44205</v>
      </c>
      <c r="B154">
        <v>8.9248799999999999</v>
      </c>
      <c r="C154">
        <v>9.3556699999999999</v>
      </c>
      <c r="D154">
        <v>9.2023989999999998</v>
      </c>
      <c r="E154">
        <v>9.2397639999999992</v>
      </c>
      <c r="F154">
        <v>9.8009740000000001</v>
      </c>
      <c r="G154">
        <v>9.8678159999999995</v>
      </c>
      <c r="H154">
        <v>11.489228000000001</v>
      </c>
      <c r="I154">
        <v>9.6550049999999992</v>
      </c>
      <c r="J154">
        <v>7.9665375000000003</v>
      </c>
      <c r="K154">
        <v>8.7560450000000003</v>
      </c>
      <c r="L154">
        <v>8.576587</v>
      </c>
      <c r="M154">
        <v>9.6629989999999992</v>
      </c>
      <c r="N154">
        <v>8.9937850000000008</v>
      </c>
      <c r="O154">
        <v>8.675357</v>
      </c>
      <c r="P154">
        <v>8.7765869999999993</v>
      </c>
      <c r="Q154">
        <v>9.5250649999999997</v>
      </c>
      <c r="R154">
        <v>8.6829979999999995</v>
      </c>
      <c r="S154">
        <v>6.7209149999999998</v>
      </c>
      <c r="T154">
        <v>8.8819149999999993</v>
      </c>
      <c r="U154">
        <v>8.387848</v>
      </c>
      <c r="V154">
        <v>9.1343610000000002</v>
      </c>
      <c r="W154">
        <v>9.520365</v>
      </c>
      <c r="X154">
        <v>9.2027940000000008</v>
      </c>
      <c r="Y154">
        <v>8.2175399999999996</v>
      </c>
      <c r="Z154">
        <v>8.5222979999999993</v>
      </c>
      <c r="AA154">
        <v>8.3521210000000004</v>
      </c>
      <c r="AB154">
        <v>8.2433289999999992</v>
      </c>
      <c r="AC154">
        <v>7.9144807000000004</v>
      </c>
      <c r="AD154">
        <v>8.583793</v>
      </c>
      <c r="AE154">
        <v>9.982818</v>
      </c>
      <c r="AF154">
        <v>8.2047170000000005</v>
      </c>
      <c r="AG154">
        <v>8.2621380000000002</v>
      </c>
    </row>
    <row r="155" spans="1:33" x14ac:dyDescent="0.25">
      <c r="A155" s="1">
        <v>44206</v>
      </c>
      <c r="B155">
        <v>8.9732140000000005</v>
      </c>
      <c r="C155">
        <v>9.3483710000000002</v>
      </c>
      <c r="D155">
        <v>9.19801</v>
      </c>
      <c r="E155">
        <v>9.3090309999999992</v>
      </c>
      <c r="F155">
        <v>9.8036530000000006</v>
      </c>
      <c r="G155">
        <v>9.9538849999999996</v>
      </c>
      <c r="H155">
        <v>11.612563</v>
      </c>
      <c r="I155">
        <v>9.5712510000000002</v>
      </c>
      <c r="J155">
        <v>7.8028950000000004</v>
      </c>
      <c r="K155">
        <v>8.7403820000000003</v>
      </c>
      <c r="L155">
        <v>8.5571199999999994</v>
      </c>
      <c r="M155">
        <v>9.7573899999999991</v>
      </c>
      <c r="N155">
        <v>9.0564409999999995</v>
      </c>
      <c r="O155">
        <v>8.6204680000000007</v>
      </c>
      <c r="P155">
        <v>8.7759549999999997</v>
      </c>
      <c r="Q155">
        <v>9.6056795000000008</v>
      </c>
      <c r="R155">
        <v>8.634442</v>
      </c>
      <c r="S155">
        <v>6.5179450000000001</v>
      </c>
      <c r="T155">
        <v>8.8544440000000009</v>
      </c>
      <c r="U155">
        <v>8.3662270000000003</v>
      </c>
      <c r="V155">
        <v>9.0174649999999996</v>
      </c>
      <c r="W155">
        <v>9.4911220000000007</v>
      </c>
      <c r="X155">
        <v>9.0847929999999995</v>
      </c>
      <c r="Y155">
        <v>8.0137210000000003</v>
      </c>
      <c r="Z155">
        <v>8.4556369999999994</v>
      </c>
      <c r="AA155">
        <v>8.3037349999999996</v>
      </c>
      <c r="AB155">
        <v>8.1139320000000001</v>
      </c>
      <c r="AC155">
        <v>7.7940506999999997</v>
      </c>
      <c r="AD155">
        <v>8.5668410000000002</v>
      </c>
      <c r="AE155">
        <v>9.7390039999999996</v>
      </c>
      <c r="AF155">
        <v>8.2154729999999994</v>
      </c>
      <c r="AG155">
        <v>8.1809399999999997</v>
      </c>
    </row>
    <row r="156" spans="1:33" x14ac:dyDescent="0.25">
      <c r="A156" s="1">
        <v>44207</v>
      </c>
      <c r="B156">
        <v>9.0866910000000001</v>
      </c>
      <c r="C156">
        <v>9.4738380000000006</v>
      </c>
      <c r="D156">
        <v>9.255134</v>
      </c>
      <c r="E156">
        <v>9.3877849999999992</v>
      </c>
      <c r="F156">
        <v>9.9000620000000001</v>
      </c>
      <c r="G156">
        <v>10.014766</v>
      </c>
      <c r="H156">
        <v>11.644653</v>
      </c>
      <c r="I156">
        <v>9.6555719999999994</v>
      </c>
      <c r="J156">
        <v>7.8571609999999996</v>
      </c>
      <c r="K156">
        <v>8.7522950000000002</v>
      </c>
      <c r="L156">
        <v>8.5601339999999997</v>
      </c>
      <c r="M156">
        <v>9.8174390000000002</v>
      </c>
      <c r="N156">
        <v>9.0948539999999998</v>
      </c>
      <c r="O156">
        <v>8.6374499999999994</v>
      </c>
      <c r="P156">
        <v>8.7836160000000003</v>
      </c>
      <c r="Q156">
        <v>9.6578110000000006</v>
      </c>
      <c r="R156">
        <v>8.6467860000000005</v>
      </c>
      <c r="S156">
        <v>6.63924</v>
      </c>
      <c r="T156">
        <v>8.8121390000000002</v>
      </c>
      <c r="U156">
        <v>8.2970860000000002</v>
      </c>
      <c r="V156">
        <v>9.0300809999999991</v>
      </c>
      <c r="W156">
        <v>9.3224110000000007</v>
      </c>
      <c r="X156">
        <v>9.1140469999999993</v>
      </c>
      <c r="Y156">
        <v>7.9686719999999998</v>
      </c>
      <c r="Z156">
        <v>8.4227980000000002</v>
      </c>
      <c r="AA156">
        <v>8.2754759999999994</v>
      </c>
      <c r="AB156">
        <v>8.0887860000000007</v>
      </c>
      <c r="AC156">
        <v>7.7507744000000001</v>
      </c>
      <c r="AD156">
        <v>8.5626955000000002</v>
      </c>
      <c r="AE156">
        <v>9.8092179999999995</v>
      </c>
      <c r="AF156">
        <v>8.2261950000000006</v>
      </c>
      <c r="AG156">
        <v>8.1540560000000006</v>
      </c>
    </row>
    <row r="157" spans="1:33" x14ac:dyDescent="0.25">
      <c r="A157" s="1">
        <v>44208</v>
      </c>
      <c r="B157">
        <v>9.2650269999999999</v>
      </c>
      <c r="C157">
        <v>9.5430250000000001</v>
      </c>
      <c r="D157">
        <v>9.3315210000000004</v>
      </c>
      <c r="E157">
        <v>9.4875969999999992</v>
      </c>
      <c r="F157">
        <v>9.9764409999999994</v>
      </c>
      <c r="G157">
        <v>10.099167</v>
      </c>
      <c r="H157">
        <v>11.769002</v>
      </c>
      <c r="I157">
        <v>9.7761790000000008</v>
      </c>
      <c r="J157">
        <v>7.9886090000000003</v>
      </c>
      <c r="K157">
        <v>8.787744</v>
      </c>
      <c r="L157">
        <v>8.5921330000000005</v>
      </c>
      <c r="M157">
        <v>9.910717</v>
      </c>
      <c r="N157">
        <v>9.165597</v>
      </c>
      <c r="O157">
        <v>8.6821789999999996</v>
      </c>
      <c r="P157">
        <v>8.8274019999999993</v>
      </c>
      <c r="Q157">
        <v>9.7329489999999996</v>
      </c>
      <c r="R157">
        <v>8.6811330000000009</v>
      </c>
      <c r="S157">
        <v>6.8524856999999999</v>
      </c>
      <c r="T157">
        <v>8.8581810000000001</v>
      </c>
      <c r="U157">
        <v>8.3610089999999992</v>
      </c>
      <c r="V157">
        <v>9.1269189999999991</v>
      </c>
      <c r="W157">
        <v>8.9516969999999993</v>
      </c>
      <c r="X157">
        <v>9.2450060000000001</v>
      </c>
      <c r="Y157">
        <v>7.9960712999999997</v>
      </c>
      <c r="Z157">
        <v>8.4504260000000002</v>
      </c>
      <c r="AA157">
        <v>8.2883309999999994</v>
      </c>
      <c r="AB157">
        <v>8.0766220000000004</v>
      </c>
      <c r="AC157">
        <v>7.6481823999999996</v>
      </c>
      <c r="AD157">
        <v>8.588514</v>
      </c>
      <c r="AE157">
        <v>10.019576000000001</v>
      </c>
      <c r="AF157">
        <v>8.2420629999999999</v>
      </c>
      <c r="AG157">
        <v>8.1604170000000007</v>
      </c>
    </row>
    <row r="158" spans="1:33" x14ac:dyDescent="0.25">
      <c r="A158" s="1">
        <v>44209</v>
      </c>
      <c r="B158">
        <v>9.5413350000000001</v>
      </c>
      <c r="C158">
        <v>9.7131889999999999</v>
      </c>
      <c r="D158">
        <v>9.4926250000000003</v>
      </c>
      <c r="E158">
        <v>9.6629670000000001</v>
      </c>
      <c r="F158">
        <v>10.184316000000001</v>
      </c>
      <c r="G158">
        <v>10.150577</v>
      </c>
      <c r="H158">
        <v>11.835255</v>
      </c>
      <c r="I158">
        <v>10.054486000000001</v>
      </c>
      <c r="J158">
        <v>8.3104110000000002</v>
      </c>
      <c r="K158">
        <v>8.889405</v>
      </c>
      <c r="L158">
        <v>8.7074990000000003</v>
      </c>
      <c r="M158">
        <v>10.000591999999999</v>
      </c>
      <c r="N158">
        <v>9.2509449999999998</v>
      </c>
      <c r="O158">
        <v>8.8079739999999997</v>
      </c>
      <c r="P158">
        <v>8.9338359999999994</v>
      </c>
      <c r="Q158">
        <v>9.7977889999999999</v>
      </c>
      <c r="R158">
        <v>8.785323</v>
      </c>
      <c r="S158">
        <v>7.2230353000000003</v>
      </c>
      <c r="T158">
        <v>8.9931819999999991</v>
      </c>
      <c r="U158">
        <v>8.513363</v>
      </c>
      <c r="V158">
        <v>9.2954760000000007</v>
      </c>
      <c r="W158">
        <v>8.9195320000000002</v>
      </c>
      <c r="X158">
        <v>9.4054789999999997</v>
      </c>
      <c r="Y158">
        <v>8.0604370000000003</v>
      </c>
      <c r="Z158">
        <v>8.588768</v>
      </c>
      <c r="AA158">
        <v>8.4100979999999996</v>
      </c>
      <c r="AB158">
        <v>8.1935739999999999</v>
      </c>
      <c r="AC158">
        <v>7.7022222999999999</v>
      </c>
      <c r="AD158">
        <v>8.6798690000000001</v>
      </c>
      <c r="AE158">
        <v>10.694823</v>
      </c>
      <c r="AF158">
        <v>8.3212849999999996</v>
      </c>
      <c r="AG158">
        <v>8.3365729999999996</v>
      </c>
    </row>
    <row r="159" spans="1:33" x14ac:dyDescent="0.25">
      <c r="A159" s="1">
        <v>44210</v>
      </c>
      <c r="B159">
        <v>9.8053740000000005</v>
      </c>
      <c r="C159">
        <v>9.8676469999999998</v>
      </c>
      <c r="D159">
        <v>9.7497319999999998</v>
      </c>
      <c r="E159">
        <v>9.8776720000000005</v>
      </c>
      <c r="F159">
        <v>10.339475</v>
      </c>
      <c r="G159">
        <v>10.272449999999999</v>
      </c>
      <c r="H159">
        <v>11.922280000000001</v>
      </c>
      <c r="I159">
        <v>10.350569999999999</v>
      </c>
      <c r="J159">
        <v>8.7514120000000002</v>
      </c>
      <c r="K159">
        <v>9.0836539999999992</v>
      </c>
      <c r="L159">
        <v>8.9029799999999994</v>
      </c>
      <c r="M159">
        <v>10.130713</v>
      </c>
      <c r="N159">
        <v>9.4056700000000006</v>
      </c>
      <c r="O159">
        <v>9.0183940000000007</v>
      </c>
      <c r="P159">
        <v>9.1299679999999999</v>
      </c>
      <c r="Q159">
        <v>9.9214110000000009</v>
      </c>
      <c r="R159">
        <v>8.9524889999999999</v>
      </c>
      <c r="S159">
        <v>7.7041955</v>
      </c>
      <c r="T159">
        <v>9.2131889999999999</v>
      </c>
      <c r="U159">
        <v>8.7441499999999994</v>
      </c>
      <c r="V159">
        <v>9.3498389999999993</v>
      </c>
      <c r="W159">
        <v>9.3309920000000002</v>
      </c>
      <c r="X159">
        <v>9.3606110000000005</v>
      </c>
      <c r="Y159">
        <v>8.2831770000000002</v>
      </c>
      <c r="Z159">
        <v>8.8760604999999995</v>
      </c>
      <c r="AA159">
        <v>8.6529019999999992</v>
      </c>
      <c r="AB159">
        <v>8.4439189999999993</v>
      </c>
      <c r="AC159">
        <v>7.9847774999999999</v>
      </c>
      <c r="AD159">
        <v>8.8649640000000005</v>
      </c>
      <c r="AE159">
        <v>11.657170000000001</v>
      </c>
      <c r="AF159">
        <v>8.4703719999999993</v>
      </c>
      <c r="AG159">
        <v>8.6688150000000004</v>
      </c>
    </row>
    <row r="160" spans="1:33" x14ac:dyDescent="0.25">
      <c r="A160" s="1">
        <v>44211</v>
      </c>
      <c r="B160">
        <v>9.8952480000000005</v>
      </c>
      <c r="C160">
        <v>9.897513</v>
      </c>
      <c r="D160">
        <v>9.8742180000000008</v>
      </c>
      <c r="E160">
        <v>9.9614159999999998</v>
      </c>
      <c r="F160">
        <v>10.391123</v>
      </c>
      <c r="G160">
        <v>10.354081000000001</v>
      </c>
      <c r="H160">
        <v>11.984912</v>
      </c>
      <c r="I160">
        <v>10.456904</v>
      </c>
      <c r="J160">
        <v>8.9546790000000005</v>
      </c>
      <c r="K160">
        <v>9.218394</v>
      </c>
      <c r="L160">
        <v>9.0381420000000006</v>
      </c>
      <c r="M160">
        <v>10.214774</v>
      </c>
      <c r="N160">
        <v>9.5091750000000008</v>
      </c>
      <c r="O160">
        <v>9.1356710000000003</v>
      </c>
      <c r="P160">
        <v>9.2619109999999996</v>
      </c>
      <c r="Q160">
        <v>9.9968160000000008</v>
      </c>
      <c r="R160">
        <v>9.0659949999999991</v>
      </c>
      <c r="S160">
        <v>8.0217960000000001</v>
      </c>
      <c r="T160">
        <v>9.3249809999999993</v>
      </c>
      <c r="U160">
        <v>8.9770800000000008</v>
      </c>
      <c r="V160">
        <v>9.3263855000000007</v>
      </c>
      <c r="W160">
        <v>9.6992320000000003</v>
      </c>
      <c r="X160">
        <v>9.2877449999999993</v>
      </c>
      <c r="Y160">
        <v>8.3984900000000007</v>
      </c>
      <c r="Z160">
        <v>9.1053440000000005</v>
      </c>
      <c r="AA160">
        <v>8.7975320000000004</v>
      </c>
      <c r="AB160">
        <v>8.5734100000000009</v>
      </c>
      <c r="AC160">
        <v>8.2140070000000005</v>
      </c>
      <c r="AD160">
        <v>8.9973430000000008</v>
      </c>
      <c r="AE160">
        <v>11.509105</v>
      </c>
      <c r="AF160">
        <v>8.5492410000000003</v>
      </c>
      <c r="AG160">
        <v>8.7823639999999994</v>
      </c>
    </row>
    <row r="161" spans="1:33" x14ac:dyDescent="0.25">
      <c r="A161" s="1">
        <v>44212</v>
      </c>
      <c r="B161">
        <v>10.108435999999999</v>
      </c>
      <c r="C161">
        <v>10.048867</v>
      </c>
      <c r="D161">
        <v>9.9723550000000003</v>
      </c>
      <c r="E161">
        <v>10.077724999999999</v>
      </c>
      <c r="F161">
        <v>10.597386999999999</v>
      </c>
      <c r="G161">
        <v>10.50328</v>
      </c>
      <c r="H161">
        <v>12.187735999999999</v>
      </c>
      <c r="I161">
        <v>10.677484</v>
      </c>
      <c r="J161">
        <v>9.2137829999999994</v>
      </c>
      <c r="K161">
        <v>9.3734140000000004</v>
      </c>
      <c r="L161">
        <v>9.1885840000000005</v>
      </c>
      <c r="M161">
        <v>10.370687999999999</v>
      </c>
      <c r="N161">
        <v>9.6550170000000008</v>
      </c>
      <c r="O161">
        <v>9.2505210000000009</v>
      </c>
      <c r="P161">
        <v>9.4115909999999996</v>
      </c>
      <c r="Q161">
        <v>10.136188000000001</v>
      </c>
      <c r="R161">
        <v>9.1872609999999995</v>
      </c>
      <c r="S161">
        <v>8.2914840000000005</v>
      </c>
      <c r="T161">
        <v>9.4473479999999999</v>
      </c>
      <c r="U161">
        <v>9.1266060000000007</v>
      </c>
      <c r="V161">
        <v>9.5026700000000002</v>
      </c>
      <c r="W161">
        <v>10.150859000000001</v>
      </c>
      <c r="X161">
        <v>9.5290575000000004</v>
      </c>
      <c r="Y161">
        <v>8.6471900000000002</v>
      </c>
      <c r="Z161">
        <v>9.3258770000000002</v>
      </c>
      <c r="AA161">
        <v>8.9638100000000005</v>
      </c>
      <c r="AB161">
        <v>8.7740965000000006</v>
      </c>
      <c r="AC161">
        <v>8.5643930000000008</v>
      </c>
      <c r="AD161">
        <v>9.1377980000000001</v>
      </c>
      <c r="AE161">
        <v>12.013714</v>
      </c>
      <c r="AF161">
        <v>8.6635469999999994</v>
      </c>
      <c r="AG161">
        <v>8.9440249999999999</v>
      </c>
    </row>
    <row r="162" spans="1:33" x14ac:dyDescent="0.25">
      <c r="A162" s="1">
        <v>44213</v>
      </c>
      <c r="B162">
        <v>10.336086</v>
      </c>
      <c r="C162">
        <v>10.271925</v>
      </c>
      <c r="D162">
        <v>10.093432</v>
      </c>
      <c r="E162">
        <v>10.234211</v>
      </c>
      <c r="F162">
        <v>10.810333999999999</v>
      </c>
      <c r="G162">
        <v>10.672475</v>
      </c>
      <c r="H162">
        <v>12.357517</v>
      </c>
      <c r="I162">
        <v>10.998614999999999</v>
      </c>
      <c r="J162">
        <v>9.5240729999999996</v>
      </c>
      <c r="K162">
        <v>9.5616970000000006</v>
      </c>
      <c r="L162">
        <v>9.3709969999999991</v>
      </c>
      <c r="M162">
        <v>10.537039</v>
      </c>
      <c r="N162">
        <v>9.8258650000000003</v>
      </c>
      <c r="O162">
        <v>9.4128065000000003</v>
      </c>
      <c r="P162">
        <v>9.5923350000000003</v>
      </c>
      <c r="Q162">
        <v>10.297938</v>
      </c>
      <c r="R162">
        <v>9.3449430000000007</v>
      </c>
      <c r="S162">
        <v>8.5677369999999993</v>
      </c>
      <c r="T162">
        <v>9.6504720000000006</v>
      </c>
      <c r="U162">
        <v>9.3864070000000002</v>
      </c>
      <c r="V162">
        <v>9.7849699999999995</v>
      </c>
      <c r="W162">
        <v>10.403926999999999</v>
      </c>
      <c r="X162">
        <v>9.8761779999999995</v>
      </c>
      <c r="Y162">
        <v>9.0244440000000008</v>
      </c>
      <c r="Z162">
        <v>9.5703309999999995</v>
      </c>
      <c r="AA162">
        <v>9.1679630000000003</v>
      </c>
      <c r="AB162">
        <v>9.089321</v>
      </c>
      <c r="AC162">
        <v>8.962294</v>
      </c>
      <c r="AD162">
        <v>9.3043580000000006</v>
      </c>
      <c r="AE162">
        <v>12.413905</v>
      </c>
      <c r="AF162">
        <v>8.8068670000000004</v>
      </c>
      <c r="AG162">
        <v>9.1824879999999993</v>
      </c>
    </row>
    <row r="163" spans="1:33" x14ac:dyDescent="0.25">
      <c r="A163" s="1">
        <v>44214</v>
      </c>
      <c r="B163">
        <v>10.441432000000001</v>
      </c>
      <c r="C163">
        <v>10.395904</v>
      </c>
      <c r="D163">
        <v>10.137575999999999</v>
      </c>
      <c r="E163">
        <v>10.294828000000001</v>
      </c>
      <c r="F163">
        <v>10.927218</v>
      </c>
      <c r="G163">
        <v>10.811355000000001</v>
      </c>
      <c r="H163">
        <v>12.396939</v>
      </c>
      <c r="I163">
        <v>11.133025999999999</v>
      </c>
      <c r="J163">
        <v>9.7416889999999992</v>
      </c>
      <c r="K163">
        <v>9.7223170000000003</v>
      </c>
      <c r="L163">
        <v>9.5329239999999995</v>
      </c>
      <c r="M163">
        <v>10.60093</v>
      </c>
      <c r="N163">
        <v>9.9049410000000009</v>
      </c>
      <c r="O163">
        <v>9.5119989999999994</v>
      </c>
      <c r="P163">
        <v>9.7353559999999995</v>
      </c>
      <c r="Q163">
        <v>10.391574</v>
      </c>
      <c r="R163">
        <v>9.4713449999999995</v>
      </c>
      <c r="S163">
        <v>8.9116300000000006</v>
      </c>
      <c r="T163">
        <v>9.8817280000000007</v>
      </c>
      <c r="U163">
        <v>9.5258389999999995</v>
      </c>
      <c r="V163">
        <v>10.163409</v>
      </c>
      <c r="W163">
        <v>10.627003999999999</v>
      </c>
      <c r="X163">
        <v>10.272119999999999</v>
      </c>
      <c r="Y163">
        <v>9.3475199999999994</v>
      </c>
      <c r="Z163">
        <v>9.7892700000000001</v>
      </c>
      <c r="AA163">
        <v>9.3647760000000009</v>
      </c>
      <c r="AB163">
        <v>9.36416</v>
      </c>
      <c r="AC163">
        <v>9.2214270000000003</v>
      </c>
      <c r="AD163">
        <v>9.4611009999999993</v>
      </c>
      <c r="AE163">
        <v>12.4067545</v>
      </c>
      <c r="AF163">
        <v>8.9699290000000005</v>
      </c>
      <c r="AG163">
        <v>9.3925809999999998</v>
      </c>
    </row>
    <row r="164" spans="1:33" x14ac:dyDescent="0.25">
      <c r="A164" s="1">
        <v>44215</v>
      </c>
      <c r="B164">
        <v>9.6751640000000005</v>
      </c>
      <c r="C164">
        <v>10.032866500000001</v>
      </c>
      <c r="D164">
        <v>9.825545</v>
      </c>
      <c r="E164">
        <v>9.8547930000000008</v>
      </c>
      <c r="F164">
        <v>10.335456000000001</v>
      </c>
      <c r="G164">
        <v>10.418214000000001</v>
      </c>
      <c r="H164">
        <v>11.600250000000001</v>
      </c>
      <c r="I164">
        <v>10.052023</v>
      </c>
      <c r="J164">
        <v>9.0799090000000007</v>
      </c>
      <c r="K164">
        <v>9.4968789999999998</v>
      </c>
      <c r="L164">
        <v>9.3443229999999993</v>
      </c>
      <c r="M164">
        <v>10.150790000000001</v>
      </c>
      <c r="N164">
        <v>9.6350259999999999</v>
      </c>
      <c r="O164">
        <v>9.3928480000000008</v>
      </c>
      <c r="P164">
        <v>9.5132910000000006</v>
      </c>
      <c r="Q164">
        <v>10.089765</v>
      </c>
      <c r="R164">
        <v>9.3301049999999996</v>
      </c>
      <c r="S164">
        <v>8.3656039999999994</v>
      </c>
      <c r="T164">
        <v>9.6582399999999993</v>
      </c>
      <c r="U164">
        <v>9.3177640000000004</v>
      </c>
      <c r="V164">
        <v>9.9273249999999997</v>
      </c>
      <c r="W164">
        <v>10.636549</v>
      </c>
      <c r="X164">
        <v>10.017647999999999</v>
      </c>
      <c r="Y164">
        <v>9.1363040000000009</v>
      </c>
      <c r="Z164">
        <v>9.5271039999999996</v>
      </c>
      <c r="AA164">
        <v>9.2098054999999999</v>
      </c>
      <c r="AB164">
        <v>9.1667529999999999</v>
      </c>
      <c r="AC164">
        <v>8.8095009999999991</v>
      </c>
      <c r="AD164">
        <v>9.3201929999999997</v>
      </c>
      <c r="AE164">
        <v>11.121998</v>
      </c>
      <c r="AF164">
        <v>8.9375660000000003</v>
      </c>
      <c r="AG164">
        <v>8.9557459999999995</v>
      </c>
    </row>
    <row r="165" spans="1:33" x14ac:dyDescent="0.25">
      <c r="A165" s="1">
        <v>44216</v>
      </c>
      <c r="B165">
        <v>9.5897349999999992</v>
      </c>
      <c r="C165">
        <v>9.8308879999999998</v>
      </c>
      <c r="D165">
        <v>9.6098510000000008</v>
      </c>
      <c r="E165">
        <v>9.750883</v>
      </c>
      <c r="F165">
        <v>10.358703999999999</v>
      </c>
      <c r="G165">
        <v>10.456716</v>
      </c>
      <c r="H165">
        <v>12.568949999999999</v>
      </c>
      <c r="I165">
        <v>9.918488</v>
      </c>
      <c r="J165">
        <v>8.6770735000000005</v>
      </c>
      <c r="K165">
        <v>9.4139420000000005</v>
      </c>
      <c r="L165">
        <v>9.2833810000000003</v>
      </c>
      <c r="M165">
        <v>10.268689</v>
      </c>
      <c r="N165">
        <v>9.6389289999999992</v>
      </c>
      <c r="O165">
        <v>9.2858479999999997</v>
      </c>
      <c r="P165">
        <v>9.4257120000000008</v>
      </c>
      <c r="Q165">
        <v>10.138978</v>
      </c>
      <c r="R165">
        <v>9.3214469999999992</v>
      </c>
      <c r="S165">
        <v>7.34267</v>
      </c>
      <c r="T165">
        <v>9.5480490000000007</v>
      </c>
      <c r="U165">
        <v>9.108117</v>
      </c>
      <c r="V165">
        <v>9.7720990000000008</v>
      </c>
      <c r="W165">
        <v>10.426803</v>
      </c>
      <c r="X165">
        <v>9.8490389999999994</v>
      </c>
      <c r="Y165">
        <v>8.7758859999999999</v>
      </c>
      <c r="Z165">
        <v>9.3062170000000002</v>
      </c>
      <c r="AA165">
        <v>9.0506069999999994</v>
      </c>
      <c r="AB165">
        <v>8.9122319999999995</v>
      </c>
      <c r="AC165">
        <v>8.4512490000000007</v>
      </c>
      <c r="AD165">
        <v>9.2663764999999998</v>
      </c>
      <c r="AE165">
        <v>10.390442</v>
      </c>
      <c r="AF165">
        <v>8.8666889999999992</v>
      </c>
      <c r="AG165">
        <v>8.8413280000000007</v>
      </c>
    </row>
    <row r="166" spans="1:33" x14ac:dyDescent="0.25">
      <c r="A166" s="1">
        <v>44217</v>
      </c>
      <c r="B166">
        <v>9.6877929999999992</v>
      </c>
      <c r="C166">
        <v>10.027668</v>
      </c>
      <c r="D166">
        <v>9.473198</v>
      </c>
      <c r="E166">
        <v>9.7285240000000002</v>
      </c>
      <c r="F166">
        <v>10.507462</v>
      </c>
      <c r="G166">
        <v>10.591298999999999</v>
      </c>
      <c r="H166">
        <v>12.837749000000001</v>
      </c>
      <c r="I166">
        <v>10.004320999999999</v>
      </c>
      <c r="J166">
        <v>8.5775810000000003</v>
      </c>
      <c r="K166">
        <v>9.452</v>
      </c>
      <c r="L166">
        <v>9.2592800000000004</v>
      </c>
      <c r="M166">
        <v>10.351164000000001</v>
      </c>
      <c r="N166">
        <v>9.6980179999999994</v>
      </c>
      <c r="O166">
        <v>9.2910880000000002</v>
      </c>
      <c r="P166">
        <v>9.4543479999999995</v>
      </c>
      <c r="Q166">
        <v>10.243887000000001</v>
      </c>
      <c r="R166">
        <v>9.358886</v>
      </c>
      <c r="S166">
        <v>6.9333229999999997</v>
      </c>
      <c r="T166">
        <v>9.5604315</v>
      </c>
      <c r="U166">
        <v>9.0362159999999996</v>
      </c>
      <c r="V166">
        <v>9.9035899999999994</v>
      </c>
      <c r="W166">
        <v>10.159554999999999</v>
      </c>
      <c r="X166">
        <v>10.001486</v>
      </c>
      <c r="Y166">
        <v>8.6676780000000004</v>
      </c>
      <c r="Z166">
        <v>9.1780690000000007</v>
      </c>
      <c r="AA166">
        <v>8.9976409999999998</v>
      </c>
      <c r="AB166">
        <v>8.8289919999999995</v>
      </c>
      <c r="AC166">
        <v>8.3457349999999995</v>
      </c>
      <c r="AD166">
        <v>9.2571960000000004</v>
      </c>
      <c r="AE166">
        <v>10.218705</v>
      </c>
      <c r="AF166">
        <v>8.8718229999999991</v>
      </c>
      <c r="AG166">
        <v>8.8959320000000002</v>
      </c>
    </row>
    <row r="167" spans="1:33" x14ac:dyDescent="0.25">
      <c r="A167" s="1">
        <v>44218</v>
      </c>
      <c r="B167">
        <v>9.7083844999999993</v>
      </c>
      <c r="C167">
        <v>10.20238</v>
      </c>
      <c r="D167">
        <v>9.5411750000000008</v>
      </c>
      <c r="E167">
        <v>9.7897079999999992</v>
      </c>
      <c r="F167">
        <v>10.625041</v>
      </c>
      <c r="G167">
        <v>10.738103000000001</v>
      </c>
      <c r="H167">
        <v>13.122819</v>
      </c>
      <c r="I167">
        <v>10.011291999999999</v>
      </c>
      <c r="J167">
        <v>8.6426660000000002</v>
      </c>
      <c r="K167">
        <v>9.4810680000000005</v>
      </c>
      <c r="L167">
        <v>9.2604430000000004</v>
      </c>
      <c r="M167">
        <v>10.509582</v>
      </c>
      <c r="N167">
        <v>9.8112750000000002</v>
      </c>
      <c r="O167">
        <v>9.3144829999999992</v>
      </c>
      <c r="P167">
        <v>9.5089129999999997</v>
      </c>
      <c r="Q167">
        <v>10.372192</v>
      </c>
      <c r="R167">
        <v>9.3495919999999995</v>
      </c>
      <c r="S167">
        <v>7.0796533000000004</v>
      </c>
      <c r="T167">
        <v>9.6064469999999993</v>
      </c>
      <c r="U167">
        <v>9.0720550000000006</v>
      </c>
      <c r="V167">
        <v>9.9400010000000005</v>
      </c>
      <c r="W167">
        <v>9.9401130000000002</v>
      </c>
      <c r="X167">
        <v>10.049856999999999</v>
      </c>
      <c r="Y167">
        <v>8.6633624999999999</v>
      </c>
      <c r="Z167">
        <v>9.1269189999999991</v>
      </c>
      <c r="AA167">
        <v>8.9808640000000004</v>
      </c>
      <c r="AB167">
        <v>8.8150739999999992</v>
      </c>
      <c r="AC167">
        <v>8.2899130000000003</v>
      </c>
      <c r="AD167">
        <v>9.2568079999999995</v>
      </c>
      <c r="AE167">
        <v>10.348337000000001</v>
      </c>
      <c r="AF167">
        <v>8.8940420000000007</v>
      </c>
      <c r="AG167">
        <v>8.9142650000000003</v>
      </c>
    </row>
    <row r="168" spans="1:33" x14ac:dyDescent="0.25">
      <c r="A168" s="1">
        <v>44219</v>
      </c>
      <c r="B168">
        <v>9.6937689999999996</v>
      </c>
      <c r="C168">
        <v>10.259168000000001</v>
      </c>
      <c r="D168">
        <v>9.6550045000000004</v>
      </c>
      <c r="E168">
        <v>9.8047494999999998</v>
      </c>
      <c r="F168">
        <v>10.690286</v>
      </c>
      <c r="G168">
        <v>10.708638000000001</v>
      </c>
      <c r="H168">
        <v>12.630959499999999</v>
      </c>
      <c r="I168">
        <v>10.061921999999999</v>
      </c>
      <c r="J168">
        <v>8.6609440000000006</v>
      </c>
      <c r="K168">
        <v>9.5084490000000006</v>
      </c>
      <c r="L168">
        <v>9.237641</v>
      </c>
      <c r="M168">
        <v>10.477292</v>
      </c>
      <c r="N168">
        <v>9.7858450000000001</v>
      </c>
      <c r="O168">
        <v>9.3448100000000007</v>
      </c>
      <c r="P168">
        <v>9.5219909999999999</v>
      </c>
      <c r="Q168">
        <v>10.344189</v>
      </c>
      <c r="R168">
        <v>9.3718669999999999</v>
      </c>
      <c r="S168">
        <v>7.2931039999999996</v>
      </c>
      <c r="T168">
        <v>9.6085860000000007</v>
      </c>
      <c r="U168">
        <v>9.0664359999999995</v>
      </c>
      <c r="V168">
        <v>9.9334579999999999</v>
      </c>
      <c r="W168">
        <v>9.6145370000000003</v>
      </c>
      <c r="X168">
        <v>10.00093</v>
      </c>
      <c r="Y168">
        <v>8.5186290000000007</v>
      </c>
      <c r="Z168">
        <v>9.0330879999999993</v>
      </c>
      <c r="AA168">
        <v>8.9531410000000005</v>
      </c>
      <c r="AB168">
        <v>8.7874949999999998</v>
      </c>
      <c r="AC168">
        <v>7.9445971999999996</v>
      </c>
      <c r="AD168">
        <v>9.2368400000000008</v>
      </c>
      <c r="AE168">
        <v>10.630063</v>
      </c>
      <c r="AF168">
        <v>8.9018730000000001</v>
      </c>
      <c r="AG168">
        <v>8.9321579999999994</v>
      </c>
    </row>
    <row r="169" spans="1:33" x14ac:dyDescent="0.25">
      <c r="A169" s="1">
        <v>44220</v>
      </c>
      <c r="B169">
        <v>9.3424019999999999</v>
      </c>
      <c r="C169">
        <v>10.078666</v>
      </c>
      <c r="D169">
        <v>9.6381379999999996</v>
      </c>
      <c r="E169">
        <v>9.6887969999999992</v>
      </c>
      <c r="F169">
        <v>10.427234</v>
      </c>
      <c r="G169">
        <v>10.681419</v>
      </c>
      <c r="H169">
        <v>12.574361</v>
      </c>
      <c r="I169">
        <v>9.7262140000000006</v>
      </c>
      <c r="J169">
        <v>8.5392539999999997</v>
      </c>
      <c r="K169">
        <v>9.4532710000000009</v>
      </c>
      <c r="L169">
        <v>9.1922010000000007</v>
      </c>
      <c r="M169">
        <v>10.469993000000001</v>
      </c>
      <c r="N169">
        <v>9.7786000000000008</v>
      </c>
      <c r="O169">
        <v>9.2994420000000009</v>
      </c>
      <c r="P169">
        <v>9.4840689999999999</v>
      </c>
      <c r="Q169">
        <v>10.359721</v>
      </c>
      <c r="R169">
        <v>9.3137410000000003</v>
      </c>
      <c r="S169">
        <v>7.2387423999999996</v>
      </c>
      <c r="T169">
        <v>9.5429770000000005</v>
      </c>
      <c r="U169">
        <v>8.9376899999999999</v>
      </c>
      <c r="V169">
        <v>9.6316229999999994</v>
      </c>
      <c r="W169">
        <v>9.3982949999999992</v>
      </c>
      <c r="X169">
        <v>9.6754309999999997</v>
      </c>
      <c r="Y169">
        <v>8.2965739999999997</v>
      </c>
      <c r="Z169">
        <v>8.9597409999999993</v>
      </c>
      <c r="AA169">
        <v>8.8809450000000005</v>
      </c>
      <c r="AB169">
        <v>8.6489320000000003</v>
      </c>
      <c r="AC169">
        <v>7.5900610000000004</v>
      </c>
      <c r="AD169">
        <v>9.2171629999999993</v>
      </c>
      <c r="AE169">
        <v>10.300860999999999</v>
      </c>
      <c r="AF169">
        <v>8.8594050000000006</v>
      </c>
      <c r="AG169">
        <v>8.7856865000000006</v>
      </c>
    </row>
    <row r="170" spans="1:33" x14ac:dyDescent="0.25">
      <c r="A170" s="1">
        <v>44221</v>
      </c>
      <c r="B170">
        <v>8.6188190000000002</v>
      </c>
      <c r="C170">
        <v>9.9431010000000004</v>
      </c>
      <c r="D170">
        <v>9.4491680000000002</v>
      </c>
      <c r="E170">
        <v>9.3119460000000007</v>
      </c>
      <c r="F170">
        <v>9.8839790000000001</v>
      </c>
      <c r="G170">
        <v>10.327025000000001</v>
      </c>
      <c r="H170">
        <v>12.007077000000001</v>
      </c>
      <c r="I170">
        <v>8.8214489999999994</v>
      </c>
      <c r="J170">
        <v>8.1706710000000005</v>
      </c>
      <c r="K170">
        <v>9.2163009999999996</v>
      </c>
      <c r="L170">
        <v>9.0008850000000002</v>
      </c>
      <c r="M170">
        <v>10.103493</v>
      </c>
      <c r="N170">
        <v>9.5073120000000007</v>
      </c>
      <c r="O170">
        <v>9.1792890000000007</v>
      </c>
      <c r="P170">
        <v>9.2464589999999998</v>
      </c>
      <c r="Q170">
        <v>10.087172000000001</v>
      </c>
      <c r="R170">
        <v>9.1896389999999997</v>
      </c>
      <c r="S170">
        <v>7.1987814999999999</v>
      </c>
      <c r="T170">
        <v>9.2706499999999998</v>
      </c>
      <c r="U170">
        <v>8.8128119999999992</v>
      </c>
      <c r="V170">
        <v>9.2838799999999999</v>
      </c>
      <c r="W170">
        <v>9.0642150000000008</v>
      </c>
      <c r="X170">
        <v>9.3013030000000008</v>
      </c>
      <c r="Y170">
        <v>7.9259458</v>
      </c>
      <c r="Z170">
        <v>8.8068159999999995</v>
      </c>
      <c r="AA170">
        <v>8.7133669999999999</v>
      </c>
      <c r="AB170">
        <v>8.2760739999999995</v>
      </c>
      <c r="AC170">
        <v>7.3758205999999999</v>
      </c>
      <c r="AD170">
        <v>9.0830950000000001</v>
      </c>
      <c r="AE170">
        <v>9.7583549999999999</v>
      </c>
      <c r="AF170">
        <v>8.807029</v>
      </c>
      <c r="AG170">
        <v>8.4985529999999994</v>
      </c>
    </row>
    <row r="171" spans="1:33" x14ac:dyDescent="0.25">
      <c r="A171" s="1">
        <v>44222</v>
      </c>
      <c r="B171">
        <v>8.1426339999999993</v>
      </c>
      <c r="C171">
        <v>9.5727980000000006</v>
      </c>
      <c r="D171">
        <v>9.1273040000000005</v>
      </c>
      <c r="E171">
        <v>9.0032779999999999</v>
      </c>
      <c r="F171">
        <v>9.4906559999999995</v>
      </c>
      <c r="G171">
        <v>9.877561</v>
      </c>
      <c r="H171">
        <v>11.163505000000001</v>
      </c>
      <c r="I171">
        <v>8.248329</v>
      </c>
      <c r="J171">
        <v>7.3697333</v>
      </c>
      <c r="K171">
        <v>8.937818</v>
      </c>
      <c r="L171">
        <v>8.7006309999999996</v>
      </c>
      <c r="M171">
        <v>9.7649270000000001</v>
      </c>
      <c r="N171">
        <v>9.258286</v>
      </c>
      <c r="O171">
        <v>8.8725079999999998</v>
      </c>
      <c r="P171">
        <v>8.9897030000000004</v>
      </c>
      <c r="Q171">
        <v>9.7022410000000008</v>
      </c>
      <c r="R171">
        <v>8.9394030000000004</v>
      </c>
      <c r="S171">
        <v>6.1779555999999998</v>
      </c>
      <c r="T171">
        <v>8.8889929999999993</v>
      </c>
      <c r="U171">
        <v>8.4527439999999991</v>
      </c>
      <c r="V171">
        <v>8.8741710000000005</v>
      </c>
      <c r="W171">
        <v>9.2403929999999992</v>
      </c>
      <c r="X171">
        <v>8.8915520000000008</v>
      </c>
      <c r="Y171">
        <v>7.3029437000000001</v>
      </c>
      <c r="Z171">
        <v>8.518262</v>
      </c>
      <c r="AA171">
        <v>8.407273</v>
      </c>
      <c r="AB171">
        <v>7.6989970000000003</v>
      </c>
      <c r="AC171">
        <v>6.7182050000000002</v>
      </c>
      <c r="AD171">
        <v>8.8279890000000005</v>
      </c>
      <c r="AE171">
        <v>9.1530260000000006</v>
      </c>
      <c r="AF171">
        <v>8.6690035000000005</v>
      </c>
      <c r="AG171">
        <v>7.9428495999999997</v>
      </c>
    </row>
    <row r="172" spans="1:33" x14ac:dyDescent="0.25">
      <c r="A172" s="1">
        <v>44223</v>
      </c>
      <c r="B172">
        <v>8.4332905</v>
      </c>
      <c r="C172">
        <v>9.4780250000000006</v>
      </c>
      <c r="D172">
        <v>9.0970759999999995</v>
      </c>
      <c r="E172">
        <v>9.1328040000000001</v>
      </c>
      <c r="F172">
        <v>9.6055709999999994</v>
      </c>
      <c r="G172">
        <v>9.9241930000000007</v>
      </c>
      <c r="H172">
        <v>11.026569</v>
      </c>
      <c r="I172">
        <v>8.8257080000000006</v>
      </c>
      <c r="J172">
        <v>7.6482562999999999</v>
      </c>
      <c r="K172">
        <v>8.7850070000000002</v>
      </c>
      <c r="L172">
        <v>8.6785250000000005</v>
      </c>
      <c r="M172">
        <v>9.8211670000000009</v>
      </c>
      <c r="N172">
        <v>9.2215179999999997</v>
      </c>
      <c r="O172">
        <v>8.7484920000000006</v>
      </c>
      <c r="P172">
        <v>8.8668980000000008</v>
      </c>
      <c r="Q172">
        <v>9.6510610000000003</v>
      </c>
      <c r="R172">
        <v>8.7744780000000002</v>
      </c>
      <c r="S172">
        <v>6.818441</v>
      </c>
      <c r="T172">
        <v>8.7366229999999998</v>
      </c>
      <c r="U172">
        <v>8.1244610000000002</v>
      </c>
      <c r="V172">
        <v>8.694725</v>
      </c>
      <c r="W172">
        <v>8.8079560000000008</v>
      </c>
      <c r="X172">
        <v>8.6238759999999992</v>
      </c>
      <c r="Y172">
        <v>7.381596</v>
      </c>
      <c r="Z172">
        <v>8.3046465000000005</v>
      </c>
      <c r="AA172">
        <v>8.2680860000000003</v>
      </c>
      <c r="AB172">
        <v>7.5891403999999998</v>
      </c>
      <c r="AC172">
        <v>6.5637169999999996</v>
      </c>
      <c r="AD172">
        <v>8.7380689999999994</v>
      </c>
      <c r="AE172">
        <v>8.4346639999999997</v>
      </c>
      <c r="AF172">
        <v>8.4656000000000002</v>
      </c>
      <c r="AG172">
        <v>7.7880396999999997</v>
      </c>
    </row>
    <row r="173" spans="1:33" x14ac:dyDescent="0.25">
      <c r="A173" s="1">
        <v>44224</v>
      </c>
      <c r="B173">
        <v>8.6023499999999995</v>
      </c>
      <c r="C173">
        <v>9.5147239999999993</v>
      </c>
      <c r="D173">
        <v>9.2294210000000003</v>
      </c>
      <c r="E173">
        <v>9.3277579999999993</v>
      </c>
      <c r="F173">
        <v>9.7943429999999996</v>
      </c>
      <c r="G173">
        <v>9.9015640000000005</v>
      </c>
      <c r="H173">
        <v>10.846107999999999</v>
      </c>
      <c r="I173">
        <v>9.1912240000000001</v>
      </c>
      <c r="J173">
        <v>7.9644950000000003</v>
      </c>
      <c r="K173">
        <v>8.8302910000000008</v>
      </c>
      <c r="L173">
        <v>8.7658430000000003</v>
      </c>
      <c r="M173">
        <v>9.7835649999999994</v>
      </c>
      <c r="N173">
        <v>9.1706409999999998</v>
      </c>
      <c r="O173">
        <v>8.8171099999999996</v>
      </c>
      <c r="P173">
        <v>8.889348</v>
      </c>
      <c r="Q173">
        <v>9.6331740000000003</v>
      </c>
      <c r="R173">
        <v>8.8451509999999995</v>
      </c>
      <c r="S173">
        <v>7.655748</v>
      </c>
      <c r="T173">
        <v>8.7594049999999992</v>
      </c>
      <c r="U173">
        <v>8.2500330000000002</v>
      </c>
      <c r="V173">
        <v>8.8324619999999996</v>
      </c>
      <c r="W173">
        <v>8.6417169999999999</v>
      </c>
      <c r="X173">
        <v>8.8362560000000006</v>
      </c>
      <c r="Y173">
        <v>7.4801219999999997</v>
      </c>
      <c r="Z173">
        <v>8.3915019999999991</v>
      </c>
      <c r="AA173">
        <v>8.397138</v>
      </c>
      <c r="AB173">
        <v>7.7769054999999998</v>
      </c>
      <c r="AC173">
        <v>6.9360200000000001</v>
      </c>
      <c r="AD173">
        <v>8.7602539999999998</v>
      </c>
      <c r="AE173">
        <v>8.572953</v>
      </c>
      <c r="AF173">
        <v>8.5267935000000001</v>
      </c>
      <c r="AG173">
        <v>8.1180310000000002</v>
      </c>
    </row>
    <row r="174" spans="1:33" x14ac:dyDescent="0.25">
      <c r="A174" s="1">
        <v>44225</v>
      </c>
      <c r="B174">
        <v>8.6452010000000001</v>
      </c>
      <c r="C174">
        <v>9.5568694999999995</v>
      </c>
      <c r="D174">
        <v>9.3616840000000003</v>
      </c>
      <c r="E174">
        <v>9.3186239999999998</v>
      </c>
      <c r="F174">
        <v>9.8297559999999997</v>
      </c>
      <c r="G174">
        <v>9.7842780000000005</v>
      </c>
      <c r="H174">
        <v>10.648598</v>
      </c>
      <c r="I174">
        <v>9.4446569999999994</v>
      </c>
      <c r="J174">
        <v>8.3639270000000003</v>
      </c>
      <c r="K174">
        <v>8.904128</v>
      </c>
      <c r="L174">
        <v>8.8175880000000006</v>
      </c>
      <c r="M174">
        <v>9.6851680000000009</v>
      </c>
      <c r="N174">
        <v>9.1405325000000008</v>
      </c>
      <c r="O174">
        <v>8.8804459999999992</v>
      </c>
      <c r="P174">
        <v>8.9537840000000006</v>
      </c>
      <c r="Q174">
        <v>9.5551130000000004</v>
      </c>
      <c r="R174">
        <v>8.8810800000000008</v>
      </c>
      <c r="S174">
        <v>8.1693040000000003</v>
      </c>
      <c r="T174">
        <v>8.8069279999999992</v>
      </c>
      <c r="U174">
        <v>8.3759259999999998</v>
      </c>
      <c r="V174">
        <v>8.9733879999999999</v>
      </c>
      <c r="W174">
        <v>8.4913950000000007</v>
      </c>
      <c r="X174">
        <v>8.9689169999999994</v>
      </c>
      <c r="Y174">
        <v>7.3586596999999996</v>
      </c>
      <c r="Z174">
        <v>8.5661550000000002</v>
      </c>
      <c r="AA174">
        <v>8.5221405000000008</v>
      </c>
      <c r="AB174">
        <v>7.6973533999999999</v>
      </c>
      <c r="AC174">
        <v>7.5012829999999999</v>
      </c>
      <c r="AD174">
        <v>8.7993199999999998</v>
      </c>
      <c r="AE174">
        <v>9.1248389999999997</v>
      </c>
      <c r="AF174">
        <v>8.6075400000000002</v>
      </c>
      <c r="AG174">
        <v>8.4607869999999998</v>
      </c>
    </row>
    <row r="175" spans="1:33" x14ac:dyDescent="0.25">
      <c r="A175" s="1">
        <v>44226</v>
      </c>
      <c r="B175">
        <v>8.6347380000000005</v>
      </c>
      <c r="C175">
        <v>9.4679719999999996</v>
      </c>
      <c r="D175">
        <v>9.4088639999999995</v>
      </c>
      <c r="E175">
        <v>9.286289</v>
      </c>
      <c r="F175">
        <v>9.7251790000000007</v>
      </c>
      <c r="G175">
        <v>9.6836789999999997</v>
      </c>
      <c r="H175">
        <v>10.5110235</v>
      </c>
      <c r="I175">
        <v>9.4743069999999996</v>
      </c>
      <c r="J175">
        <v>8.4646170000000005</v>
      </c>
      <c r="K175">
        <v>8.9594609999999992</v>
      </c>
      <c r="L175">
        <v>8.8793570000000006</v>
      </c>
      <c r="M175">
        <v>9.6027839999999998</v>
      </c>
      <c r="N175">
        <v>9.0796670000000006</v>
      </c>
      <c r="O175">
        <v>8.9817640000000001</v>
      </c>
      <c r="P175">
        <v>8.9919080000000005</v>
      </c>
      <c r="Q175">
        <v>9.474513</v>
      </c>
      <c r="R175">
        <v>8.9460899999999999</v>
      </c>
      <c r="S175">
        <v>8.2651749999999993</v>
      </c>
      <c r="T175">
        <v>8.8048909999999996</v>
      </c>
      <c r="U175">
        <v>8.5266359999999999</v>
      </c>
      <c r="V175">
        <v>8.7539610000000003</v>
      </c>
      <c r="W175">
        <v>8.4678450000000005</v>
      </c>
      <c r="X175">
        <v>8.7081909999999993</v>
      </c>
      <c r="Y175">
        <v>7.7180141999999998</v>
      </c>
      <c r="Z175">
        <v>8.7243429999999993</v>
      </c>
      <c r="AA175">
        <v>8.7009709999999991</v>
      </c>
      <c r="AB175">
        <v>7.8059343999999999</v>
      </c>
      <c r="AC175">
        <v>8.9188589999999994</v>
      </c>
      <c r="AD175">
        <v>8.8631639999999994</v>
      </c>
      <c r="AE175">
        <v>9.8452669999999998</v>
      </c>
      <c r="AF175">
        <v>8.6215709999999994</v>
      </c>
      <c r="AG175">
        <v>8.7610139999999994</v>
      </c>
    </row>
    <row r="176" spans="1:33" x14ac:dyDescent="0.25">
      <c r="A176" s="1">
        <v>44227</v>
      </c>
      <c r="B176">
        <v>9.0987089999999995</v>
      </c>
      <c r="C176">
        <v>9.5704089999999997</v>
      </c>
      <c r="D176">
        <v>9.5198499999999999</v>
      </c>
      <c r="E176">
        <v>9.4460840000000008</v>
      </c>
      <c r="F176">
        <v>9.8818865000000002</v>
      </c>
      <c r="G176">
        <v>9.7432300000000005</v>
      </c>
      <c r="H176">
        <v>10.587365</v>
      </c>
      <c r="I176">
        <v>9.8173949999999994</v>
      </c>
      <c r="J176">
        <v>8.8015430000000006</v>
      </c>
      <c r="K176">
        <v>9.1119179999999993</v>
      </c>
      <c r="L176">
        <v>9.0463319999999996</v>
      </c>
      <c r="M176">
        <v>9.6746359999999996</v>
      </c>
      <c r="N176">
        <v>9.1632359999999995</v>
      </c>
      <c r="O176">
        <v>9.1093720000000005</v>
      </c>
      <c r="P176">
        <v>9.1325289999999999</v>
      </c>
      <c r="Q176">
        <v>9.5138250000000006</v>
      </c>
      <c r="R176">
        <v>9.0762049999999999</v>
      </c>
      <c r="S176">
        <v>8.4942840000000004</v>
      </c>
      <c r="T176">
        <v>8.8871199999999995</v>
      </c>
      <c r="U176">
        <v>9.0403110000000009</v>
      </c>
      <c r="V176">
        <v>8.7716750000000001</v>
      </c>
      <c r="W176">
        <v>8.7104330000000001</v>
      </c>
      <c r="X176">
        <v>8.7321609999999996</v>
      </c>
      <c r="Y176">
        <v>8.8525419999999997</v>
      </c>
      <c r="Z176">
        <v>9.1011220000000002</v>
      </c>
      <c r="AA176">
        <v>8.9350670000000001</v>
      </c>
      <c r="AB176">
        <v>8.6661214999999991</v>
      </c>
      <c r="AC176">
        <v>11.737316</v>
      </c>
      <c r="AD176">
        <v>9.0134100000000004</v>
      </c>
      <c r="AE176">
        <v>10.560109000000001</v>
      </c>
      <c r="AF176">
        <v>8.5448199999999996</v>
      </c>
      <c r="AG176">
        <v>9.0617190000000001</v>
      </c>
    </row>
    <row r="177" spans="1:33" x14ac:dyDescent="0.25">
      <c r="A177" s="1">
        <v>44228</v>
      </c>
      <c r="B177">
        <v>9.5720259999999993</v>
      </c>
      <c r="C177">
        <v>9.6973889999999994</v>
      </c>
      <c r="D177">
        <v>9.6843280000000007</v>
      </c>
      <c r="E177">
        <v>9.6608149999999995</v>
      </c>
      <c r="F177">
        <v>10.038755999999999</v>
      </c>
      <c r="G177">
        <v>9.8973630000000004</v>
      </c>
      <c r="H177">
        <v>10.783928</v>
      </c>
      <c r="I177">
        <v>10.226958</v>
      </c>
      <c r="J177">
        <v>9.2091469999999997</v>
      </c>
      <c r="K177">
        <v>9.3235569999999992</v>
      </c>
      <c r="L177">
        <v>9.2615409999999994</v>
      </c>
      <c r="M177">
        <v>9.8246950000000002</v>
      </c>
      <c r="N177">
        <v>9.3123310000000004</v>
      </c>
      <c r="O177">
        <v>9.2893209999999993</v>
      </c>
      <c r="P177">
        <v>9.3327279999999995</v>
      </c>
      <c r="Q177">
        <v>9.6678650000000008</v>
      </c>
      <c r="R177">
        <v>9.2606059999999992</v>
      </c>
      <c r="S177">
        <v>8.8925610000000006</v>
      </c>
      <c r="T177">
        <v>9.1085419999999999</v>
      </c>
      <c r="U177">
        <v>9.2355599999999995</v>
      </c>
      <c r="V177">
        <v>8.9712770000000006</v>
      </c>
      <c r="W177">
        <v>9.0397829999999999</v>
      </c>
      <c r="X177">
        <v>8.9317464999999991</v>
      </c>
      <c r="Y177">
        <v>11.333795</v>
      </c>
      <c r="Z177">
        <v>9.4900830000000003</v>
      </c>
      <c r="AA177">
        <v>9.2196890000000007</v>
      </c>
      <c r="AB177">
        <v>10.652226000000001</v>
      </c>
      <c r="AC177">
        <v>9.6596440000000001</v>
      </c>
      <c r="AD177">
        <v>9.2092259999999992</v>
      </c>
      <c r="AE177">
        <v>11.339634999999999</v>
      </c>
      <c r="AF177">
        <v>8.5683720000000001</v>
      </c>
      <c r="AG177">
        <v>9.349494</v>
      </c>
    </row>
    <row r="178" spans="1:33" x14ac:dyDescent="0.25">
      <c r="A178" s="1">
        <v>44229</v>
      </c>
      <c r="B178">
        <v>10.19913</v>
      </c>
      <c r="C178">
        <v>9.9287930000000006</v>
      </c>
      <c r="D178">
        <v>9.9524889999999999</v>
      </c>
      <c r="E178">
        <v>9.9197220000000002</v>
      </c>
      <c r="F178">
        <v>10.307435</v>
      </c>
      <c r="G178">
        <v>10.055885999999999</v>
      </c>
      <c r="H178">
        <v>10.908473000000001</v>
      </c>
      <c r="I178">
        <v>10.772207999999999</v>
      </c>
      <c r="J178">
        <v>9.6304759999999998</v>
      </c>
      <c r="K178">
        <v>9.5388269999999995</v>
      </c>
      <c r="L178">
        <v>9.5023180000000007</v>
      </c>
      <c r="M178">
        <v>9.9737690000000008</v>
      </c>
      <c r="N178">
        <v>9.4461200000000005</v>
      </c>
      <c r="O178">
        <v>9.4920279999999995</v>
      </c>
      <c r="P178">
        <v>9.522983</v>
      </c>
      <c r="Q178">
        <v>9.8096610000000002</v>
      </c>
      <c r="R178">
        <v>9.4657689999999999</v>
      </c>
      <c r="S178">
        <v>9.5254910000000006</v>
      </c>
      <c r="T178">
        <v>9.4325150000000004</v>
      </c>
      <c r="U178">
        <v>9.5440609999999992</v>
      </c>
      <c r="V178">
        <v>9.3447499999999994</v>
      </c>
      <c r="W178">
        <v>9.4109429999999996</v>
      </c>
      <c r="X178">
        <v>9.3378080000000008</v>
      </c>
      <c r="Y178">
        <v>10.348155</v>
      </c>
      <c r="Z178">
        <v>9.8209505000000004</v>
      </c>
      <c r="AA178">
        <v>9.5316229999999997</v>
      </c>
      <c r="AB178">
        <v>10.309885</v>
      </c>
      <c r="AC178">
        <v>10.217127</v>
      </c>
      <c r="AD178">
        <v>9.4225150000000006</v>
      </c>
      <c r="AE178">
        <v>11.7035</v>
      </c>
      <c r="AF178">
        <v>9.5247609999999998</v>
      </c>
      <c r="AG178">
        <v>9.6220619999999997</v>
      </c>
    </row>
    <row r="179" spans="1:33" x14ac:dyDescent="0.25">
      <c r="A179" s="1">
        <v>44230</v>
      </c>
      <c r="B179">
        <v>9.9593360000000004</v>
      </c>
      <c r="C179">
        <v>9.7593289999999993</v>
      </c>
      <c r="D179">
        <v>9.931457</v>
      </c>
      <c r="E179">
        <v>9.8320699999999999</v>
      </c>
      <c r="F179">
        <v>10.120134999999999</v>
      </c>
      <c r="G179">
        <v>10.0087805</v>
      </c>
      <c r="H179">
        <v>10.841652</v>
      </c>
      <c r="I179">
        <v>10.589669000000001</v>
      </c>
      <c r="J179">
        <v>9.4416569999999993</v>
      </c>
      <c r="K179">
        <v>9.5470380000000006</v>
      </c>
      <c r="L179">
        <v>9.4889779999999995</v>
      </c>
      <c r="M179">
        <v>9.8989259999999994</v>
      </c>
      <c r="N179">
        <v>9.4397269999999995</v>
      </c>
      <c r="O179">
        <v>9.4388670000000001</v>
      </c>
      <c r="P179">
        <v>9.5201519999999995</v>
      </c>
      <c r="Q179">
        <v>9.7609750000000002</v>
      </c>
      <c r="R179">
        <v>9.4575370000000003</v>
      </c>
      <c r="S179">
        <v>9.2438459999999996</v>
      </c>
      <c r="T179">
        <v>9.5039510000000007</v>
      </c>
      <c r="U179">
        <v>9.5352335000000004</v>
      </c>
      <c r="V179">
        <v>9.2861759999999993</v>
      </c>
      <c r="W179">
        <v>9.8002129999999994</v>
      </c>
      <c r="X179">
        <v>9.2733190000000008</v>
      </c>
      <c r="Y179">
        <v>9.9175004999999992</v>
      </c>
      <c r="Z179">
        <v>9.7787819999999996</v>
      </c>
      <c r="AA179">
        <v>9.5195039999999995</v>
      </c>
      <c r="AB179">
        <v>9.7937349999999999</v>
      </c>
      <c r="AC179">
        <v>10.094602</v>
      </c>
      <c r="AD179">
        <v>9.4292809999999996</v>
      </c>
      <c r="AE179">
        <v>11.6438875</v>
      </c>
      <c r="AF179">
        <v>10.637092000000001</v>
      </c>
      <c r="AG179">
        <v>9.4660440000000001</v>
      </c>
    </row>
    <row r="180" spans="1:33" x14ac:dyDescent="0.25">
      <c r="A180" s="1">
        <v>44231</v>
      </c>
      <c r="B180">
        <v>9.8600270000000005</v>
      </c>
      <c r="C180">
        <v>9.7345279999999992</v>
      </c>
      <c r="D180">
        <v>9.8188859999999991</v>
      </c>
      <c r="E180">
        <v>9.7972289999999997</v>
      </c>
      <c r="F180">
        <v>10.094279</v>
      </c>
      <c r="G180">
        <v>9.9580964999999999</v>
      </c>
      <c r="H180">
        <v>10.794422000000001</v>
      </c>
      <c r="I180">
        <v>10.472268</v>
      </c>
      <c r="J180">
        <v>9.3518819999999998</v>
      </c>
      <c r="K180">
        <v>9.5887019999999996</v>
      </c>
      <c r="L180">
        <v>9.4674019999999999</v>
      </c>
      <c r="M180">
        <v>9.8414380000000001</v>
      </c>
      <c r="N180">
        <v>9.4827549999999992</v>
      </c>
      <c r="O180">
        <v>9.4228260000000006</v>
      </c>
      <c r="P180">
        <v>9.549868</v>
      </c>
      <c r="Q180">
        <v>9.7274960000000004</v>
      </c>
      <c r="R180">
        <v>9.4838129999999996</v>
      </c>
      <c r="S180">
        <v>8.8066969999999998</v>
      </c>
      <c r="T180">
        <v>9.5212749999999993</v>
      </c>
      <c r="U180">
        <v>9.4651119999999995</v>
      </c>
      <c r="V180">
        <v>9.5278539999999996</v>
      </c>
      <c r="W180">
        <v>9.7736219999999996</v>
      </c>
      <c r="X180">
        <v>9.5672689999999996</v>
      </c>
      <c r="Y180">
        <v>9.8370979999999992</v>
      </c>
      <c r="Z180">
        <v>9.6085729999999998</v>
      </c>
      <c r="AA180">
        <v>9.481643</v>
      </c>
      <c r="AB180">
        <v>9.7269620000000003</v>
      </c>
      <c r="AC180">
        <v>9.8038720000000001</v>
      </c>
      <c r="AD180">
        <v>9.4177280000000003</v>
      </c>
      <c r="AE180">
        <v>11.572525000000001</v>
      </c>
      <c r="AF180">
        <v>10.514481999999999</v>
      </c>
      <c r="AG180">
        <v>9.3051630000000003</v>
      </c>
    </row>
    <row r="181" spans="1:33" x14ac:dyDescent="0.25">
      <c r="A181" s="1">
        <v>44232</v>
      </c>
      <c r="B181">
        <v>9.8658710000000003</v>
      </c>
      <c r="C181">
        <v>9.8219209999999997</v>
      </c>
      <c r="D181">
        <v>9.7960919999999998</v>
      </c>
      <c r="E181">
        <v>9.8833870000000008</v>
      </c>
      <c r="F181">
        <v>10.158898000000001</v>
      </c>
      <c r="G181">
        <v>10.034129999999999</v>
      </c>
      <c r="H181">
        <v>10.93784</v>
      </c>
      <c r="I181">
        <v>10.56165</v>
      </c>
      <c r="J181">
        <v>9.2311669999999992</v>
      </c>
      <c r="K181">
        <v>9.6216340000000002</v>
      </c>
      <c r="L181">
        <v>9.4826564999999992</v>
      </c>
      <c r="M181">
        <v>9.9113779999999991</v>
      </c>
      <c r="N181">
        <v>9.5545845000000007</v>
      </c>
      <c r="O181">
        <v>9.4627759999999999</v>
      </c>
      <c r="P181">
        <v>9.5918609999999997</v>
      </c>
      <c r="Q181">
        <v>9.8316300000000005</v>
      </c>
      <c r="R181">
        <v>9.5344370000000005</v>
      </c>
      <c r="S181">
        <v>8.5416240000000005</v>
      </c>
      <c r="T181">
        <v>9.6119260000000004</v>
      </c>
      <c r="U181">
        <v>9.5073760000000007</v>
      </c>
      <c r="V181">
        <v>9.7096409999999995</v>
      </c>
      <c r="W181">
        <v>9.925281</v>
      </c>
      <c r="X181">
        <v>9.722251</v>
      </c>
      <c r="Y181">
        <v>9.6416599999999999</v>
      </c>
      <c r="Z181">
        <v>9.5299610000000001</v>
      </c>
      <c r="AA181">
        <v>9.4957919999999998</v>
      </c>
      <c r="AB181">
        <v>9.5430259999999993</v>
      </c>
      <c r="AC181">
        <v>9.6313639999999996</v>
      </c>
      <c r="AD181">
        <v>9.4560375000000008</v>
      </c>
      <c r="AE181">
        <v>11.449493</v>
      </c>
      <c r="AF181">
        <v>10.312559</v>
      </c>
      <c r="AG181">
        <v>9.3327399999999994</v>
      </c>
    </row>
    <row r="182" spans="1:33" x14ac:dyDescent="0.25">
      <c r="A182" s="1">
        <v>44233</v>
      </c>
      <c r="B182">
        <v>10.044665</v>
      </c>
      <c r="C182">
        <v>9.9640500000000003</v>
      </c>
      <c r="D182">
        <v>9.9125720000000008</v>
      </c>
      <c r="E182">
        <v>10.103928</v>
      </c>
      <c r="F182">
        <v>10.305116</v>
      </c>
      <c r="G182">
        <v>10.162454</v>
      </c>
      <c r="H182">
        <v>11.213714</v>
      </c>
      <c r="I182">
        <v>10.708316</v>
      </c>
      <c r="J182">
        <v>9.3234150000000007</v>
      </c>
      <c r="K182">
        <v>9.7587709999999994</v>
      </c>
      <c r="L182">
        <v>9.594163</v>
      </c>
      <c r="M182">
        <v>10.062734000000001</v>
      </c>
      <c r="N182">
        <v>9.7394269999999992</v>
      </c>
      <c r="O182">
        <v>9.6176270000000006</v>
      </c>
      <c r="P182">
        <v>9.7328589999999995</v>
      </c>
      <c r="Q182">
        <v>9.9900830000000003</v>
      </c>
      <c r="R182">
        <v>9.6647370000000006</v>
      </c>
      <c r="S182">
        <v>8.5977639999999997</v>
      </c>
      <c r="T182">
        <v>9.8088800000000003</v>
      </c>
      <c r="U182">
        <v>9.5788320000000002</v>
      </c>
      <c r="V182">
        <v>9.8019169999999995</v>
      </c>
      <c r="W182">
        <v>10.37621</v>
      </c>
      <c r="X182">
        <v>9.7881099999999996</v>
      </c>
      <c r="Y182">
        <v>9.6792599999999993</v>
      </c>
      <c r="Z182">
        <v>9.5688715000000002</v>
      </c>
      <c r="AA182">
        <v>9.577375</v>
      </c>
      <c r="AB182">
        <v>9.5635480000000008</v>
      </c>
      <c r="AC182">
        <v>9.6931630000000002</v>
      </c>
      <c r="AD182">
        <v>9.5672929999999994</v>
      </c>
      <c r="AE182">
        <v>11.632462</v>
      </c>
      <c r="AF182">
        <v>10.292700999999999</v>
      </c>
      <c r="AG182">
        <v>9.5442704999999997</v>
      </c>
    </row>
    <row r="183" spans="1:33" x14ac:dyDescent="0.25">
      <c r="A183" s="1">
        <v>44234</v>
      </c>
      <c r="B183">
        <v>10.170223</v>
      </c>
      <c r="C183">
        <v>10.094644000000001</v>
      </c>
      <c r="D183">
        <v>10.086364</v>
      </c>
      <c r="E183">
        <v>10.31108</v>
      </c>
      <c r="F183">
        <v>10.426428</v>
      </c>
      <c r="G183">
        <v>10.308626</v>
      </c>
      <c r="H183">
        <v>11.470954000000001</v>
      </c>
      <c r="I183">
        <v>10.779311</v>
      </c>
      <c r="J183">
        <v>9.44712</v>
      </c>
      <c r="K183">
        <v>9.8966949999999994</v>
      </c>
      <c r="L183">
        <v>9.7297139999999995</v>
      </c>
      <c r="M183">
        <v>10.216950000000001</v>
      </c>
      <c r="N183">
        <v>9.9264799999999997</v>
      </c>
      <c r="O183">
        <v>9.7865439999999992</v>
      </c>
      <c r="P183">
        <v>9.8738069999999993</v>
      </c>
      <c r="Q183">
        <v>10.153847000000001</v>
      </c>
      <c r="R183">
        <v>9.80227</v>
      </c>
      <c r="S183">
        <v>8.9162929999999996</v>
      </c>
      <c r="T183">
        <v>10.041778000000001</v>
      </c>
      <c r="U183">
        <v>9.7609010000000005</v>
      </c>
      <c r="V183">
        <v>10.2223215</v>
      </c>
      <c r="W183">
        <v>10.449071999999999</v>
      </c>
      <c r="X183">
        <v>10.307931</v>
      </c>
      <c r="Y183">
        <v>9.8406160000000007</v>
      </c>
      <c r="Z183">
        <v>9.6974920000000004</v>
      </c>
      <c r="AA183">
        <v>9.6853829999999999</v>
      </c>
      <c r="AB183">
        <v>9.7341250000000006</v>
      </c>
      <c r="AC183">
        <v>9.8985629999999993</v>
      </c>
      <c r="AD183">
        <v>9.7085679999999996</v>
      </c>
      <c r="AE183">
        <v>11.799362</v>
      </c>
      <c r="AF183">
        <v>10.353315</v>
      </c>
      <c r="AG183">
        <v>9.7513190000000005</v>
      </c>
    </row>
    <row r="184" spans="1:33" x14ac:dyDescent="0.25">
      <c r="A184" s="1">
        <v>44235</v>
      </c>
      <c r="B184">
        <v>10.327638</v>
      </c>
      <c r="C184">
        <v>10.225376000000001</v>
      </c>
      <c r="D184">
        <v>10.258558000000001</v>
      </c>
      <c r="E184">
        <v>10.445807</v>
      </c>
      <c r="F184">
        <v>10.531093</v>
      </c>
      <c r="G184">
        <v>10.466495</v>
      </c>
      <c r="H184">
        <v>11.744028999999999</v>
      </c>
      <c r="I184">
        <v>10.750075000000001</v>
      </c>
      <c r="J184">
        <v>9.5714059999999996</v>
      </c>
      <c r="K184">
        <v>10.015653</v>
      </c>
      <c r="L184">
        <v>9.8528640000000003</v>
      </c>
      <c r="M184">
        <v>10.37229</v>
      </c>
      <c r="N184">
        <v>10.112531000000001</v>
      </c>
      <c r="O184">
        <v>9.9198070000000005</v>
      </c>
      <c r="P184">
        <v>10.006586</v>
      </c>
      <c r="Q184">
        <v>10.312369</v>
      </c>
      <c r="R184">
        <v>9.9139239999999997</v>
      </c>
      <c r="S184">
        <v>9.130592</v>
      </c>
      <c r="T184">
        <v>10.272736999999999</v>
      </c>
      <c r="U184">
        <v>9.9068140000000007</v>
      </c>
      <c r="V184">
        <v>10.45298</v>
      </c>
      <c r="W184">
        <v>10.319793000000001</v>
      </c>
      <c r="X184">
        <v>10.522409</v>
      </c>
      <c r="Y184">
        <v>9.9977809999999998</v>
      </c>
      <c r="Z184">
        <v>9.8493480000000009</v>
      </c>
      <c r="AA184">
        <v>9.7667210000000004</v>
      </c>
      <c r="AB184">
        <v>9.8919669999999993</v>
      </c>
      <c r="AC184">
        <v>9.9462039999999998</v>
      </c>
      <c r="AD184">
        <v>9.8365819999999999</v>
      </c>
      <c r="AE184">
        <v>11.933517999999999</v>
      </c>
      <c r="AF184">
        <v>10.418737999999999</v>
      </c>
      <c r="AG184">
        <v>9.847194</v>
      </c>
    </row>
    <row r="185" spans="1:33" x14ac:dyDescent="0.25">
      <c r="A185" s="1">
        <v>44236</v>
      </c>
      <c r="B185">
        <v>10.62091</v>
      </c>
      <c r="C185">
        <v>10.423575</v>
      </c>
      <c r="D185">
        <v>10.495452999999999</v>
      </c>
      <c r="E185">
        <v>10.638432</v>
      </c>
      <c r="F185">
        <v>10.704223000000001</v>
      </c>
      <c r="G185">
        <v>10.631629</v>
      </c>
      <c r="H185">
        <v>11.894904</v>
      </c>
      <c r="I185">
        <v>10.826146</v>
      </c>
      <c r="J185">
        <v>9.8377060000000007</v>
      </c>
      <c r="K185">
        <v>10.1595545</v>
      </c>
      <c r="L185">
        <v>10.021901</v>
      </c>
      <c r="M185">
        <v>10.553364</v>
      </c>
      <c r="N185">
        <v>10.2886305</v>
      </c>
      <c r="O185">
        <v>10.071527</v>
      </c>
      <c r="P185">
        <v>10.155480000000001</v>
      </c>
      <c r="Q185">
        <v>10.466604</v>
      </c>
      <c r="R185">
        <v>10.032036</v>
      </c>
      <c r="S185">
        <v>9.4920449999999992</v>
      </c>
      <c r="T185">
        <v>10.454843</v>
      </c>
      <c r="U185">
        <v>10.080379000000001</v>
      </c>
      <c r="V185">
        <v>10.496022999999999</v>
      </c>
      <c r="W185">
        <v>10.316689500000001</v>
      </c>
      <c r="X185">
        <v>10.510612</v>
      </c>
      <c r="Y185">
        <v>10.217373</v>
      </c>
      <c r="Z185">
        <v>10.076866000000001</v>
      </c>
      <c r="AA185">
        <v>9.9332949999999993</v>
      </c>
      <c r="AB185">
        <v>10.113216</v>
      </c>
      <c r="AC185">
        <v>10.12701</v>
      </c>
      <c r="AD185">
        <v>10.001533500000001</v>
      </c>
      <c r="AE185">
        <v>12.451347</v>
      </c>
      <c r="AF185">
        <v>10.543264000000001</v>
      </c>
      <c r="AG185">
        <v>10.059151999999999</v>
      </c>
    </row>
    <row r="186" spans="1:33" x14ac:dyDescent="0.25">
      <c r="A186" s="1">
        <v>44237</v>
      </c>
      <c r="B186">
        <v>10.725735999999999</v>
      </c>
      <c r="C186">
        <v>10.554337500000001</v>
      </c>
      <c r="D186">
        <v>10.699477</v>
      </c>
      <c r="E186">
        <v>10.790004</v>
      </c>
      <c r="F186">
        <v>10.786460999999999</v>
      </c>
      <c r="G186">
        <v>10.735439</v>
      </c>
      <c r="H186">
        <v>11.927311</v>
      </c>
      <c r="I186">
        <v>10.820294000000001</v>
      </c>
      <c r="J186">
        <v>10.051489999999999</v>
      </c>
      <c r="K186">
        <v>10.282133</v>
      </c>
      <c r="L186">
        <v>10.169357</v>
      </c>
      <c r="M186">
        <v>10.679790499999999</v>
      </c>
      <c r="N186">
        <v>10.424061999999999</v>
      </c>
      <c r="O186">
        <v>10.206789000000001</v>
      </c>
      <c r="P186">
        <v>10.287137</v>
      </c>
      <c r="Q186">
        <v>10.588834</v>
      </c>
      <c r="R186">
        <v>10.166712</v>
      </c>
      <c r="S186">
        <v>9.7133780000000005</v>
      </c>
      <c r="T186">
        <v>10.544760999999999</v>
      </c>
      <c r="U186">
        <v>10.245305999999999</v>
      </c>
      <c r="V186">
        <v>10.493755999999999</v>
      </c>
      <c r="W186">
        <v>10.445460000000001</v>
      </c>
      <c r="X186">
        <v>10.476996</v>
      </c>
      <c r="Y186">
        <v>10.374438</v>
      </c>
      <c r="Z186">
        <v>10.285638000000001</v>
      </c>
      <c r="AA186">
        <v>10.10229</v>
      </c>
      <c r="AB186">
        <v>10.291681000000001</v>
      </c>
      <c r="AC186">
        <v>10.334236000000001</v>
      </c>
      <c r="AD186">
        <v>10.146005000000001</v>
      </c>
      <c r="AE186">
        <v>13.081528</v>
      </c>
      <c r="AF186">
        <v>10.661794</v>
      </c>
      <c r="AG186">
        <v>10.224561</v>
      </c>
    </row>
    <row r="187" spans="1:33" x14ac:dyDescent="0.25">
      <c r="A187" s="1">
        <v>44238</v>
      </c>
      <c r="B187">
        <v>10.909744999999999</v>
      </c>
      <c r="C187">
        <v>10.666767999999999</v>
      </c>
      <c r="D187">
        <v>10.866069</v>
      </c>
      <c r="E187">
        <v>10.946323</v>
      </c>
      <c r="F187">
        <v>10.867221000000001</v>
      </c>
      <c r="G187">
        <v>10.845529000000001</v>
      </c>
      <c r="H187">
        <v>11.958529</v>
      </c>
      <c r="I187">
        <v>10.851372</v>
      </c>
      <c r="J187">
        <v>10.295057999999999</v>
      </c>
      <c r="K187">
        <v>10.442596999999999</v>
      </c>
      <c r="L187">
        <v>10.316246</v>
      </c>
      <c r="M187">
        <v>10.802372</v>
      </c>
      <c r="N187">
        <v>10.611609</v>
      </c>
      <c r="O187">
        <v>10.365823000000001</v>
      </c>
      <c r="P187">
        <v>10.454083000000001</v>
      </c>
      <c r="Q187">
        <v>10.712254</v>
      </c>
      <c r="R187">
        <v>10.312601000000001</v>
      </c>
      <c r="S187">
        <v>9.9662640000000007</v>
      </c>
      <c r="T187">
        <v>10.672456</v>
      </c>
      <c r="U187">
        <v>10.427344</v>
      </c>
      <c r="V187">
        <v>10.598223000000001</v>
      </c>
      <c r="W187">
        <v>10.817078</v>
      </c>
      <c r="X187">
        <v>10.58244</v>
      </c>
      <c r="Y187">
        <v>10.669845</v>
      </c>
      <c r="Z187">
        <v>10.520267499999999</v>
      </c>
      <c r="AA187">
        <v>10.298469000000001</v>
      </c>
      <c r="AB187">
        <v>10.560891</v>
      </c>
      <c r="AC187">
        <v>10.688802000000001</v>
      </c>
      <c r="AD187">
        <v>10.294264999999999</v>
      </c>
      <c r="AE187">
        <v>13.283198000000001</v>
      </c>
      <c r="AF187">
        <v>10.760612500000001</v>
      </c>
      <c r="AG187">
        <v>10.390677</v>
      </c>
    </row>
    <row r="188" spans="1:33" x14ac:dyDescent="0.25">
      <c r="A188" s="1">
        <v>44239</v>
      </c>
      <c r="B188">
        <v>10.990622999999999</v>
      </c>
      <c r="C188">
        <v>10.8179655</v>
      </c>
      <c r="D188">
        <v>10.93573</v>
      </c>
      <c r="E188">
        <v>11.030281</v>
      </c>
      <c r="F188">
        <v>11.003826999999999</v>
      </c>
      <c r="G188">
        <v>10.943524</v>
      </c>
      <c r="H188">
        <v>12.000945</v>
      </c>
      <c r="I188">
        <v>10.9695015</v>
      </c>
      <c r="J188">
        <v>10.516887000000001</v>
      </c>
      <c r="K188">
        <v>10.563259</v>
      </c>
      <c r="L188">
        <v>10.477244000000001</v>
      </c>
      <c r="M188">
        <v>10.900346000000001</v>
      </c>
      <c r="N188">
        <v>10.719875</v>
      </c>
      <c r="O188">
        <v>10.507668499999999</v>
      </c>
      <c r="P188">
        <v>10.577171999999999</v>
      </c>
      <c r="Q188">
        <v>10.811195</v>
      </c>
      <c r="R188">
        <v>10.447770999999999</v>
      </c>
      <c r="S188">
        <v>10.221606</v>
      </c>
      <c r="T188">
        <v>10.783676</v>
      </c>
      <c r="U188">
        <v>10.649948</v>
      </c>
      <c r="V188">
        <v>10.782163000000001</v>
      </c>
      <c r="W188">
        <v>11.230174999999999</v>
      </c>
      <c r="X188">
        <v>10.800399000000001</v>
      </c>
      <c r="Y188">
        <v>10.908754999999999</v>
      </c>
      <c r="Z188">
        <v>10.773975</v>
      </c>
      <c r="AA188">
        <v>10.486981</v>
      </c>
      <c r="AB188">
        <v>10.728282999999999</v>
      </c>
      <c r="AC188">
        <v>11.025077</v>
      </c>
      <c r="AD188">
        <v>10.451314</v>
      </c>
      <c r="AE188">
        <v>13.192956000000001</v>
      </c>
      <c r="AF188">
        <v>10.8858385</v>
      </c>
      <c r="AG188">
        <v>10.554017</v>
      </c>
    </row>
    <row r="189" spans="1:33" x14ac:dyDescent="0.25">
      <c r="A189" s="1">
        <v>44240</v>
      </c>
      <c r="B189">
        <v>11.219207000000001</v>
      </c>
      <c r="C189">
        <v>11.008392000000001</v>
      </c>
      <c r="D189">
        <v>11.065025</v>
      </c>
      <c r="E189">
        <v>11.187402000000001</v>
      </c>
      <c r="F189">
        <v>11.174118999999999</v>
      </c>
      <c r="G189">
        <v>11.073290999999999</v>
      </c>
      <c r="H189">
        <v>12.061044000000001</v>
      </c>
      <c r="I189">
        <v>11.272435</v>
      </c>
      <c r="J189">
        <v>10.863537000000001</v>
      </c>
      <c r="K189">
        <v>10.789543</v>
      </c>
      <c r="L189">
        <v>10.719417</v>
      </c>
      <c r="M189">
        <v>11.057807</v>
      </c>
      <c r="N189">
        <v>10.935472000000001</v>
      </c>
      <c r="O189">
        <v>10.705959</v>
      </c>
      <c r="P189">
        <v>10.805866</v>
      </c>
      <c r="Q189">
        <v>10.956597</v>
      </c>
      <c r="R189">
        <v>10.629246</v>
      </c>
      <c r="S189">
        <v>10.612558</v>
      </c>
      <c r="T189">
        <v>11.028297</v>
      </c>
      <c r="U189">
        <v>10.960763</v>
      </c>
      <c r="V189">
        <v>11.173237</v>
      </c>
      <c r="W189">
        <v>11.653558</v>
      </c>
      <c r="X189">
        <v>11.255666</v>
      </c>
      <c r="Y189">
        <v>11.245422</v>
      </c>
      <c r="Z189">
        <v>11.093518</v>
      </c>
      <c r="AA189">
        <v>10.775935</v>
      </c>
      <c r="AB189">
        <v>11.019496999999999</v>
      </c>
      <c r="AC189">
        <v>11.422582</v>
      </c>
      <c r="AD189">
        <v>10.687407500000001</v>
      </c>
      <c r="AE189">
        <v>13.689567</v>
      </c>
      <c r="AF189">
        <v>11.068695999999999</v>
      </c>
      <c r="AG189">
        <v>10.810767</v>
      </c>
    </row>
    <row r="190" spans="1:33" x14ac:dyDescent="0.25">
      <c r="A190" s="1">
        <v>44241</v>
      </c>
      <c r="B190">
        <v>10.987086</v>
      </c>
      <c r="C190">
        <v>10.958995</v>
      </c>
      <c r="D190">
        <v>11.027934</v>
      </c>
      <c r="E190">
        <v>11.080230999999999</v>
      </c>
      <c r="F190">
        <v>11.060627999999999</v>
      </c>
      <c r="G190">
        <v>11.072373000000001</v>
      </c>
      <c r="H190">
        <v>11.882084000000001</v>
      </c>
      <c r="I190">
        <v>11.133946</v>
      </c>
      <c r="J190">
        <v>10.636138000000001</v>
      </c>
      <c r="K190">
        <v>10.8027725</v>
      </c>
      <c r="L190">
        <v>10.804263000000001</v>
      </c>
      <c r="M190">
        <v>11.035836</v>
      </c>
      <c r="N190">
        <v>10.971253000000001</v>
      </c>
      <c r="O190">
        <v>10.798222000000001</v>
      </c>
      <c r="P190">
        <v>10.818123</v>
      </c>
      <c r="Q190">
        <v>10.972148000000001</v>
      </c>
      <c r="R190">
        <v>10.714435</v>
      </c>
      <c r="S190">
        <v>10.552047</v>
      </c>
      <c r="T190">
        <v>11.153464</v>
      </c>
      <c r="U190">
        <v>11.118599</v>
      </c>
      <c r="V190">
        <v>11.387100999999999</v>
      </c>
      <c r="W190">
        <v>11.80878</v>
      </c>
      <c r="X190">
        <v>11.484735000000001</v>
      </c>
      <c r="Y190">
        <v>11.222732000000001</v>
      </c>
      <c r="Z190">
        <v>11.171626</v>
      </c>
      <c r="AA190">
        <v>10.845489000000001</v>
      </c>
      <c r="AB190">
        <v>11.073209</v>
      </c>
      <c r="AC190">
        <v>11.254022000000001</v>
      </c>
      <c r="AD190">
        <v>10.780479</v>
      </c>
      <c r="AE190">
        <v>13.170776</v>
      </c>
      <c r="AF190">
        <v>11.086223</v>
      </c>
      <c r="AG190">
        <v>10.77407</v>
      </c>
    </row>
    <row r="191" spans="1:33" x14ac:dyDescent="0.25">
      <c r="A191" s="1">
        <v>44242</v>
      </c>
      <c r="B191">
        <v>11.230705</v>
      </c>
      <c r="C191">
        <v>11.165493</v>
      </c>
      <c r="D191">
        <v>11.092095</v>
      </c>
      <c r="E191">
        <v>11.175503000000001</v>
      </c>
      <c r="F191">
        <v>11.267868999999999</v>
      </c>
      <c r="G191">
        <v>11.187783</v>
      </c>
      <c r="H191">
        <v>11.928482000000001</v>
      </c>
      <c r="I191">
        <v>11.360125999999999</v>
      </c>
      <c r="J191">
        <v>10.923185999999999</v>
      </c>
      <c r="K191">
        <v>10.931184</v>
      </c>
      <c r="L191">
        <v>10.935788000000001</v>
      </c>
      <c r="M191">
        <v>11.163117</v>
      </c>
      <c r="N191">
        <v>11.120627000000001</v>
      </c>
      <c r="O191">
        <v>10.983919999999999</v>
      </c>
      <c r="P191">
        <v>10.935195999999999</v>
      </c>
      <c r="Q191">
        <v>11.084095</v>
      </c>
      <c r="R191">
        <v>10.873381999999999</v>
      </c>
      <c r="S191">
        <v>11.022334000000001</v>
      </c>
      <c r="T191">
        <v>11.380385</v>
      </c>
      <c r="U191">
        <v>11.335788000000001</v>
      </c>
      <c r="V191">
        <v>11.777043000000001</v>
      </c>
      <c r="W191">
        <v>12.010906</v>
      </c>
      <c r="X191">
        <v>11.911906999999999</v>
      </c>
      <c r="Y191">
        <v>11.273322</v>
      </c>
      <c r="Z191">
        <v>11.291442</v>
      </c>
      <c r="AA191">
        <v>11.00666</v>
      </c>
      <c r="AB191">
        <v>11.142821</v>
      </c>
      <c r="AC191">
        <v>11.364231999999999</v>
      </c>
      <c r="AD191">
        <v>10.911664</v>
      </c>
      <c r="AE191">
        <v>13.060943999999999</v>
      </c>
      <c r="AF191">
        <v>11.161939</v>
      </c>
      <c r="AG191">
        <v>10.94243</v>
      </c>
    </row>
    <row r="192" spans="1:33" x14ac:dyDescent="0.25">
      <c r="A192" s="1">
        <v>44243</v>
      </c>
      <c r="B192">
        <v>10.818160000000001</v>
      </c>
      <c r="C192">
        <v>10.982901999999999</v>
      </c>
      <c r="D192">
        <v>10.954686000000001</v>
      </c>
      <c r="E192">
        <v>10.967307</v>
      </c>
      <c r="F192">
        <v>11.069542999999999</v>
      </c>
      <c r="G192">
        <v>11.113899999999999</v>
      </c>
      <c r="H192">
        <v>11.752411</v>
      </c>
      <c r="I192">
        <v>10.992012000000001</v>
      </c>
      <c r="J192">
        <v>10.542228</v>
      </c>
      <c r="K192">
        <v>10.852084</v>
      </c>
      <c r="L192">
        <v>10.867486</v>
      </c>
      <c r="M192">
        <v>11.054736999999999</v>
      </c>
      <c r="N192">
        <v>11.120244</v>
      </c>
      <c r="O192">
        <v>10.934063999999999</v>
      </c>
      <c r="P192">
        <v>10.866825</v>
      </c>
      <c r="Q192">
        <v>11.028459</v>
      </c>
      <c r="R192">
        <v>10.841569</v>
      </c>
      <c r="S192">
        <v>10.581841000000001</v>
      </c>
      <c r="T192">
        <v>11.389830999999999</v>
      </c>
      <c r="U192">
        <v>11.251756</v>
      </c>
      <c r="V192">
        <v>11.775969999999999</v>
      </c>
      <c r="W192">
        <v>11.851084999999999</v>
      </c>
      <c r="X192">
        <v>11.835925</v>
      </c>
      <c r="Y192">
        <v>11.014199</v>
      </c>
      <c r="Z192">
        <v>11.146224999999999</v>
      </c>
      <c r="AA192">
        <v>10.860663000000001</v>
      </c>
      <c r="AB192">
        <v>10.9407835</v>
      </c>
      <c r="AC192">
        <v>10.88518</v>
      </c>
      <c r="AD192">
        <v>10.868282000000001</v>
      </c>
      <c r="AE192">
        <v>12.858445</v>
      </c>
      <c r="AF192">
        <v>11.095193</v>
      </c>
      <c r="AG192">
        <v>10.759895999999999</v>
      </c>
    </row>
    <row r="193" spans="1:33" x14ac:dyDescent="0.25">
      <c r="A193" s="1">
        <v>44244</v>
      </c>
      <c r="B193">
        <v>10.733489000000001</v>
      </c>
      <c r="C193">
        <v>10.980676000000001</v>
      </c>
      <c r="D193">
        <v>10.754312000000001</v>
      </c>
      <c r="E193">
        <v>10.838573</v>
      </c>
      <c r="F193">
        <v>11.063529000000001</v>
      </c>
      <c r="G193">
        <v>11.061052999999999</v>
      </c>
      <c r="H193">
        <v>11.716063500000001</v>
      </c>
      <c r="I193">
        <v>10.98532</v>
      </c>
      <c r="J193">
        <v>10.2559805</v>
      </c>
      <c r="K193">
        <v>10.807721000000001</v>
      </c>
      <c r="L193">
        <v>10.848217999999999</v>
      </c>
      <c r="M193">
        <v>11.006788999999999</v>
      </c>
      <c r="N193">
        <v>11.153752000000001</v>
      </c>
      <c r="O193">
        <v>10.930037499999999</v>
      </c>
      <c r="P193">
        <v>10.814607000000001</v>
      </c>
      <c r="Q193">
        <v>10.999798999999999</v>
      </c>
      <c r="R193">
        <v>10.825452</v>
      </c>
      <c r="S193">
        <v>9.9720530000000007</v>
      </c>
      <c r="T193">
        <v>11.307328</v>
      </c>
      <c r="U193">
        <v>11.031357</v>
      </c>
      <c r="V193">
        <v>11.579112</v>
      </c>
      <c r="W193">
        <v>11.518241</v>
      </c>
      <c r="X193">
        <v>11.590085</v>
      </c>
      <c r="Y193">
        <v>10.6740265</v>
      </c>
      <c r="Z193">
        <v>10.962638999999999</v>
      </c>
      <c r="AA193">
        <v>10.759168000000001</v>
      </c>
      <c r="AB193">
        <v>10.714516</v>
      </c>
      <c r="AC193">
        <v>10.438442999999999</v>
      </c>
      <c r="AD193">
        <v>10.856809</v>
      </c>
      <c r="AE193">
        <v>12.255452</v>
      </c>
      <c r="AF193">
        <v>11.053808999999999</v>
      </c>
      <c r="AG193">
        <v>10.631819999999999</v>
      </c>
    </row>
    <row r="194" spans="1:33" x14ac:dyDescent="0.25">
      <c r="A194" s="1">
        <v>44245</v>
      </c>
      <c r="B194">
        <v>10.732554</v>
      </c>
      <c r="C194">
        <v>10.98035</v>
      </c>
      <c r="D194">
        <v>10.603547000000001</v>
      </c>
      <c r="E194">
        <v>10.771127</v>
      </c>
      <c r="F194">
        <v>11.074904999999999</v>
      </c>
      <c r="G194">
        <v>11.072822</v>
      </c>
      <c r="H194">
        <v>11.91216</v>
      </c>
      <c r="I194">
        <v>11.0951605</v>
      </c>
      <c r="J194">
        <v>9.9498110000000004</v>
      </c>
      <c r="K194">
        <v>10.772739</v>
      </c>
      <c r="L194">
        <v>10.810352999999999</v>
      </c>
      <c r="M194">
        <v>10.983542</v>
      </c>
      <c r="N194">
        <v>11.138741</v>
      </c>
      <c r="O194">
        <v>10.837547000000001</v>
      </c>
      <c r="P194">
        <v>10.776259</v>
      </c>
      <c r="Q194">
        <v>11.008649</v>
      </c>
      <c r="R194">
        <v>10.808745</v>
      </c>
      <c r="S194">
        <v>9.0539059999999996</v>
      </c>
      <c r="T194">
        <v>11.188860999999999</v>
      </c>
      <c r="U194">
        <v>10.873989999999999</v>
      </c>
      <c r="V194">
        <v>11.414289999999999</v>
      </c>
      <c r="W194">
        <v>11.146329</v>
      </c>
      <c r="X194">
        <v>11.430932</v>
      </c>
      <c r="Y194">
        <v>10.259065</v>
      </c>
      <c r="Z194">
        <v>10.814416</v>
      </c>
      <c r="AA194">
        <v>10.666620999999999</v>
      </c>
      <c r="AB194">
        <v>10.486283</v>
      </c>
      <c r="AC194">
        <v>9.7037800000000001</v>
      </c>
      <c r="AD194">
        <v>10.813964</v>
      </c>
      <c r="AE194">
        <v>11.830007</v>
      </c>
      <c r="AF194">
        <v>11.033562999999999</v>
      </c>
      <c r="AG194">
        <v>10.544962999999999</v>
      </c>
    </row>
    <row r="195" spans="1:33" x14ac:dyDescent="0.25">
      <c r="A195" s="1">
        <v>44246</v>
      </c>
      <c r="B195">
        <v>10.997795</v>
      </c>
      <c r="C195">
        <v>11.087906</v>
      </c>
      <c r="D195">
        <v>10.635445000000001</v>
      </c>
      <c r="E195">
        <v>10.876182</v>
      </c>
      <c r="F195">
        <v>11.215256</v>
      </c>
      <c r="G195">
        <v>11.179665</v>
      </c>
      <c r="H195">
        <v>12.295104</v>
      </c>
      <c r="I195">
        <v>11.4066925</v>
      </c>
      <c r="J195">
        <v>10.048679999999999</v>
      </c>
      <c r="K195">
        <v>10.858219999999999</v>
      </c>
      <c r="L195">
        <v>10.87725</v>
      </c>
      <c r="M195">
        <v>11.079609</v>
      </c>
      <c r="N195">
        <v>11.224987</v>
      </c>
      <c r="O195">
        <v>10.931224</v>
      </c>
      <c r="P195">
        <v>10.857374999999999</v>
      </c>
      <c r="Q195">
        <v>11.106529999999999</v>
      </c>
      <c r="R195">
        <v>10.872806000000001</v>
      </c>
      <c r="S195">
        <v>8.969455</v>
      </c>
      <c r="T195">
        <v>11.201501</v>
      </c>
      <c r="U195">
        <v>10.904306999999999</v>
      </c>
      <c r="V195">
        <v>11.253356</v>
      </c>
      <c r="W195">
        <v>11.054085000000001</v>
      </c>
      <c r="X195">
        <v>11.210449000000001</v>
      </c>
      <c r="Y195">
        <v>10.034507</v>
      </c>
      <c r="Z195">
        <v>10.864331</v>
      </c>
      <c r="AA195">
        <v>10.687939999999999</v>
      </c>
      <c r="AB195">
        <v>10.552707</v>
      </c>
      <c r="AC195">
        <v>9.0887379999999993</v>
      </c>
      <c r="AD195">
        <v>10.8843155</v>
      </c>
      <c r="AE195">
        <v>12.319717000000001</v>
      </c>
      <c r="AF195">
        <v>11.061191000000001</v>
      </c>
      <c r="AG195">
        <v>10.681001</v>
      </c>
    </row>
    <row r="196" spans="1:33" x14ac:dyDescent="0.25">
      <c r="A196" s="1">
        <v>44247</v>
      </c>
      <c r="B196">
        <v>10.812879000000001</v>
      </c>
      <c r="C196">
        <v>11.075469</v>
      </c>
      <c r="D196">
        <v>10.700437000000001</v>
      </c>
      <c r="E196">
        <v>10.865178</v>
      </c>
      <c r="F196">
        <v>11.145087999999999</v>
      </c>
      <c r="G196">
        <v>11.230392999999999</v>
      </c>
      <c r="H196">
        <v>12.505070999999999</v>
      </c>
      <c r="I196">
        <v>11.273242</v>
      </c>
      <c r="J196">
        <v>10.016534</v>
      </c>
      <c r="K196">
        <v>10.912724000000001</v>
      </c>
      <c r="L196">
        <v>10.808362000000001</v>
      </c>
      <c r="M196">
        <v>11.095708</v>
      </c>
      <c r="N196">
        <v>11.213727</v>
      </c>
      <c r="O196">
        <v>10.921226000000001</v>
      </c>
      <c r="P196">
        <v>10.89255</v>
      </c>
      <c r="Q196">
        <v>11.173641</v>
      </c>
      <c r="R196">
        <v>10.907123</v>
      </c>
      <c r="S196">
        <v>8.9339720000000007</v>
      </c>
      <c r="T196">
        <v>11.176539999999999</v>
      </c>
      <c r="U196">
        <v>10.844007</v>
      </c>
      <c r="V196">
        <v>10.977781999999999</v>
      </c>
      <c r="W196">
        <v>11.026005</v>
      </c>
      <c r="X196">
        <v>10.9465</v>
      </c>
      <c r="Y196">
        <v>9.9457059999999995</v>
      </c>
      <c r="Z196">
        <v>10.869229000000001</v>
      </c>
      <c r="AA196">
        <v>10.648455999999999</v>
      </c>
      <c r="AB196">
        <v>10.339267</v>
      </c>
      <c r="AC196">
        <v>8.6961359999999992</v>
      </c>
      <c r="AD196">
        <v>10.905483</v>
      </c>
      <c r="AE196">
        <v>12.430007</v>
      </c>
      <c r="AF196">
        <v>11.055827000000001</v>
      </c>
      <c r="AG196">
        <v>10.58028</v>
      </c>
    </row>
    <row r="197" spans="1:33" x14ac:dyDescent="0.25">
      <c r="A197" s="1">
        <v>44248</v>
      </c>
      <c r="B197">
        <v>10.752326</v>
      </c>
      <c r="C197">
        <v>11.137131999999999</v>
      </c>
      <c r="D197">
        <v>10.806069000000001</v>
      </c>
      <c r="E197">
        <v>10.923622999999999</v>
      </c>
      <c r="F197">
        <v>11.276111</v>
      </c>
      <c r="G197">
        <v>11.256148</v>
      </c>
      <c r="H197">
        <v>12.402025999999999</v>
      </c>
      <c r="I197">
        <v>11.260726999999999</v>
      </c>
      <c r="J197">
        <v>9.8688040000000008</v>
      </c>
      <c r="K197">
        <v>10.985950000000001</v>
      </c>
      <c r="L197">
        <v>10.871119500000001</v>
      </c>
      <c r="M197">
        <v>11.163252999999999</v>
      </c>
      <c r="N197">
        <v>11.230903</v>
      </c>
      <c r="O197">
        <v>10.995456000000001</v>
      </c>
      <c r="P197">
        <v>10.935523999999999</v>
      </c>
      <c r="Q197">
        <v>11.217765999999999</v>
      </c>
      <c r="R197">
        <v>10.986888</v>
      </c>
      <c r="S197">
        <v>9.1652450000000005</v>
      </c>
      <c r="T197">
        <v>11.087254</v>
      </c>
      <c r="U197">
        <v>10.754666</v>
      </c>
      <c r="V197">
        <v>10.848088000000001</v>
      </c>
      <c r="W197">
        <v>10.901024</v>
      </c>
      <c r="X197">
        <v>10.7765875</v>
      </c>
      <c r="Y197">
        <v>9.6514229999999994</v>
      </c>
      <c r="Z197">
        <v>10.852042000000001</v>
      </c>
      <c r="AA197">
        <v>10.673219</v>
      </c>
      <c r="AB197">
        <v>10.261473000000001</v>
      </c>
      <c r="AC197">
        <v>8.5443449999999999</v>
      </c>
      <c r="AD197">
        <v>10.938973000000001</v>
      </c>
      <c r="AE197">
        <v>12.364566999999999</v>
      </c>
      <c r="AF197">
        <v>11.083543000000001</v>
      </c>
      <c r="AG197">
        <v>10.644413999999999</v>
      </c>
    </row>
    <row r="198" spans="1:33" x14ac:dyDescent="0.25">
      <c r="A198" s="1">
        <v>44249</v>
      </c>
      <c r="B198">
        <v>11.104423000000001</v>
      </c>
      <c r="C198">
        <v>11.382106</v>
      </c>
      <c r="D198">
        <v>11.050996</v>
      </c>
      <c r="E198">
        <v>11.1778</v>
      </c>
      <c r="F198">
        <v>11.541522000000001</v>
      </c>
      <c r="G198">
        <v>11.453155499999999</v>
      </c>
      <c r="H198">
        <v>12.727238</v>
      </c>
      <c r="I198">
        <v>11.595871000000001</v>
      </c>
      <c r="J198">
        <v>10.158967000000001</v>
      </c>
      <c r="K198">
        <v>11.174683999999999</v>
      </c>
      <c r="L198">
        <v>11.075771</v>
      </c>
      <c r="M198">
        <v>11.382941000000001</v>
      </c>
      <c r="N198">
        <v>11.369667</v>
      </c>
      <c r="O198">
        <v>11.151617999999999</v>
      </c>
      <c r="P198">
        <v>11.130229</v>
      </c>
      <c r="Q198">
        <v>11.396748000000001</v>
      </c>
      <c r="R198">
        <v>11.149316000000001</v>
      </c>
      <c r="S198">
        <v>9.3010160000000006</v>
      </c>
      <c r="T198">
        <v>11.215681999999999</v>
      </c>
      <c r="U198">
        <v>10.854324999999999</v>
      </c>
      <c r="V198">
        <v>11.127700000000001</v>
      </c>
      <c r="W198">
        <v>11.002342000000001</v>
      </c>
      <c r="X198">
        <v>11.105437</v>
      </c>
      <c r="Y198">
        <v>10.030442000000001</v>
      </c>
      <c r="Z198">
        <v>10.988076</v>
      </c>
      <c r="AA198">
        <v>10.84187</v>
      </c>
      <c r="AB198">
        <v>10.499553000000001</v>
      </c>
      <c r="AC198">
        <v>8.9053419999999992</v>
      </c>
      <c r="AD198">
        <v>11.087109999999999</v>
      </c>
      <c r="AE198">
        <v>12.668877999999999</v>
      </c>
      <c r="AF198">
        <v>11.194012000000001</v>
      </c>
      <c r="AG198">
        <v>10.928528</v>
      </c>
    </row>
    <row r="199" spans="1:33" x14ac:dyDescent="0.25">
      <c r="A199" s="1">
        <v>44250</v>
      </c>
      <c r="B199">
        <v>11.445281</v>
      </c>
      <c r="C199">
        <v>11.548985500000001</v>
      </c>
      <c r="D199">
        <v>11.344604</v>
      </c>
      <c r="E199">
        <v>11.469410999999999</v>
      </c>
      <c r="F199">
        <v>11.799775</v>
      </c>
      <c r="G199">
        <v>11.727040000000001</v>
      </c>
      <c r="H199">
        <v>13.189698</v>
      </c>
      <c r="I199">
        <v>11.864903</v>
      </c>
      <c r="J199">
        <v>10.624027</v>
      </c>
      <c r="K199">
        <v>11.390171</v>
      </c>
      <c r="L199">
        <v>11.2813225</v>
      </c>
      <c r="M199">
        <v>11.661433000000001</v>
      </c>
      <c r="N199">
        <v>11.546720000000001</v>
      </c>
      <c r="O199">
        <v>11.297931999999999</v>
      </c>
      <c r="P199">
        <v>11.367888000000001</v>
      </c>
      <c r="Q199">
        <v>11.627048500000001</v>
      </c>
      <c r="R199">
        <v>11.295868</v>
      </c>
      <c r="S199">
        <v>9.7736844999999999</v>
      </c>
      <c r="T199">
        <v>11.423367499999999</v>
      </c>
      <c r="U199">
        <v>11.115403000000001</v>
      </c>
      <c r="V199">
        <v>11.260726999999999</v>
      </c>
      <c r="W199">
        <v>11.045745</v>
      </c>
      <c r="X199">
        <v>11.236713</v>
      </c>
      <c r="Y199">
        <v>10.424283000000001</v>
      </c>
      <c r="Z199">
        <v>11.220355</v>
      </c>
      <c r="AA199">
        <v>11.091854</v>
      </c>
      <c r="AB199">
        <v>10.793397000000001</v>
      </c>
      <c r="AC199">
        <v>9.1813730000000007</v>
      </c>
      <c r="AD199">
        <v>11.272221</v>
      </c>
      <c r="AE199">
        <v>13.307434000000001</v>
      </c>
      <c r="AF199">
        <v>11.352459</v>
      </c>
      <c r="AG199">
        <v>11.166676499999999</v>
      </c>
    </row>
    <row r="200" spans="1:33" x14ac:dyDescent="0.25">
      <c r="A200" s="1">
        <v>44251</v>
      </c>
      <c r="B200">
        <v>11.306499499999999</v>
      </c>
      <c r="C200">
        <v>11.53138</v>
      </c>
      <c r="D200">
        <v>11.4621</v>
      </c>
      <c r="E200">
        <v>11.55111</v>
      </c>
      <c r="F200">
        <v>11.737121999999999</v>
      </c>
      <c r="G200">
        <v>11.865845</v>
      </c>
      <c r="H200">
        <v>13.295018000000001</v>
      </c>
      <c r="I200">
        <v>11.663777</v>
      </c>
      <c r="J200">
        <v>10.595340999999999</v>
      </c>
      <c r="K200">
        <v>11.384258000000001</v>
      </c>
      <c r="L200">
        <v>11.213355</v>
      </c>
      <c r="M200">
        <v>11.763598</v>
      </c>
      <c r="N200">
        <v>11.465116999999999</v>
      </c>
      <c r="O200">
        <v>11.229988000000001</v>
      </c>
      <c r="P200">
        <v>11.411246999999999</v>
      </c>
      <c r="Q200">
        <v>11.720559</v>
      </c>
      <c r="R200">
        <v>11.220585</v>
      </c>
      <c r="S200">
        <v>9.9880940000000002</v>
      </c>
      <c r="T200">
        <v>11.229799999999999</v>
      </c>
      <c r="U200">
        <v>10.946823</v>
      </c>
      <c r="V200">
        <v>11.037898</v>
      </c>
      <c r="W200">
        <v>11.095147000000001</v>
      </c>
      <c r="X200">
        <v>10.974152</v>
      </c>
      <c r="Y200">
        <v>10.382716</v>
      </c>
      <c r="Z200">
        <v>11.149597999999999</v>
      </c>
      <c r="AA200">
        <v>11.16282</v>
      </c>
      <c r="AB200">
        <v>10.770538999999999</v>
      </c>
      <c r="AC200">
        <v>9.4943439999999999</v>
      </c>
      <c r="AD200">
        <v>11.258213</v>
      </c>
      <c r="AE200">
        <v>13.109636999999999</v>
      </c>
      <c r="AF200">
        <v>11.352797499999999</v>
      </c>
      <c r="AG200">
        <v>11.029208000000001</v>
      </c>
    </row>
    <row r="201" spans="1:33" x14ac:dyDescent="0.25">
      <c r="A201" s="1">
        <v>44252</v>
      </c>
      <c r="B201">
        <v>11.150463</v>
      </c>
      <c r="C201">
        <v>11.482151</v>
      </c>
      <c r="D201">
        <v>11.384774</v>
      </c>
      <c r="E201">
        <v>11.480138</v>
      </c>
      <c r="F201">
        <v>11.640935000000001</v>
      </c>
      <c r="G201">
        <v>11.820717999999999</v>
      </c>
      <c r="H201">
        <v>13.219956</v>
      </c>
      <c r="I201">
        <v>11.234157</v>
      </c>
      <c r="J201">
        <v>10.093817</v>
      </c>
      <c r="K201">
        <v>11.231185999999999</v>
      </c>
      <c r="L201">
        <v>11.046557</v>
      </c>
      <c r="M201">
        <v>11.737733</v>
      </c>
      <c r="N201">
        <v>11.359432999999999</v>
      </c>
      <c r="O201">
        <v>11.091896999999999</v>
      </c>
      <c r="P201">
        <v>11.269448000000001</v>
      </c>
      <c r="Q201">
        <v>11.664585000000001</v>
      </c>
      <c r="R201">
        <v>11.168327</v>
      </c>
      <c r="S201">
        <v>9.1605550000000004</v>
      </c>
      <c r="T201">
        <v>10.914374</v>
      </c>
      <c r="U201">
        <v>10.604950000000001</v>
      </c>
      <c r="V201">
        <v>10.775592</v>
      </c>
      <c r="W201">
        <v>11.034395999999999</v>
      </c>
      <c r="X201">
        <v>10.700018999999999</v>
      </c>
      <c r="Y201">
        <v>10.069236</v>
      </c>
      <c r="Z201">
        <v>10.787895000000001</v>
      </c>
      <c r="AA201">
        <v>11.041679999999999</v>
      </c>
      <c r="AB201">
        <v>10.498692500000001</v>
      </c>
      <c r="AC201">
        <v>9.4965989999999998</v>
      </c>
      <c r="AD201">
        <v>11.081011999999999</v>
      </c>
      <c r="AE201">
        <v>12.102119</v>
      </c>
      <c r="AF201">
        <v>11.183005</v>
      </c>
      <c r="AG201">
        <v>10.754802</v>
      </c>
    </row>
    <row r="202" spans="1:33" x14ac:dyDescent="0.25">
      <c r="A202" s="1">
        <v>44253</v>
      </c>
      <c r="B202">
        <v>11.429867</v>
      </c>
      <c r="C202">
        <v>11.715748</v>
      </c>
      <c r="D202">
        <v>11.5134325</v>
      </c>
      <c r="E202">
        <v>11.640713999999999</v>
      </c>
      <c r="F202">
        <v>11.800326999999999</v>
      </c>
      <c r="G202">
        <v>11.905319</v>
      </c>
      <c r="H202">
        <v>13.268947000000001</v>
      </c>
      <c r="I202">
        <v>11.409088000000001</v>
      </c>
      <c r="J202">
        <v>10.264388</v>
      </c>
      <c r="K202">
        <v>11.272235999999999</v>
      </c>
      <c r="L202">
        <v>11.128750999999999</v>
      </c>
      <c r="M202">
        <v>11.826226</v>
      </c>
      <c r="N202">
        <v>11.398013000000001</v>
      </c>
      <c r="O202">
        <v>11.142678</v>
      </c>
      <c r="P202">
        <v>11.309922</v>
      </c>
      <c r="Q202">
        <v>11.722688</v>
      </c>
      <c r="R202">
        <v>11.200495999999999</v>
      </c>
      <c r="S202">
        <v>8.8630089999999999</v>
      </c>
      <c r="T202">
        <v>10.881970000000001</v>
      </c>
      <c r="U202">
        <v>10.702392</v>
      </c>
      <c r="V202">
        <v>10.941304000000001</v>
      </c>
      <c r="W202">
        <v>10.938484000000001</v>
      </c>
      <c r="X202">
        <v>10.927638999999999</v>
      </c>
      <c r="Y202">
        <v>10.128504</v>
      </c>
      <c r="Z202">
        <v>10.759601999999999</v>
      </c>
      <c r="AA202">
        <v>11.107253</v>
      </c>
      <c r="AB202">
        <v>10.516408</v>
      </c>
      <c r="AC202">
        <v>9.5296529999999997</v>
      </c>
      <c r="AD202">
        <v>11.120822</v>
      </c>
      <c r="AE202">
        <v>12.281589</v>
      </c>
      <c r="AF202">
        <v>11.161591</v>
      </c>
      <c r="AG202">
        <v>10.837711000000001</v>
      </c>
    </row>
    <row r="203" spans="1:33" x14ac:dyDescent="0.25">
      <c r="A203" s="1">
        <v>44254</v>
      </c>
      <c r="B203">
        <v>11.282527999999999</v>
      </c>
      <c r="C203">
        <v>11.607804</v>
      </c>
      <c r="D203">
        <v>11.477933</v>
      </c>
      <c r="E203">
        <v>11.607113999999999</v>
      </c>
      <c r="F203">
        <v>11.673152999999999</v>
      </c>
      <c r="G203">
        <v>11.881047000000001</v>
      </c>
      <c r="H203">
        <v>13.005856</v>
      </c>
      <c r="I203">
        <v>11.212756000000001</v>
      </c>
      <c r="J203">
        <v>10.164747999999999</v>
      </c>
      <c r="K203">
        <v>11.191546000000001</v>
      </c>
      <c r="L203">
        <v>11.033137</v>
      </c>
      <c r="M203">
        <v>11.778972</v>
      </c>
      <c r="N203">
        <v>11.247192999999999</v>
      </c>
      <c r="O203">
        <v>11.041354999999999</v>
      </c>
      <c r="P203">
        <v>11.237494999999999</v>
      </c>
      <c r="Q203">
        <v>11.669667</v>
      </c>
      <c r="R203">
        <v>11.068662</v>
      </c>
      <c r="S203">
        <v>8.9119910000000004</v>
      </c>
      <c r="T203">
        <v>10.751927</v>
      </c>
      <c r="U203">
        <v>10.613905000000001</v>
      </c>
      <c r="V203">
        <v>10.901714</v>
      </c>
      <c r="W203">
        <v>10.962296</v>
      </c>
      <c r="X203">
        <v>10.921507999999999</v>
      </c>
      <c r="Y203">
        <v>10.2090645</v>
      </c>
      <c r="Z203">
        <v>10.662516999999999</v>
      </c>
      <c r="AA203">
        <v>11.099201000000001</v>
      </c>
      <c r="AB203">
        <v>10.5700655</v>
      </c>
      <c r="AC203">
        <v>9.1779960000000003</v>
      </c>
      <c r="AD203">
        <v>11.056663500000001</v>
      </c>
      <c r="AE203">
        <v>12.571372999999999</v>
      </c>
      <c r="AF203">
        <v>11.058984000000001</v>
      </c>
      <c r="AG203">
        <v>10.735776</v>
      </c>
    </row>
    <row r="204" spans="1:33" x14ac:dyDescent="0.25">
      <c r="A204" s="1">
        <v>44255</v>
      </c>
      <c r="B204">
        <v>11.310060999999999</v>
      </c>
      <c r="C204">
        <v>11.581187</v>
      </c>
      <c r="D204">
        <v>11.372111</v>
      </c>
      <c r="E204">
        <v>11.51308</v>
      </c>
      <c r="F204">
        <v>11.772957</v>
      </c>
      <c r="G204">
        <v>11.871560000000001</v>
      </c>
      <c r="H204">
        <v>12.951309</v>
      </c>
      <c r="I204">
        <v>11.248291</v>
      </c>
      <c r="J204">
        <v>10.017768999999999</v>
      </c>
      <c r="K204">
        <v>11.061152999999999</v>
      </c>
      <c r="L204">
        <v>10.955742000000001</v>
      </c>
      <c r="M204">
        <v>11.782425</v>
      </c>
      <c r="N204">
        <v>11.13063</v>
      </c>
      <c r="O204">
        <v>10.98902</v>
      </c>
      <c r="P204">
        <v>11.12632</v>
      </c>
      <c r="Q204">
        <v>11.615271999999999</v>
      </c>
      <c r="R204">
        <v>11.035729</v>
      </c>
      <c r="S204">
        <v>8.5277410000000007</v>
      </c>
      <c r="T204">
        <v>10.594703000000001</v>
      </c>
      <c r="U204">
        <v>10.515497999999999</v>
      </c>
      <c r="V204">
        <v>10.757422999999999</v>
      </c>
      <c r="W204">
        <v>11.081688</v>
      </c>
      <c r="X204">
        <v>10.766887000000001</v>
      </c>
      <c r="Y204">
        <v>10.090035</v>
      </c>
      <c r="Z204">
        <v>10.590203000000001</v>
      </c>
      <c r="AA204">
        <v>11.022544999999999</v>
      </c>
      <c r="AB204">
        <v>10.435546</v>
      </c>
      <c r="AC204">
        <v>9.0811259999999994</v>
      </c>
      <c r="AD204">
        <v>10.993964</v>
      </c>
      <c r="AE204">
        <v>12.511505</v>
      </c>
      <c r="AF204">
        <v>10.922300999999999</v>
      </c>
      <c r="AG204">
        <v>10.589029999999999</v>
      </c>
    </row>
    <row r="205" spans="1:33" x14ac:dyDescent="0.25">
      <c r="A205" s="1">
        <v>44256</v>
      </c>
      <c r="B205">
        <v>11.502083000000001</v>
      </c>
      <c r="C205">
        <v>11.743245</v>
      </c>
      <c r="D205">
        <v>11.410572999999999</v>
      </c>
      <c r="E205">
        <v>11.563167999999999</v>
      </c>
      <c r="F205">
        <v>12.02938</v>
      </c>
      <c r="G205">
        <v>12.018364</v>
      </c>
      <c r="H205">
        <v>13.138821</v>
      </c>
      <c r="I205">
        <v>11.689033</v>
      </c>
      <c r="J205">
        <v>10.388653</v>
      </c>
      <c r="K205">
        <v>11.181165</v>
      </c>
      <c r="L205">
        <v>11.076183</v>
      </c>
      <c r="M205">
        <v>11.938325000000001</v>
      </c>
      <c r="N205">
        <v>11.285935</v>
      </c>
      <c r="O205">
        <v>11.122268999999999</v>
      </c>
      <c r="P205">
        <v>11.237170000000001</v>
      </c>
      <c r="Q205">
        <v>11.735385000000001</v>
      </c>
      <c r="R205">
        <v>11.143712000000001</v>
      </c>
      <c r="S205">
        <v>8.5783389999999997</v>
      </c>
      <c r="T205">
        <v>10.702037000000001</v>
      </c>
      <c r="U205">
        <v>10.651638999999999</v>
      </c>
      <c r="V205">
        <v>10.948957999999999</v>
      </c>
      <c r="W205">
        <v>11.087410999999999</v>
      </c>
      <c r="X205">
        <v>11.011485</v>
      </c>
      <c r="Y205">
        <v>10.267962000000001</v>
      </c>
      <c r="Z205">
        <v>10.776702</v>
      </c>
      <c r="AA205">
        <v>11.177764</v>
      </c>
      <c r="AB205">
        <v>10.612845999999999</v>
      </c>
      <c r="AC205">
        <v>9.3327550000000006</v>
      </c>
      <c r="AD205">
        <v>11.093899</v>
      </c>
      <c r="AE205">
        <v>13.009175000000001</v>
      </c>
      <c r="AF205">
        <v>10.953517</v>
      </c>
      <c r="AG205">
        <v>10.817996000000001</v>
      </c>
    </row>
    <row r="206" spans="1:33" x14ac:dyDescent="0.25">
      <c r="A206" s="1">
        <v>44257</v>
      </c>
      <c r="B206">
        <v>11.66198</v>
      </c>
      <c r="C206">
        <v>11.885216</v>
      </c>
      <c r="D206">
        <v>11.467632</v>
      </c>
      <c r="E206">
        <v>11.636062000000001</v>
      </c>
      <c r="F206">
        <v>12.240125000000001</v>
      </c>
      <c r="G206">
        <v>12.222417</v>
      </c>
      <c r="H206">
        <v>13.3845215</v>
      </c>
      <c r="I206">
        <v>12.069248999999999</v>
      </c>
      <c r="J206">
        <v>10.727046</v>
      </c>
      <c r="K206">
        <v>11.318177</v>
      </c>
      <c r="L206">
        <v>11.226934999999999</v>
      </c>
      <c r="M206">
        <v>12.100452000000001</v>
      </c>
      <c r="N206">
        <v>11.399478</v>
      </c>
      <c r="O206">
        <v>11.248754</v>
      </c>
      <c r="P206">
        <v>11.358840000000001</v>
      </c>
      <c r="Q206">
        <v>11.908759</v>
      </c>
      <c r="R206">
        <v>11.246506</v>
      </c>
      <c r="S206">
        <v>8.8747290000000003</v>
      </c>
      <c r="T206">
        <v>10.8834505</v>
      </c>
      <c r="U206">
        <v>10.933505</v>
      </c>
      <c r="V206">
        <v>11.174226000000001</v>
      </c>
      <c r="W206">
        <v>11.330837000000001</v>
      </c>
      <c r="X206">
        <v>11.30668</v>
      </c>
      <c r="Y206">
        <v>10.531233</v>
      </c>
      <c r="Z206">
        <v>11.000584</v>
      </c>
      <c r="AA206">
        <v>11.371852000000001</v>
      </c>
      <c r="AB206">
        <v>10.864820999999999</v>
      </c>
      <c r="AC206">
        <v>9.6123370000000001</v>
      </c>
      <c r="AD206">
        <v>11.220909000000001</v>
      </c>
      <c r="AE206">
        <v>13.344326000000001</v>
      </c>
      <c r="AF206">
        <v>11.066357999999999</v>
      </c>
      <c r="AG206">
        <v>11.085385</v>
      </c>
    </row>
    <row r="207" spans="1:33" x14ac:dyDescent="0.25">
      <c r="A207" s="1">
        <v>44258</v>
      </c>
      <c r="B207">
        <v>11.777257000000001</v>
      </c>
      <c r="C207">
        <v>11.983421</v>
      </c>
      <c r="D207">
        <v>11.473381</v>
      </c>
      <c r="E207">
        <v>11.683833</v>
      </c>
      <c r="F207">
        <v>12.340145</v>
      </c>
      <c r="G207">
        <v>12.389619</v>
      </c>
      <c r="H207">
        <v>13.630188</v>
      </c>
      <c r="I207">
        <v>12.187243</v>
      </c>
      <c r="J207">
        <v>11.000360000000001</v>
      </c>
      <c r="K207">
        <v>11.432888999999999</v>
      </c>
      <c r="L207">
        <v>11.358461999999999</v>
      </c>
      <c r="M207">
        <v>12.249425</v>
      </c>
      <c r="N207">
        <v>11.513474</v>
      </c>
      <c r="O207">
        <v>11.350711</v>
      </c>
      <c r="P207">
        <v>11.447452999999999</v>
      </c>
      <c r="Q207">
        <v>12.074329000000001</v>
      </c>
      <c r="R207">
        <v>11.348392499999999</v>
      </c>
      <c r="S207">
        <v>9.1966850000000004</v>
      </c>
      <c r="T207">
        <v>11.065716</v>
      </c>
      <c r="U207">
        <v>11.093572</v>
      </c>
      <c r="V207">
        <v>11.321376000000001</v>
      </c>
      <c r="W207">
        <v>11.696255000000001</v>
      </c>
      <c r="X207">
        <v>11.439824</v>
      </c>
      <c r="Y207">
        <v>10.73747</v>
      </c>
      <c r="Z207">
        <v>11.200801</v>
      </c>
      <c r="AA207">
        <v>11.537477000000001</v>
      </c>
      <c r="AB207">
        <v>11.03229</v>
      </c>
      <c r="AC207">
        <v>9.8809989999999992</v>
      </c>
      <c r="AD207">
        <v>11.339213000000001</v>
      </c>
      <c r="AE207">
        <v>13.618524000000001</v>
      </c>
      <c r="AF207">
        <v>11.161861</v>
      </c>
      <c r="AG207">
        <v>11.294662000000001</v>
      </c>
    </row>
    <row r="208" spans="1:33" x14ac:dyDescent="0.25">
      <c r="A208" s="1">
        <v>44259</v>
      </c>
      <c r="B208">
        <v>11.938295999999999</v>
      </c>
      <c r="C208">
        <v>12.111599999999999</v>
      </c>
      <c r="D208">
        <v>11.460259000000001</v>
      </c>
      <c r="E208">
        <v>11.656618999999999</v>
      </c>
      <c r="F208">
        <v>12.3812</v>
      </c>
      <c r="G208">
        <v>12.326245</v>
      </c>
      <c r="H208">
        <v>13.422494</v>
      </c>
      <c r="I208">
        <v>12.170878</v>
      </c>
      <c r="J208">
        <v>11.236497</v>
      </c>
      <c r="K208">
        <v>11.541841</v>
      </c>
      <c r="L208">
        <v>11.519557000000001</v>
      </c>
      <c r="M208">
        <v>12.197392000000001</v>
      </c>
      <c r="N208">
        <v>11.518744999999999</v>
      </c>
      <c r="O208">
        <v>11.480553</v>
      </c>
      <c r="P208">
        <v>11.52718</v>
      </c>
      <c r="Q208">
        <v>12.031112</v>
      </c>
      <c r="R208">
        <v>11.477058</v>
      </c>
      <c r="S208">
        <v>9.5916779999999999</v>
      </c>
      <c r="T208">
        <v>11.268242000000001</v>
      </c>
      <c r="U208">
        <v>11.282017</v>
      </c>
      <c r="V208">
        <v>11.475614</v>
      </c>
      <c r="W208">
        <v>11.908417</v>
      </c>
      <c r="X208">
        <v>11.542073</v>
      </c>
      <c r="Y208">
        <v>10.887008</v>
      </c>
      <c r="Z208">
        <v>11.407346</v>
      </c>
      <c r="AA208">
        <v>11.701134</v>
      </c>
      <c r="AB208">
        <v>11.158272</v>
      </c>
      <c r="AC208">
        <v>10.150221</v>
      </c>
      <c r="AD208">
        <v>11.478699000000001</v>
      </c>
      <c r="AE208">
        <v>13.788449</v>
      </c>
      <c r="AF208">
        <v>11.230999000000001</v>
      </c>
      <c r="AG208">
        <v>11.469754</v>
      </c>
    </row>
    <row r="209" spans="1:33" x14ac:dyDescent="0.25">
      <c r="A209" s="1">
        <v>44260</v>
      </c>
      <c r="B209">
        <v>11.970666</v>
      </c>
      <c r="C209">
        <v>12.223316000000001</v>
      </c>
      <c r="D209">
        <v>11.616847999999999</v>
      </c>
      <c r="E209">
        <v>11.728774</v>
      </c>
      <c r="F209">
        <v>12.518832</v>
      </c>
      <c r="G209">
        <v>12.389573</v>
      </c>
      <c r="H209">
        <v>13.398629</v>
      </c>
      <c r="I209">
        <v>12.417951</v>
      </c>
      <c r="J209">
        <v>11.547459999999999</v>
      </c>
      <c r="K209">
        <v>11.768848999999999</v>
      </c>
      <c r="L209">
        <v>11.753327000000001</v>
      </c>
      <c r="M209">
        <v>12.2498255</v>
      </c>
      <c r="N209">
        <v>11.664835999999999</v>
      </c>
      <c r="O209">
        <v>11.722412</v>
      </c>
      <c r="P209">
        <v>11.719937</v>
      </c>
      <c r="Q209">
        <v>12.118022</v>
      </c>
      <c r="R209">
        <v>11.727055</v>
      </c>
      <c r="S209">
        <v>9.9506060000000005</v>
      </c>
      <c r="T209">
        <v>11.592750000000001</v>
      </c>
      <c r="U209">
        <v>11.53688</v>
      </c>
      <c r="V209">
        <v>11.806094</v>
      </c>
      <c r="W209">
        <v>12.02</v>
      </c>
      <c r="X209">
        <v>11.9021635</v>
      </c>
      <c r="Y209">
        <v>11.102615</v>
      </c>
      <c r="Z209">
        <v>11.667951</v>
      </c>
      <c r="AA209">
        <v>11.944542</v>
      </c>
      <c r="AB209">
        <v>11.349078</v>
      </c>
      <c r="AC209">
        <v>10.481913</v>
      </c>
      <c r="AD209">
        <v>11.696211999999999</v>
      </c>
      <c r="AE209">
        <v>14.395673</v>
      </c>
      <c r="AF209">
        <v>11.355309500000001</v>
      </c>
      <c r="AG209">
        <v>11.809498</v>
      </c>
    </row>
    <row r="210" spans="1:33" x14ac:dyDescent="0.25">
      <c r="A210" s="1">
        <v>44261</v>
      </c>
      <c r="B210">
        <v>12.160339</v>
      </c>
      <c r="C210">
        <v>12.345625999999999</v>
      </c>
      <c r="D210">
        <v>11.873419999999999</v>
      </c>
      <c r="E210">
        <v>11.966701499999999</v>
      </c>
      <c r="F210">
        <v>12.647213000000001</v>
      </c>
      <c r="G210">
        <v>12.531888</v>
      </c>
      <c r="H210">
        <v>13.5360985</v>
      </c>
      <c r="I210">
        <v>12.755837</v>
      </c>
      <c r="J210">
        <v>11.859847</v>
      </c>
      <c r="K210">
        <v>11.990031</v>
      </c>
      <c r="L210">
        <v>11.969842</v>
      </c>
      <c r="M210">
        <v>12.396781000000001</v>
      </c>
      <c r="N210">
        <v>11.887959</v>
      </c>
      <c r="O210">
        <v>11.952567</v>
      </c>
      <c r="P210">
        <v>11.932744</v>
      </c>
      <c r="Q210">
        <v>12.303936999999999</v>
      </c>
      <c r="R210">
        <v>11.951703</v>
      </c>
      <c r="S210">
        <v>10.501917000000001</v>
      </c>
      <c r="T210">
        <v>11.955590000000001</v>
      </c>
      <c r="U210">
        <v>11.892177</v>
      </c>
      <c r="V210">
        <v>12.113854</v>
      </c>
      <c r="W210">
        <v>12.148483000000001</v>
      </c>
      <c r="X210">
        <v>12.219082</v>
      </c>
      <c r="Y210">
        <v>11.541486000000001</v>
      </c>
      <c r="Z210">
        <v>11.988004</v>
      </c>
      <c r="AA210">
        <v>12.238875</v>
      </c>
      <c r="AB210">
        <v>11.750301</v>
      </c>
      <c r="AC210">
        <v>11.075191999999999</v>
      </c>
      <c r="AD210">
        <v>11.937749</v>
      </c>
      <c r="AE210">
        <v>14.663715</v>
      </c>
      <c r="AF210">
        <v>11.603438000000001</v>
      </c>
      <c r="AG210">
        <v>12.20412</v>
      </c>
    </row>
    <row r="211" spans="1:33" x14ac:dyDescent="0.25">
      <c r="A211" s="1">
        <v>44262</v>
      </c>
      <c r="B211">
        <v>11.793433</v>
      </c>
      <c r="C211">
        <v>12.295707</v>
      </c>
      <c r="D211">
        <v>11.987328</v>
      </c>
      <c r="E211">
        <v>11.983105999999999</v>
      </c>
      <c r="F211">
        <v>12.382077000000001</v>
      </c>
      <c r="G211">
        <v>12.451644999999999</v>
      </c>
      <c r="H211">
        <v>13.398056</v>
      </c>
      <c r="I211">
        <v>12.42859</v>
      </c>
      <c r="J211">
        <v>11.592063</v>
      </c>
      <c r="K211">
        <v>12.007901</v>
      </c>
      <c r="L211">
        <v>11.997407000000001</v>
      </c>
      <c r="M211">
        <v>12.30265</v>
      </c>
      <c r="N211">
        <v>11.934184999999999</v>
      </c>
      <c r="O211">
        <v>11.998208</v>
      </c>
      <c r="P211">
        <v>11.961546999999999</v>
      </c>
      <c r="Q211">
        <v>12.286311</v>
      </c>
      <c r="R211">
        <v>12.037049</v>
      </c>
      <c r="S211">
        <v>10.365112</v>
      </c>
      <c r="T211">
        <v>12.144259999999999</v>
      </c>
      <c r="U211">
        <v>12.014422</v>
      </c>
      <c r="V211">
        <v>12.155094</v>
      </c>
      <c r="W211">
        <v>12.515934</v>
      </c>
      <c r="X211">
        <v>12.228688</v>
      </c>
      <c r="Y211">
        <v>11.614025</v>
      </c>
      <c r="Z211">
        <v>12.079373</v>
      </c>
      <c r="AA211">
        <v>12.281141999999999</v>
      </c>
      <c r="AB211">
        <v>11.814251000000001</v>
      </c>
      <c r="AC211">
        <v>11.234753</v>
      </c>
      <c r="AD211">
        <v>12.041347</v>
      </c>
      <c r="AE211">
        <v>14.379443999999999</v>
      </c>
      <c r="AF211">
        <v>11.697055000000001</v>
      </c>
      <c r="AG211">
        <v>12.149467</v>
      </c>
    </row>
    <row r="212" spans="1:33" x14ac:dyDescent="0.25">
      <c r="A212" s="1">
        <v>44263</v>
      </c>
      <c r="B212">
        <v>11.414158</v>
      </c>
      <c r="C212">
        <v>12.153821000000001</v>
      </c>
      <c r="D212">
        <v>11.954224</v>
      </c>
      <c r="E212">
        <v>11.882904999999999</v>
      </c>
      <c r="F212">
        <v>12.123146999999999</v>
      </c>
      <c r="G212">
        <v>12.318625000000001</v>
      </c>
      <c r="H212">
        <v>13.234446999999999</v>
      </c>
      <c r="I212">
        <v>11.865739</v>
      </c>
      <c r="J212">
        <v>11.363531999999999</v>
      </c>
      <c r="K212">
        <v>11.986504999999999</v>
      </c>
      <c r="L212">
        <v>12.002406000000001</v>
      </c>
      <c r="M212">
        <v>12.203092</v>
      </c>
      <c r="N212">
        <v>11.979065</v>
      </c>
      <c r="O212">
        <v>11.992035</v>
      </c>
      <c r="P212">
        <v>11.952500000000001</v>
      </c>
      <c r="Q212">
        <v>12.214974</v>
      </c>
      <c r="R212">
        <v>12.019485</v>
      </c>
      <c r="S212">
        <v>10.036082</v>
      </c>
      <c r="T212">
        <v>12.119927000000001</v>
      </c>
      <c r="U212">
        <v>11.992779000000001</v>
      </c>
      <c r="V212">
        <v>12.081413</v>
      </c>
      <c r="W212">
        <v>12.758405</v>
      </c>
      <c r="X212">
        <v>12.161466000000001</v>
      </c>
      <c r="Y212">
        <v>11.581967000000001</v>
      </c>
      <c r="Z212">
        <v>12.069433999999999</v>
      </c>
      <c r="AA212">
        <v>12.261782999999999</v>
      </c>
      <c r="AB212">
        <v>11.742653000000001</v>
      </c>
      <c r="AC212">
        <v>11.153407</v>
      </c>
      <c r="AD212">
        <v>12.063435999999999</v>
      </c>
      <c r="AE212">
        <v>14.417336000000001</v>
      </c>
      <c r="AF212">
        <v>11.757153000000001</v>
      </c>
      <c r="AG212">
        <v>12.079648000000001</v>
      </c>
    </row>
    <row r="213" spans="1:33" x14ac:dyDescent="0.25">
      <c r="A213" s="1">
        <v>44264</v>
      </c>
      <c r="B213">
        <v>11.1167555</v>
      </c>
      <c r="C213">
        <v>11.966587000000001</v>
      </c>
      <c r="D213">
        <v>11.784501000000001</v>
      </c>
      <c r="E213">
        <v>11.675792</v>
      </c>
      <c r="F213">
        <v>11.982298999999999</v>
      </c>
      <c r="G213">
        <v>12.150479000000001</v>
      </c>
      <c r="H213">
        <v>12.961572</v>
      </c>
      <c r="I213">
        <v>11.377261000000001</v>
      </c>
      <c r="J213">
        <v>10.959267000000001</v>
      </c>
      <c r="K213">
        <v>11.894544</v>
      </c>
      <c r="L213">
        <v>11.887817</v>
      </c>
      <c r="M213">
        <v>12.064873</v>
      </c>
      <c r="N213">
        <v>11.915855000000001</v>
      </c>
      <c r="O213">
        <v>11.856019</v>
      </c>
      <c r="P213">
        <v>11.890834999999999</v>
      </c>
      <c r="Q213">
        <v>12.059581</v>
      </c>
      <c r="R213">
        <v>11.92205</v>
      </c>
      <c r="S213">
        <v>9.5929900000000004</v>
      </c>
      <c r="T213">
        <v>11.916831</v>
      </c>
      <c r="U213">
        <v>11.781478</v>
      </c>
      <c r="V213">
        <v>11.951661</v>
      </c>
      <c r="W213">
        <v>12.620042</v>
      </c>
      <c r="X213">
        <v>11.970483</v>
      </c>
      <c r="Y213">
        <v>11.349767</v>
      </c>
      <c r="Z213">
        <v>11.8392515</v>
      </c>
      <c r="AA213">
        <v>12.095428999999999</v>
      </c>
      <c r="AB213">
        <v>11.522777</v>
      </c>
      <c r="AC213">
        <v>10.753811000000001</v>
      </c>
      <c r="AD213">
        <v>11.951908</v>
      </c>
      <c r="AE213">
        <v>14.0551195</v>
      </c>
      <c r="AF213">
        <v>11.706654</v>
      </c>
      <c r="AG213">
        <v>11.826207</v>
      </c>
    </row>
    <row r="214" spans="1:33" x14ac:dyDescent="0.25">
      <c r="A214" s="1">
        <v>44265</v>
      </c>
      <c r="B214">
        <v>10.941933000000001</v>
      </c>
      <c r="C214">
        <v>11.89409</v>
      </c>
      <c r="D214">
        <v>11.586413</v>
      </c>
      <c r="E214">
        <v>11.489537</v>
      </c>
      <c r="F214">
        <v>11.926205</v>
      </c>
      <c r="G214">
        <v>12.061553</v>
      </c>
      <c r="H214">
        <v>12.768867</v>
      </c>
      <c r="I214">
        <v>11.164693</v>
      </c>
      <c r="J214">
        <v>10.767239999999999</v>
      </c>
      <c r="K214">
        <v>11.77826</v>
      </c>
      <c r="L214">
        <v>11.826675</v>
      </c>
      <c r="M214">
        <v>12.000358</v>
      </c>
      <c r="N214">
        <v>11.835796999999999</v>
      </c>
      <c r="O214">
        <v>11.803908</v>
      </c>
      <c r="P214">
        <v>11.7826185</v>
      </c>
      <c r="Q214">
        <v>11.971088999999999</v>
      </c>
      <c r="R214">
        <v>11.848976</v>
      </c>
      <c r="S214">
        <v>9.551126</v>
      </c>
      <c r="T214">
        <v>11.754745</v>
      </c>
      <c r="U214">
        <v>11.704834999999999</v>
      </c>
      <c r="V214">
        <v>11.971572</v>
      </c>
      <c r="W214">
        <v>12.428901</v>
      </c>
      <c r="X214">
        <v>12.086822</v>
      </c>
      <c r="Y214">
        <v>11.262653999999999</v>
      </c>
      <c r="Z214">
        <v>11.676337</v>
      </c>
      <c r="AA214">
        <v>11.962901</v>
      </c>
      <c r="AB214">
        <v>11.434844999999999</v>
      </c>
      <c r="AC214">
        <v>10.577776999999999</v>
      </c>
      <c r="AD214">
        <v>11.876846</v>
      </c>
      <c r="AE214">
        <v>13.282163000000001</v>
      </c>
      <c r="AF214">
        <v>11.663232000000001</v>
      </c>
      <c r="AG214">
        <v>11.697692</v>
      </c>
    </row>
    <row r="215" spans="1:33" x14ac:dyDescent="0.25">
      <c r="A215" s="1">
        <v>44266</v>
      </c>
      <c r="B215">
        <v>10.943892999999999</v>
      </c>
      <c r="C215">
        <v>11.917469000000001</v>
      </c>
      <c r="D215">
        <v>11.507472999999999</v>
      </c>
      <c r="E215">
        <v>11.434792</v>
      </c>
      <c r="F215">
        <v>11.968021</v>
      </c>
      <c r="G215">
        <v>12.035869</v>
      </c>
      <c r="H215">
        <v>12.6344595</v>
      </c>
      <c r="I215">
        <v>11.171317999999999</v>
      </c>
      <c r="J215">
        <v>10.749776000000001</v>
      </c>
      <c r="K215">
        <v>11.743361</v>
      </c>
      <c r="L215">
        <v>11.799947</v>
      </c>
      <c r="M215">
        <v>11.995096999999999</v>
      </c>
      <c r="N215">
        <v>11.80043</v>
      </c>
      <c r="O215">
        <v>11.8135805</v>
      </c>
      <c r="P215">
        <v>11.743406999999999</v>
      </c>
      <c r="Q215">
        <v>11.929554</v>
      </c>
      <c r="R215">
        <v>11.847165</v>
      </c>
      <c r="S215">
        <v>9.2273879999999995</v>
      </c>
      <c r="T215">
        <v>11.687999</v>
      </c>
      <c r="U215">
        <v>11.589852</v>
      </c>
      <c r="V215">
        <v>12.068439</v>
      </c>
      <c r="W215">
        <v>12.0039625</v>
      </c>
      <c r="X215">
        <v>12.255570000000001</v>
      </c>
      <c r="Y215">
        <v>11.217854000000001</v>
      </c>
      <c r="Z215">
        <v>11.565422999999999</v>
      </c>
      <c r="AA215">
        <v>11.921500999999999</v>
      </c>
      <c r="AB215">
        <v>11.39635</v>
      </c>
      <c r="AC215">
        <v>10.242407</v>
      </c>
      <c r="AD215">
        <v>11.84422</v>
      </c>
      <c r="AE215">
        <v>12.818915000000001</v>
      </c>
      <c r="AF215">
        <v>11.697941</v>
      </c>
      <c r="AG215">
        <v>11.663472000000001</v>
      </c>
    </row>
    <row r="216" spans="1:33" x14ac:dyDescent="0.25">
      <c r="A216" s="1">
        <v>44267</v>
      </c>
      <c r="B216">
        <v>11.165870999999999</v>
      </c>
      <c r="C216">
        <v>11.914005</v>
      </c>
      <c r="D216">
        <v>11.638394</v>
      </c>
      <c r="E216">
        <v>11.527715000000001</v>
      </c>
      <c r="F216">
        <v>11.990565999999999</v>
      </c>
      <c r="G216">
        <v>12.043183000000001</v>
      </c>
      <c r="H216">
        <v>12.744835</v>
      </c>
      <c r="I216">
        <v>11.259345</v>
      </c>
      <c r="J216">
        <v>10.866178</v>
      </c>
      <c r="K216">
        <v>11.790570000000001</v>
      </c>
      <c r="L216">
        <v>11.866327999999999</v>
      </c>
      <c r="M216">
        <v>12.017666</v>
      </c>
      <c r="N216">
        <v>11.851855</v>
      </c>
      <c r="O216">
        <v>11.880048</v>
      </c>
      <c r="P216">
        <v>11.804921</v>
      </c>
      <c r="Q216">
        <v>11.956614999999999</v>
      </c>
      <c r="R216">
        <v>11.877452999999999</v>
      </c>
      <c r="S216">
        <v>9.3932880000000001</v>
      </c>
      <c r="T216">
        <v>11.742272</v>
      </c>
      <c r="U216">
        <v>11.71302</v>
      </c>
      <c r="V216">
        <v>12.121581000000001</v>
      </c>
      <c r="W216">
        <v>11.923247</v>
      </c>
      <c r="X216">
        <v>12.274163</v>
      </c>
      <c r="Y216">
        <v>11.219554</v>
      </c>
      <c r="Z216">
        <v>11.653563500000001</v>
      </c>
      <c r="AA216">
        <v>12.008523</v>
      </c>
      <c r="AB216">
        <v>11.411441999999999</v>
      </c>
      <c r="AC216">
        <v>10.313378</v>
      </c>
      <c r="AD216">
        <v>11.910852999999999</v>
      </c>
      <c r="AE216">
        <v>13.103073999999999</v>
      </c>
      <c r="AF216">
        <v>11.800224999999999</v>
      </c>
      <c r="AG216">
        <v>11.741122000000001</v>
      </c>
    </row>
    <row r="217" spans="1:33" x14ac:dyDescent="0.25">
      <c r="A217" s="1">
        <v>44268</v>
      </c>
      <c r="B217">
        <v>11.420944</v>
      </c>
      <c r="C217">
        <v>11.996928</v>
      </c>
      <c r="D217">
        <v>11.766006000000001</v>
      </c>
      <c r="E217">
        <v>11.666448000000001</v>
      </c>
      <c r="F217">
        <v>11.980266</v>
      </c>
      <c r="G217">
        <v>12.0928545</v>
      </c>
      <c r="H217">
        <v>12.862409</v>
      </c>
      <c r="I217">
        <v>11.370774000000001</v>
      </c>
      <c r="J217">
        <v>11.170327</v>
      </c>
      <c r="K217">
        <v>11.892673500000001</v>
      </c>
      <c r="L217">
        <v>11.970223000000001</v>
      </c>
      <c r="M217">
        <v>12.078177999999999</v>
      </c>
      <c r="N217">
        <v>11.925774000000001</v>
      </c>
      <c r="O217">
        <v>11.990906000000001</v>
      </c>
      <c r="P217">
        <v>11.910458999999999</v>
      </c>
      <c r="Q217">
        <v>12.007522</v>
      </c>
      <c r="R217">
        <v>11.940899</v>
      </c>
      <c r="S217">
        <v>9.5803080000000005</v>
      </c>
      <c r="T217">
        <v>11.823383</v>
      </c>
      <c r="U217">
        <v>11.852983999999999</v>
      </c>
      <c r="V217">
        <v>12.093411</v>
      </c>
      <c r="W217">
        <v>11.726219</v>
      </c>
      <c r="X217">
        <v>12.173069</v>
      </c>
      <c r="Y217">
        <v>11.259050999999999</v>
      </c>
      <c r="Z217">
        <v>11.843845</v>
      </c>
      <c r="AA217">
        <v>12.172753</v>
      </c>
      <c r="AB217">
        <v>11.403518999999999</v>
      </c>
      <c r="AC217">
        <v>10.428203</v>
      </c>
      <c r="AD217">
        <v>12.012650000000001</v>
      </c>
      <c r="AE217">
        <v>13.850811999999999</v>
      </c>
      <c r="AF217">
        <v>11.90527</v>
      </c>
      <c r="AG217">
        <v>11.863652</v>
      </c>
    </row>
    <row r="218" spans="1:33" x14ac:dyDescent="0.25">
      <c r="A218" s="1">
        <v>44269</v>
      </c>
      <c r="B218">
        <v>11.332190499999999</v>
      </c>
      <c r="C218">
        <v>11.927073999999999</v>
      </c>
      <c r="D218">
        <v>11.700697999999999</v>
      </c>
      <c r="E218">
        <v>11.605753999999999</v>
      </c>
      <c r="F218">
        <v>11.926880000000001</v>
      </c>
      <c r="G218">
        <v>12.023953000000001</v>
      </c>
      <c r="H218">
        <v>12.719583999999999</v>
      </c>
      <c r="I218">
        <v>11.211482</v>
      </c>
      <c r="J218">
        <v>11.135021</v>
      </c>
      <c r="K218">
        <v>11.872356999999999</v>
      </c>
      <c r="L218">
        <v>11.986602</v>
      </c>
      <c r="M218">
        <v>12.013771999999999</v>
      </c>
      <c r="N218">
        <v>11.865600000000001</v>
      </c>
      <c r="O218">
        <v>12.012172</v>
      </c>
      <c r="P218">
        <v>11.890840000000001</v>
      </c>
      <c r="Q218">
        <v>11.9380045</v>
      </c>
      <c r="R218">
        <v>11.982226000000001</v>
      </c>
      <c r="S218">
        <v>9.4926709999999996</v>
      </c>
      <c r="T218">
        <v>11.775005</v>
      </c>
      <c r="U218">
        <v>12.004925</v>
      </c>
      <c r="V218">
        <v>11.93337</v>
      </c>
      <c r="W218">
        <v>11.836339000000001</v>
      </c>
      <c r="X218">
        <v>11.944561</v>
      </c>
      <c r="Y218">
        <v>11.176488000000001</v>
      </c>
      <c r="Z218">
        <v>11.96238</v>
      </c>
      <c r="AA218">
        <v>12.254687000000001</v>
      </c>
      <c r="AB218">
        <v>11.343142500000001</v>
      </c>
      <c r="AC218">
        <v>10.4356165</v>
      </c>
      <c r="AD218">
        <v>12.048938</v>
      </c>
      <c r="AE218">
        <v>13.865387</v>
      </c>
      <c r="AF218">
        <v>11.936353</v>
      </c>
      <c r="AG218">
        <v>11.817413</v>
      </c>
    </row>
    <row r="219" spans="1:33" x14ac:dyDescent="0.25">
      <c r="A219" s="1">
        <v>44270</v>
      </c>
      <c r="B219">
        <v>10.52848</v>
      </c>
      <c r="C219">
        <v>11.670845999999999</v>
      </c>
      <c r="D219">
        <v>11.377402</v>
      </c>
      <c r="E219">
        <v>11.148932</v>
      </c>
      <c r="F219">
        <v>11.562725</v>
      </c>
      <c r="G219">
        <v>11.846761000000001</v>
      </c>
      <c r="H219">
        <v>12.32159</v>
      </c>
      <c r="I219">
        <v>10.712152</v>
      </c>
      <c r="J219">
        <v>10.700925</v>
      </c>
      <c r="K219">
        <v>11.644985</v>
      </c>
      <c r="L219">
        <v>11.744789000000001</v>
      </c>
      <c r="M219">
        <v>11.764721</v>
      </c>
      <c r="N219">
        <v>11.675094</v>
      </c>
      <c r="O219">
        <v>11.74469</v>
      </c>
      <c r="P219">
        <v>11.686413999999999</v>
      </c>
      <c r="Q219">
        <v>11.757173</v>
      </c>
      <c r="R219">
        <v>11.783709999999999</v>
      </c>
      <c r="S219">
        <v>9.0626899999999999</v>
      </c>
      <c r="T219">
        <v>11.472554000000001</v>
      </c>
      <c r="U219">
        <v>11.898351</v>
      </c>
      <c r="V219">
        <v>11.534931</v>
      </c>
      <c r="W219">
        <v>11.593220000000001</v>
      </c>
      <c r="X219">
        <v>11.575621999999999</v>
      </c>
      <c r="Y219">
        <v>10.9359255</v>
      </c>
      <c r="Z219">
        <v>11.834213</v>
      </c>
      <c r="AA219">
        <v>12.05537</v>
      </c>
      <c r="AB219">
        <v>11.151702999999999</v>
      </c>
      <c r="AC219">
        <v>10.318375</v>
      </c>
      <c r="AD219">
        <v>11.873417999999999</v>
      </c>
      <c r="AE219">
        <v>13.0305605</v>
      </c>
      <c r="AF219">
        <v>11.844631</v>
      </c>
      <c r="AG219">
        <v>11.506714000000001</v>
      </c>
    </row>
    <row r="220" spans="1:33" x14ac:dyDescent="0.25">
      <c r="A220" s="1">
        <v>44271</v>
      </c>
      <c r="B220">
        <v>10.624093</v>
      </c>
      <c r="C220">
        <v>11.639632000000001</v>
      </c>
      <c r="D220">
        <v>11.131664000000001</v>
      </c>
      <c r="E220">
        <v>10.97134</v>
      </c>
      <c r="F220">
        <v>11.580780000000001</v>
      </c>
      <c r="G220">
        <v>11.665333</v>
      </c>
      <c r="H220">
        <v>12.0168915</v>
      </c>
      <c r="I220">
        <v>10.689342</v>
      </c>
      <c r="J220">
        <v>10.3702345</v>
      </c>
      <c r="K220">
        <v>11.528745000000001</v>
      </c>
      <c r="L220">
        <v>11.636573</v>
      </c>
      <c r="M220">
        <v>11.620621</v>
      </c>
      <c r="N220">
        <v>11.569152000000001</v>
      </c>
      <c r="O220">
        <v>11.686275999999999</v>
      </c>
      <c r="P220">
        <v>11.556122999999999</v>
      </c>
      <c r="Q220">
        <v>11.569768</v>
      </c>
      <c r="R220">
        <v>11.713714</v>
      </c>
      <c r="S220">
        <v>8.5694289999999995</v>
      </c>
      <c r="T220">
        <v>11.231076</v>
      </c>
      <c r="U220">
        <v>11.803004</v>
      </c>
      <c r="V220">
        <v>11.535607000000001</v>
      </c>
      <c r="W220">
        <v>11.378143</v>
      </c>
      <c r="X220">
        <v>11.634477</v>
      </c>
      <c r="Y220">
        <v>10.699287</v>
      </c>
      <c r="Z220">
        <v>11.677078</v>
      </c>
      <c r="AA220">
        <v>11.880668</v>
      </c>
      <c r="AB220">
        <v>10.903337000000001</v>
      </c>
      <c r="AC220">
        <v>9.8602915000000007</v>
      </c>
      <c r="AD220">
        <v>11.747465999999999</v>
      </c>
      <c r="AE220">
        <v>12.975564</v>
      </c>
      <c r="AF220">
        <v>11.669492</v>
      </c>
      <c r="AG220">
        <v>11.335278499999999</v>
      </c>
    </row>
    <row r="221" spans="1:33" x14ac:dyDescent="0.25">
      <c r="A221" s="1">
        <v>44272</v>
      </c>
      <c r="B221">
        <v>11.132911</v>
      </c>
      <c r="C221">
        <v>11.744789000000001</v>
      </c>
      <c r="D221">
        <v>11.139892</v>
      </c>
      <c r="E221">
        <v>11.062170999999999</v>
      </c>
      <c r="F221">
        <v>11.715852</v>
      </c>
      <c r="G221">
        <v>11.741725000000001</v>
      </c>
      <c r="H221">
        <v>12.047981999999999</v>
      </c>
      <c r="I221">
        <v>11.143611999999999</v>
      </c>
      <c r="J221">
        <v>10.831225</v>
      </c>
      <c r="K221">
        <v>11.689301</v>
      </c>
      <c r="L221">
        <v>11.841927</v>
      </c>
      <c r="M221">
        <v>11.689022</v>
      </c>
      <c r="N221">
        <v>11.648472999999999</v>
      </c>
      <c r="O221">
        <v>11.863742</v>
      </c>
      <c r="P221">
        <v>11.692031999999999</v>
      </c>
      <c r="Q221">
        <v>11.639882</v>
      </c>
      <c r="R221">
        <v>11.855308000000001</v>
      </c>
      <c r="S221">
        <v>8.8633439999999997</v>
      </c>
      <c r="T221">
        <v>11.403130000000001</v>
      </c>
      <c r="U221">
        <v>12.009003</v>
      </c>
      <c r="V221">
        <v>11.759691999999999</v>
      </c>
      <c r="W221">
        <v>11.461895999999999</v>
      </c>
      <c r="X221">
        <v>11.852471</v>
      </c>
      <c r="Y221">
        <v>11.057919500000001</v>
      </c>
      <c r="Z221">
        <v>11.907959999999999</v>
      </c>
      <c r="AA221">
        <v>12.161835999999999</v>
      </c>
      <c r="AB221">
        <v>11.360954</v>
      </c>
      <c r="AC221">
        <v>9.9666010000000007</v>
      </c>
      <c r="AD221">
        <v>11.883490999999999</v>
      </c>
      <c r="AE221">
        <v>13.570093999999999</v>
      </c>
      <c r="AF221">
        <v>11.718024</v>
      </c>
      <c r="AG221">
        <v>11.670109</v>
      </c>
    </row>
    <row r="222" spans="1:33" x14ac:dyDescent="0.25">
      <c r="A222" s="1">
        <v>44273</v>
      </c>
      <c r="B222">
        <v>11.111127</v>
      </c>
      <c r="C222">
        <v>11.63524</v>
      </c>
      <c r="D222">
        <v>11.151899999999999</v>
      </c>
      <c r="E222">
        <v>11.051265000000001</v>
      </c>
      <c r="F222">
        <v>11.684799999999999</v>
      </c>
      <c r="G222">
        <v>11.759050999999999</v>
      </c>
      <c r="H222">
        <v>12.148318</v>
      </c>
      <c r="I222">
        <v>11.302517999999999</v>
      </c>
      <c r="J222">
        <v>11.113178</v>
      </c>
      <c r="K222">
        <v>11.771762000000001</v>
      </c>
      <c r="L222">
        <v>11.903938</v>
      </c>
      <c r="M222">
        <v>11.704238</v>
      </c>
      <c r="N222">
        <v>11.629256</v>
      </c>
      <c r="O222">
        <v>11.899343999999999</v>
      </c>
      <c r="P222">
        <v>11.75056</v>
      </c>
      <c r="Q222">
        <v>11.657280999999999</v>
      </c>
      <c r="R222">
        <v>11.908521</v>
      </c>
      <c r="S222">
        <v>9.1796260000000007</v>
      </c>
      <c r="T222">
        <v>11.48265</v>
      </c>
      <c r="U222">
        <v>12.074042</v>
      </c>
      <c r="V222">
        <v>11.689041</v>
      </c>
      <c r="W222">
        <v>11.712441</v>
      </c>
      <c r="X222">
        <v>11.698700000000001</v>
      </c>
      <c r="Y222">
        <v>11.204079</v>
      </c>
      <c r="Z222">
        <v>12.047158</v>
      </c>
      <c r="AA222">
        <v>12.284978000000001</v>
      </c>
      <c r="AB222">
        <v>11.573808</v>
      </c>
      <c r="AC222">
        <v>10.042629</v>
      </c>
      <c r="AD222">
        <v>11.948205</v>
      </c>
      <c r="AE222">
        <v>14.156390999999999</v>
      </c>
      <c r="AF222">
        <v>11.738028999999999</v>
      </c>
      <c r="AG222">
        <v>11.82269</v>
      </c>
    </row>
    <row r="223" spans="1:33" x14ac:dyDescent="0.25">
      <c r="A223" s="1">
        <v>44274</v>
      </c>
      <c r="B223">
        <v>11.406333999999999</v>
      </c>
      <c r="C223">
        <v>11.762252999999999</v>
      </c>
      <c r="D223">
        <v>11.342822</v>
      </c>
      <c r="E223">
        <v>11.144715</v>
      </c>
      <c r="F223">
        <v>11.879027000000001</v>
      </c>
      <c r="G223">
        <v>11.794187000000001</v>
      </c>
      <c r="H223">
        <v>12.414071</v>
      </c>
      <c r="I223">
        <v>11.821107</v>
      </c>
      <c r="J223">
        <v>11.314244</v>
      </c>
      <c r="K223">
        <v>11.800611</v>
      </c>
      <c r="L223">
        <v>11.958993</v>
      </c>
      <c r="M223">
        <v>11.747864</v>
      </c>
      <c r="N223">
        <v>11.626363</v>
      </c>
      <c r="O223">
        <v>11.948518</v>
      </c>
      <c r="P223">
        <v>11.759454</v>
      </c>
      <c r="Q223">
        <v>11.677227999999999</v>
      </c>
      <c r="R223">
        <v>11.945083</v>
      </c>
      <c r="S223">
        <v>9.6157609999999991</v>
      </c>
      <c r="T223">
        <v>11.555296999999999</v>
      </c>
      <c r="U223">
        <v>12.1744585</v>
      </c>
      <c r="V223">
        <v>11.679309</v>
      </c>
      <c r="W223">
        <v>11.956773</v>
      </c>
      <c r="X223">
        <v>11.673749000000001</v>
      </c>
      <c r="Y223">
        <v>11.282043</v>
      </c>
      <c r="Z223">
        <v>12.142135</v>
      </c>
      <c r="AA223">
        <v>12.319001</v>
      </c>
      <c r="AB223">
        <v>11.676666000000001</v>
      </c>
      <c r="AC223">
        <v>10.388158000000001</v>
      </c>
      <c r="AD223">
        <v>11.990494</v>
      </c>
      <c r="AE223">
        <v>14.828782</v>
      </c>
      <c r="AF223">
        <v>11.782866500000001</v>
      </c>
      <c r="AG223">
        <v>12.047859000000001</v>
      </c>
    </row>
    <row r="224" spans="1:33" x14ac:dyDescent="0.25">
      <c r="A224" s="1">
        <v>44275</v>
      </c>
      <c r="B224">
        <v>11.314178999999999</v>
      </c>
      <c r="C224">
        <v>11.720821000000001</v>
      </c>
      <c r="D224">
        <v>11.413228</v>
      </c>
      <c r="E224">
        <v>11.119465</v>
      </c>
      <c r="F224">
        <v>11.78246</v>
      </c>
      <c r="G224">
        <v>11.858129999999999</v>
      </c>
      <c r="H224">
        <v>12.507386</v>
      </c>
      <c r="I224">
        <v>12.0915</v>
      </c>
      <c r="J224">
        <v>11.189418</v>
      </c>
      <c r="K224">
        <v>11.786526</v>
      </c>
      <c r="L224">
        <v>11.906155999999999</v>
      </c>
      <c r="M224">
        <v>11.751732000000001</v>
      </c>
      <c r="N224">
        <v>11.618244000000001</v>
      </c>
      <c r="O224">
        <v>11.892116</v>
      </c>
      <c r="P224">
        <v>11.728961999999999</v>
      </c>
      <c r="Q224">
        <v>11.711570999999999</v>
      </c>
      <c r="R224">
        <v>11.964217</v>
      </c>
      <c r="S224">
        <v>9.7284629999999996</v>
      </c>
      <c r="T224">
        <v>11.638341</v>
      </c>
      <c r="U224">
        <v>12.167154999999999</v>
      </c>
      <c r="V224">
        <v>11.833862999999999</v>
      </c>
      <c r="W224">
        <v>12.056644</v>
      </c>
      <c r="X224">
        <v>11.884003999999999</v>
      </c>
      <c r="Y224">
        <v>11.236413000000001</v>
      </c>
      <c r="Z224">
        <v>12.087479999999999</v>
      </c>
      <c r="AA224">
        <v>12.2184305</v>
      </c>
      <c r="AB224">
        <v>11.617069000000001</v>
      </c>
      <c r="AC224">
        <v>10.599942</v>
      </c>
      <c r="AD224">
        <v>11.990716000000001</v>
      </c>
      <c r="AE224">
        <v>14.601058999999999</v>
      </c>
      <c r="AF224">
        <v>11.720879</v>
      </c>
      <c r="AG224">
        <v>11.932826</v>
      </c>
    </row>
    <row r="225" spans="1:33" x14ac:dyDescent="0.25">
      <c r="A225" s="1">
        <v>44276</v>
      </c>
      <c r="B225">
        <v>11.360611</v>
      </c>
      <c r="C225">
        <v>11.830895</v>
      </c>
      <c r="D225">
        <v>11.491902</v>
      </c>
      <c r="E225">
        <v>11.210851</v>
      </c>
      <c r="F225">
        <v>11.931568</v>
      </c>
      <c r="G225">
        <v>11.877917999999999</v>
      </c>
      <c r="H225">
        <v>12.633888000000001</v>
      </c>
      <c r="I225">
        <v>12.453582000000001</v>
      </c>
      <c r="J225">
        <v>11.343735000000001</v>
      </c>
      <c r="K225">
        <v>11.928379</v>
      </c>
      <c r="L225">
        <v>12.028451</v>
      </c>
      <c r="M225">
        <v>11.805533</v>
      </c>
      <c r="N225">
        <v>11.723148</v>
      </c>
      <c r="O225">
        <v>12.041152</v>
      </c>
      <c r="P225">
        <v>11.852653999999999</v>
      </c>
      <c r="Q225">
        <v>11.783416000000001</v>
      </c>
      <c r="R225">
        <v>12.091976000000001</v>
      </c>
      <c r="S225">
        <v>9.9772215000000006</v>
      </c>
      <c r="T225">
        <v>11.860699</v>
      </c>
      <c r="U225">
        <v>12.265133000000001</v>
      </c>
      <c r="V225">
        <v>12.179558</v>
      </c>
      <c r="W225">
        <v>12.1614685</v>
      </c>
      <c r="X225">
        <v>12.196341500000001</v>
      </c>
      <c r="Y225">
        <v>11.415844999999999</v>
      </c>
      <c r="Z225">
        <v>12.146625999999999</v>
      </c>
      <c r="AA225">
        <v>12.293479</v>
      </c>
      <c r="AB225">
        <v>11.712096000000001</v>
      </c>
      <c r="AC225">
        <v>10.947708</v>
      </c>
      <c r="AD225">
        <v>12.110530000000001</v>
      </c>
      <c r="AE225">
        <v>14.769292</v>
      </c>
      <c r="AF225">
        <v>11.810187000000001</v>
      </c>
      <c r="AG225">
        <v>12.082383</v>
      </c>
    </row>
    <row r="226" spans="1:33" x14ac:dyDescent="0.25">
      <c r="A226" s="1">
        <v>44277</v>
      </c>
      <c r="B226">
        <v>11.714164</v>
      </c>
      <c r="C226">
        <v>12.053788000000001</v>
      </c>
      <c r="D226">
        <v>11.748794999999999</v>
      </c>
      <c r="E226">
        <v>11.567104</v>
      </c>
      <c r="F226">
        <v>12.0828705</v>
      </c>
      <c r="G226">
        <v>12.023300000000001</v>
      </c>
      <c r="H226">
        <v>12.886718</v>
      </c>
      <c r="I226">
        <v>12.596951000000001</v>
      </c>
      <c r="J226">
        <v>11.69505</v>
      </c>
      <c r="K226">
        <v>12.166574000000001</v>
      </c>
      <c r="L226">
        <v>12.244229000000001</v>
      </c>
      <c r="M226">
        <v>11.946336000000001</v>
      </c>
      <c r="N226">
        <v>11.942819</v>
      </c>
      <c r="O226">
        <v>12.24854</v>
      </c>
      <c r="P226">
        <v>12.074078</v>
      </c>
      <c r="Q226">
        <v>11.970032</v>
      </c>
      <c r="R226">
        <v>12.316979</v>
      </c>
      <c r="S226">
        <v>10.0802</v>
      </c>
      <c r="T226">
        <v>12.167776999999999</v>
      </c>
      <c r="U226">
        <v>12.472954</v>
      </c>
      <c r="V226">
        <v>12.441898999999999</v>
      </c>
      <c r="W226">
        <v>12.486157</v>
      </c>
      <c r="X226">
        <v>12.444509999999999</v>
      </c>
      <c r="Y226">
        <v>11.780315</v>
      </c>
      <c r="Z226">
        <v>12.353242</v>
      </c>
      <c r="AA226">
        <v>12.528102000000001</v>
      </c>
      <c r="AB226">
        <v>11.971176</v>
      </c>
      <c r="AC226">
        <v>11.253773000000001</v>
      </c>
      <c r="AD226">
        <v>12.311794000000001</v>
      </c>
      <c r="AE226">
        <v>15.087223</v>
      </c>
      <c r="AF226">
        <v>11.976766</v>
      </c>
      <c r="AG226">
        <v>12.487812</v>
      </c>
    </row>
    <row r="227" spans="1:33" x14ac:dyDescent="0.25">
      <c r="A227" s="1">
        <v>44278</v>
      </c>
      <c r="B227">
        <v>11.627814000000001</v>
      </c>
      <c r="C227">
        <v>12.098663</v>
      </c>
      <c r="D227">
        <v>11.868255</v>
      </c>
      <c r="E227">
        <v>11.749321999999999</v>
      </c>
      <c r="F227">
        <v>12.106866</v>
      </c>
      <c r="G227">
        <v>12.127886999999999</v>
      </c>
      <c r="H227">
        <v>12.855426</v>
      </c>
      <c r="I227">
        <v>12.472289999999999</v>
      </c>
      <c r="J227">
        <v>11.743876999999999</v>
      </c>
      <c r="K227">
        <v>12.244557</v>
      </c>
      <c r="L227">
        <v>12.303781000000001</v>
      </c>
      <c r="M227">
        <v>12.046764</v>
      </c>
      <c r="N227">
        <v>12.084091000000001</v>
      </c>
      <c r="O227">
        <v>12.351963</v>
      </c>
      <c r="P227">
        <v>12.192561</v>
      </c>
      <c r="Q227">
        <v>12.102753</v>
      </c>
      <c r="R227">
        <v>12.340291000000001</v>
      </c>
      <c r="S227">
        <v>10.582782</v>
      </c>
      <c r="T227">
        <v>12.308049</v>
      </c>
      <c r="U227">
        <v>12.559483999999999</v>
      </c>
      <c r="V227">
        <v>12.395092</v>
      </c>
      <c r="W227">
        <v>12.962837</v>
      </c>
      <c r="X227">
        <v>12.393325000000001</v>
      </c>
      <c r="Y227">
        <v>12.070805</v>
      </c>
      <c r="Z227">
        <v>12.365451</v>
      </c>
      <c r="AA227">
        <v>12.665359</v>
      </c>
      <c r="AB227">
        <v>12.217952</v>
      </c>
      <c r="AC227">
        <v>11.306436</v>
      </c>
      <c r="AD227">
        <v>12.410473</v>
      </c>
      <c r="AE227">
        <v>14.812459</v>
      </c>
      <c r="AF227">
        <v>12.135724</v>
      </c>
      <c r="AG227">
        <v>12.594722000000001</v>
      </c>
    </row>
    <row r="228" spans="1:33" x14ac:dyDescent="0.25">
      <c r="A228" s="1">
        <v>44279</v>
      </c>
      <c r="B228">
        <v>11.811175</v>
      </c>
      <c r="C228">
        <v>12.099086</v>
      </c>
      <c r="D228">
        <v>11.976399000000001</v>
      </c>
      <c r="E228">
        <v>11.999909000000001</v>
      </c>
      <c r="F228">
        <v>12.2196</v>
      </c>
      <c r="G228">
        <v>12.194348</v>
      </c>
      <c r="H228">
        <v>13.183619500000001</v>
      </c>
      <c r="I228">
        <v>12.144608</v>
      </c>
      <c r="J228">
        <v>11.383611</v>
      </c>
      <c r="K228">
        <v>12.261184999999999</v>
      </c>
      <c r="L228">
        <v>12.370884</v>
      </c>
      <c r="M228">
        <v>12.138864999999999</v>
      </c>
      <c r="N228">
        <v>12.16187</v>
      </c>
      <c r="O228">
        <v>12.406758</v>
      </c>
      <c r="P228">
        <v>12.183368</v>
      </c>
      <c r="Q228">
        <v>12.154778500000001</v>
      </c>
      <c r="R228">
        <v>12.419608</v>
      </c>
      <c r="S228">
        <v>10.438456</v>
      </c>
      <c r="T228">
        <v>12.364499</v>
      </c>
      <c r="U228">
        <v>12.479444000000001</v>
      </c>
      <c r="V228">
        <v>12.548259</v>
      </c>
      <c r="W228">
        <v>13.029152</v>
      </c>
      <c r="X228">
        <v>12.603467</v>
      </c>
      <c r="Y228">
        <v>12.132656000000001</v>
      </c>
      <c r="Z228">
        <v>12.275971</v>
      </c>
      <c r="AA228">
        <v>12.665789999999999</v>
      </c>
      <c r="AB228">
        <v>12.267181000000001</v>
      </c>
      <c r="AC228">
        <v>11.2752075</v>
      </c>
      <c r="AD228">
        <v>12.441124</v>
      </c>
      <c r="AE228">
        <v>14.7824545</v>
      </c>
      <c r="AF228">
        <v>12.209908499999999</v>
      </c>
      <c r="AG228">
        <v>12.617133000000001</v>
      </c>
    </row>
    <row r="229" spans="1:33" x14ac:dyDescent="0.25">
      <c r="A229" s="1">
        <v>44280</v>
      </c>
      <c r="B229">
        <v>12.165592</v>
      </c>
      <c r="C229">
        <v>12.328899</v>
      </c>
      <c r="D229">
        <v>12.258609999999999</v>
      </c>
      <c r="E229">
        <v>12.369194999999999</v>
      </c>
      <c r="F229">
        <v>12.405495</v>
      </c>
      <c r="G229">
        <v>12.361663999999999</v>
      </c>
      <c r="H229">
        <v>13.732735999999999</v>
      </c>
      <c r="I229">
        <v>12.34869</v>
      </c>
      <c r="J229">
        <v>11.762539</v>
      </c>
      <c r="K229">
        <v>12.463782999999999</v>
      </c>
      <c r="L229">
        <v>12.617747</v>
      </c>
      <c r="M229">
        <v>12.321774</v>
      </c>
      <c r="N229">
        <v>12.418884</v>
      </c>
      <c r="O229">
        <v>12.596762999999999</v>
      </c>
      <c r="P229">
        <v>12.401005</v>
      </c>
      <c r="Q229">
        <v>12.334061999999999</v>
      </c>
      <c r="R229">
        <v>12.584718000000001</v>
      </c>
      <c r="S229">
        <v>10.645894</v>
      </c>
      <c r="T229">
        <v>12.673012</v>
      </c>
      <c r="U229">
        <v>12.780995000000001</v>
      </c>
      <c r="V229">
        <v>12.914585000000001</v>
      </c>
      <c r="W229">
        <v>13.03482</v>
      </c>
      <c r="X229">
        <v>13.112054000000001</v>
      </c>
      <c r="Y229">
        <v>12.387969</v>
      </c>
      <c r="Z229">
        <v>12.543297000000001</v>
      </c>
      <c r="AA229">
        <v>12.888206500000001</v>
      </c>
      <c r="AB229">
        <v>12.516978999999999</v>
      </c>
      <c r="AC229">
        <v>11.68521</v>
      </c>
      <c r="AD229">
        <v>12.646706</v>
      </c>
      <c r="AE229">
        <v>15.439318999999999</v>
      </c>
      <c r="AF229">
        <v>12.477142000000001</v>
      </c>
      <c r="AG229">
        <v>12.889225</v>
      </c>
    </row>
    <row r="230" spans="1:33" x14ac:dyDescent="0.25">
      <c r="A230" s="1">
        <v>44281</v>
      </c>
      <c r="B230">
        <v>12.529716499999999</v>
      </c>
      <c r="C230">
        <v>12.458316999999999</v>
      </c>
      <c r="D230">
        <v>12.493017999999999</v>
      </c>
      <c r="E230">
        <v>12.632363</v>
      </c>
      <c r="F230">
        <v>12.566269999999999</v>
      </c>
      <c r="G230">
        <v>12.525998</v>
      </c>
      <c r="H230">
        <v>13.683021</v>
      </c>
      <c r="I230">
        <v>12.475493999999999</v>
      </c>
      <c r="J230">
        <v>11.933450000000001</v>
      </c>
      <c r="K230">
        <v>12.569226</v>
      </c>
      <c r="L230">
        <v>12.734268999999999</v>
      </c>
      <c r="M230">
        <v>12.483249000000001</v>
      </c>
      <c r="N230">
        <v>12.53111</v>
      </c>
      <c r="O230">
        <v>12.737928999999999</v>
      </c>
      <c r="P230">
        <v>12.5251465</v>
      </c>
      <c r="Q230">
        <v>12.457390999999999</v>
      </c>
      <c r="R230">
        <v>12.709897</v>
      </c>
      <c r="S230">
        <v>10.981071999999999</v>
      </c>
      <c r="T230">
        <v>12.865353000000001</v>
      </c>
      <c r="U230">
        <v>12.917320999999999</v>
      </c>
      <c r="V230">
        <v>13.129243000000001</v>
      </c>
      <c r="W230">
        <v>13.321052999999999</v>
      </c>
      <c r="X230">
        <v>13.231358999999999</v>
      </c>
      <c r="Y230">
        <v>12.545403</v>
      </c>
      <c r="Z230">
        <v>12.645382</v>
      </c>
      <c r="AA230">
        <v>13.104348</v>
      </c>
      <c r="AB230">
        <v>12.709630000000001</v>
      </c>
      <c r="AC230">
        <v>11.910356</v>
      </c>
      <c r="AD230">
        <v>12.780089</v>
      </c>
      <c r="AE230">
        <v>15.633762000000001</v>
      </c>
      <c r="AF230">
        <v>12.674441</v>
      </c>
      <c r="AG230">
        <v>13.07133</v>
      </c>
    </row>
    <row r="231" spans="1:33" x14ac:dyDescent="0.25">
      <c r="A231" s="1">
        <v>44282</v>
      </c>
      <c r="B231">
        <v>13.114158</v>
      </c>
      <c r="C231">
        <v>12.792078999999999</v>
      </c>
      <c r="D231">
        <v>12.848697</v>
      </c>
      <c r="E231">
        <v>12.977786999999999</v>
      </c>
      <c r="F231">
        <v>12.941903</v>
      </c>
      <c r="G231">
        <v>12.774793000000001</v>
      </c>
      <c r="H231">
        <v>13.880736000000001</v>
      </c>
      <c r="I231">
        <v>12.947502999999999</v>
      </c>
      <c r="J231">
        <v>12.433394</v>
      </c>
      <c r="K231">
        <v>12.862094000000001</v>
      </c>
      <c r="L231">
        <v>13.028676000000001</v>
      </c>
      <c r="M231">
        <v>12.780029000000001</v>
      </c>
      <c r="N231">
        <v>12.883495</v>
      </c>
      <c r="O231">
        <v>13.071796000000001</v>
      </c>
      <c r="P231">
        <v>12.8245325</v>
      </c>
      <c r="Q231">
        <v>12.720129999999999</v>
      </c>
      <c r="R231">
        <v>13.006417000000001</v>
      </c>
      <c r="S231">
        <v>11.264786000000001</v>
      </c>
      <c r="T231">
        <v>13.154892</v>
      </c>
      <c r="U231">
        <v>13.292942</v>
      </c>
      <c r="V231">
        <v>13.35313</v>
      </c>
      <c r="W231">
        <v>13.906829999999999</v>
      </c>
      <c r="X231">
        <v>13.428189</v>
      </c>
      <c r="Y231">
        <v>12.861309</v>
      </c>
      <c r="Z231">
        <v>12.988875</v>
      </c>
      <c r="AA231">
        <v>13.409459</v>
      </c>
      <c r="AB231">
        <v>12.997942999999999</v>
      </c>
      <c r="AC231">
        <v>12.318497000000001</v>
      </c>
      <c r="AD231">
        <v>13.041077</v>
      </c>
      <c r="AE231">
        <v>16.450068000000002</v>
      </c>
      <c r="AF231">
        <v>12.92141</v>
      </c>
      <c r="AG231">
        <v>13.411175999999999</v>
      </c>
    </row>
    <row r="232" spans="1:33" x14ac:dyDescent="0.25">
      <c r="A232" s="1">
        <v>44283</v>
      </c>
      <c r="B232">
        <v>13.587513</v>
      </c>
      <c r="C232">
        <v>13.128634</v>
      </c>
      <c r="D232">
        <v>13.229186</v>
      </c>
      <c r="E232">
        <v>13.334636</v>
      </c>
      <c r="F232">
        <v>13.274568</v>
      </c>
      <c r="G232">
        <v>13.125807999999999</v>
      </c>
      <c r="H232">
        <v>14.116853000000001</v>
      </c>
      <c r="I232">
        <v>13.404928999999999</v>
      </c>
      <c r="J232">
        <v>13.219388</v>
      </c>
      <c r="K232">
        <v>13.255478</v>
      </c>
      <c r="L232">
        <v>13.401633</v>
      </c>
      <c r="M232">
        <v>13.141544</v>
      </c>
      <c r="N232">
        <v>13.264101999999999</v>
      </c>
      <c r="O232">
        <v>13.413819</v>
      </c>
      <c r="P232">
        <v>13.221011000000001</v>
      </c>
      <c r="Q232">
        <v>13.068569999999999</v>
      </c>
      <c r="R232">
        <v>13.305654000000001</v>
      </c>
      <c r="S232">
        <v>12.0700655</v>
      </c>
      <c r="T232">
        <v>13.5559435</v>
      </c>
      <c r="U232">
        <v>13.796488999999999</v>
      </c>
      <c r="V232">
        <v>13.813682</v>
      </c>
      <c r="W232">
        <v>14.209001000000001</v>
      </c>
      <c r="X232">
        <v>13.958095</v>
      </c>
      <c r="Y232">
        <v>13.396288999999999</v>
      </c>
      <c r="Z232">
        <v>13.529</v>
      </c>
      <c r="AA232">
        <v>13.859069999999999</v>
      </c>
      <c r="AB232">
        <v>13.499475</v>
      </c>
      <c r="AC232">
        <v>13.014141</v>
      </c>
      <c r="AD232">
        <v>13.402172999999999</v>
      </c>
      <c r="AE232">
        <v>17.421987999999999</v>
      </c>
      <c r="AF232">
        <v>13.273410999999999</v>
      </c>
      <c r="AG232">
        <v>13.908143000000001</v>
      </c>
    </row>
    <row r="233" spans="1:33" x14ac:dyDescent="0.25">
      <c r="A233" s="1">
        <v>44284</v>
      </c>
      <c r="B233">
        <v>13.855615</v>
      </c>
      <c r="C233">
        <v>13.329235000000001</v>
      </c>
      <c r="D233">
        <v>13.430887999999999</v>
      </c>
      <c r="E233">
        <v>13.556901</v>
      </c>
      <c r="F233">
        <v>13.502826000000001</v>
      </c>
      <c r="G233">
        <v>13.415959000000001</v>
      </c>
      <c r="H233">
        <v>14.245174</v>
      </c>
      <c r="I233">
        <v>13.610213</v>
      </c>
      <c r="J233">
        <v>13.69516</v>
      </c>
      <c r="K233">
        <v>13.52206</v>
      </c>
      <c r="L233">
        <v>13.693390000000001</v>
      </c>
      <c r="M233">
        <v>13.411091000000001</v>
      </c>
      <c r="N233">
        <v>13.491253</v>
      </c>
      <c r="O233">
        <v>13.563620999999999</v>
      </c>
      <c r="P233">
        <v>13.499580999999999</v>
      </c>
      <c r="Q233">
        <v>13.331992</v>
      </c>
      <c r="R233">
        <v>13.480589999999999</v>
      </c>
      <c r="S233">
        <v>12.33315</v>
      </c>
      <c r="T233">
        <v>13.820399999999999</v>
      </c>
      <c r="U233">
        <v>14.195373999999999</v>
      </c>
      <c r="V233">
        <v>14.170680000000001</v>
      </c>
      <c r="W233">
        <v>14.657401</v>
      </c>
      <c r="X233">
        <v>14.420522</v>
      </c>
      <c r="Y233">
        <v>13.799168</v>
      </c>
      <c r="Z233">
        <v>13.975459000000001</v>
      </c>
      <c r="AA233">
        <v>14.242248</v>
      </c>
      <c r="AB233">
        <v>13.891425999999999</v>
      </c>
      <c r="AC233">
        <v>13.459213999999999</v>
      </c>
      <c r="AD233">
        <v>13.700393</v>
      </c>
      <c r="AE233">
        <v>17.885954000000002</v>
      </c>
      <c r="AF233">
        <v>13.58944</v>
      </c>
      <c r="AG233">
        <v>14.187720000000001</v>
      </c>
    </row>
    <row r="234" spans="1:33" x14ac:dyDescent="0.25">
      <c r="A234" s="1">
        <v>44285</v>
      </c>
      <c r="B234">
        <v>13.763415</v>
      </c>
      <c r="C234">
        <v>13.464119999999999</v>
      </c>
      <c r="D234">
        <v>13.31766</v>
      </c>
      <c r="E234">
        <v>13.546692999999999</v>
      </c>
      <c r="F234">
        <v>13.723241</v>
      </c>
      <c r="G234">
        <v>13.603982</v>
      </c>
      <c r="H234">
        <v>14.320644</v>
      </c>
      <c r="I234">
        <v>13.8326235</v>
      </c>
      <c r="J234">
        <v>13.592393</v>
      </c>
      <c r="K234">
        <v>13.531228</v>
      </c>
      <c r="L234">
        <v>13.749127</v>
      </c>
      <c r="M234">
        <v>13.570029</v>
      </c>
      <c r="N234">
        <v>13.493302</v>
      </c>
      <c r="O234">
        <v>13.542047</v>
      </c>
      <c r="P234">
        <v>13.537786000000001</v>
      </c>
      <c r="Q234">
        <v>13.459823999999999</v>
      </c>
      <c r="R234">
        <v>13.498588</v>
      </c>
      <c r="S234">
        <v>11.982373000000001</v>
      </c>
      <c r="T234">
        <v>13.642547</v>
      </c>
      <c r="U234">
        <v>14.049573000000001</v>
      </c>
      <c r="V234">
        <v>13.997066500000001</v>
      </c>
      <c r="W234">
        <v>14.759967</v>
      </c>
      <c r="X234">
        <v>14.185373999999999</v>
      </c>
      <c r="Y234">
        <v>13.925363000000001</v>
      </c>
      <c r="Z234">
        <v>14.014688</v>
      </c>
      <c r="AA234">
        <v>14.367428</v>
      </c>
      <c r="AB234">
        <v>14.008179</v>
      </c>
      <c r="AC234">
        <v>13.611648000000001</v>
      </c>
      <c r="AD234">
        <v>13.779</v>
      </c>
      <c r="AE234">
        <v>17.036456999999999</v>
      </c>
      <c r="AF234">
        <v>13.761585999999999</v>
      </c>
      <c r="AG234">
        <v>14.136037</v>
      </c>
    </row>
    <row r="235" spans="1:33" x14ac:dyDescent="0.25">
      <c r="A235" s="1">
        <v>44286</v>
      </c>
      <c r="B235">
        <v>14.074426000000001</v>
      </c>
      <c r="C235">
        <v>13.766954999999999</v>
      </c>
      <c r="D235">
        <v>13.347942</v>
      </c>
      <c r="E235">
        <v>13.688656</v>
      </c>
      <c r="F235">
        <v>14.070613</v>
      </c>
      <c r="G235">
        <v>13.874255</v>
      </c>
      <c r="H235">
        <v>14.540718999999999</v>
      </c>
      <c r="I235">
        <v>14.328029000000001</v>
      </c>
      <c r="J235">
        <v>14.009743</v>
      </c>
      <c r="K235">
        <v>13.7800665</v>
      </c>
      <c r="L235">
        <v>14.038525</v>
      </c>
      <c r="M235">
        <v>13.847778999999999</v>
      </c>
      <c r="N235">
        <v>13.736026000000001</v>
      </c>
      <c r="O235">
        <v>13.882987999999999</v>
      </c>
      <c r="P235">
        <v>13.769314</v>
      </c>
      <c r="Q235">
        <v>13.715417</v>
      </c>
      <c r="R235">
        <v>13.794041999999999</v>
      </c>
      <c r="S235">
        <v>12.016465</v>
      </c>
      <c r="T235">
        <v>13.864212999999999</v>
      </c>
      <c r="U235">
        <v>14.302218999999999</v>
      </c>
      <c r="V235">
        <v>14.314164</v>
      </c>
      <c r="W235">
        <v>15.023762</v>
      </c>
      <c r="X235">
        <v>14.585549</v>
      </c>
      <c r="Y235">
        <v>14.233153</v>
      </c>
      <c r="Z235">
        <v>14.310924999999999</v>
      </c>
      <c r="AA235">
        <v>14.634282000000001</v>
      </c>
      <c r="AB235">
        <v>14.276596</v>
      </c>
      <c r="AC235">
        <v>13.851628</v>
      </c>
      <c r="AD235">
        <v>14.016101000000001</v>
      </c>
      <c r="AE235">
        <v>17.498262</v>
      </c>
      <c r="AF235">
        <v>14.031276</v>
      </c>
      <c r="AG235">
        <v>14.447331</v>
      </c>
    </row>
    <row r="236" spans="1:33" x14ac:dyDescent="0.25">
      <c r="A236" s="1">
        <v>44287</v>
      </c>
      <c r="B236">
        <v>14.601981</v>
      </c>
      <c r="C236">
        <v>14.244453</v>
      </c>
      <c r="D236">
        <v>13.672943999999999</v>
      </c>
      <c r="E236">
        <v>14.068918999999999</v>
      </c>
      <c r="F236">
        <v>14.612893</v>
      </c>
      <c r="G236">
        <v>14.320739</v>
      </c>
      <c r="H236">
        <v>15.053917999999999</v>
      </c>
      <c r="I236">
        <v>15.21468</v>
      </c>
      <c r="J236">
        <v>14.836135000000001</v>
      </c>
      <c r="K236">
        <v>14.239373000000001</v>
      </c>
      <c r="L236">
        <v>14.470551</v>
      </c>
      <c r="M236">
        <v>14.278657000000001</v>
      </c>
      <c r="N236">
        <v>14.128632</v>
      </c>
      <c r="O236">
        <v>14.330926</v>
      </c>
      <c r="P236">
        <v>14.198489</v>
      </c>
      <c r="Q236">
        <v>14.152431999999999</v>
      </c>
      <c r="R236">
        <v>14.210851</v>
      </c>
      <c r="S236">
        <v>12.95618</v>
      </c>
      <c r="T236">
        <v>14.412497999999999</v>
      </c>
      <c r="U236">
        <v>14.880248999999999</v>
      </c>
      <c r="V236">
        <v>14.910385</v>
      </c>
      <c r="W236">
        <v>15.156580999999999</v>
      </c>
      <c r="X236">
        <v>15.236088000000001</v>
      </c>
      <c r="Y236">
        <v>14.88585</v>
      </c>
      <c r="Z236">
        <v>14.887062</v>
      </c>
      <c r="AA236">
        <v>15.167707999999999</v>
      </c>
      <c r="AB236">
        <v>14.875252</v>
      </c>
      <c r="AC236">
        <v>14.436737000000001</v>
      </c>
      <c r="AD236">
        <v>14.41048</v>
      </c>
      <c r="AE236">
        <v>18.674555000000002</v>
      </c>
      <c r="AF236">
        <v>14.419801</v>
      </c>
      <c r="AG236">
        <v>15.115425999999999</v>
      </c>
    </row>
    <row r="237" spans="1:33" x14ac:dyDescent="0.25">
      <c r="A237" s="1">
        <v>44288</v>
      </c>
      <c r="B237">
        <v>14.714862</v>
      </c>
      <c r="C237">
        <v>14.465337</v>
      </c>
      <c r="D237">
        <v>13.891754000000001</v>
      </c>
      <c r="E237">
        <v>14.250346</v>
      </c>
      <c r="F237">
        <v>14.771371</v>
      </c>
      <c r="G237">
        <v>14.651210000000001</v>
      </c>
      <c r="H237">
        <v>15.35554</v>
      </c>
      <c r="I237">
        <v>15.369414000000001</v>
      </c>
      <c r="J237">
        <v>15.340237999999999</v>
      </c>
      <c r="K237">
        <v>14.593861</v>
      </c>
      <c r="L237">
        <v>14.7976265</v>
      </c>
      <c r="M237">
        <v>14.552486999999999</v>
      </c>
      <c r="N237">
        <v>14.394231</v>
      </c>
      <c r="O237">
        <v>14.622009</v>
      </c>
      <c r="P237">
        <v>14.529724999999999</v>
      </c>
      <c r="Q237">
        <v>14.475568000000001</v>
      </c>
      <c r="R237">
        <v>14.529475</v>
      </c>
      <c r="S237">
        <v>13.697190000000001</v>
      </c>
      <c r="T237">
        <v>14.871661</v>
      </c>
      <c r="U237">
        <v>15.284946</v>
      </c>
      <c r="V237">
        <v>15.298344999999999</v>
      </c>
      <c r="W237">
        <v>15.5260935</v>
      </c>
      <c r="X237">
        <v>15.58131</v>
      </c>
      <c r="Y237">
        <v>15.480786</v>
      </c>
      <c r="Z237">
        <v>15.341357</v>
      </c>
      <c r="AA237">
        <v>15.637370000000001</v>
      </c>
      <c r="AB237">
        <v>15.450483999999999</v>
      </c>
      <c r="AC237">
        <v>14.964019</v>
      </c>
      <c r="AD237">
        <v>14.768371999999999</v>
      </c>
      <c r="AE237">
        <v>19.304521999999999</v>
      </c>
      <c r="AF237">
        <v>14.775252999999999</v>
      </c>
      <c r="AG237">
        <v>15.607913</v>
      </c>
    </row>
    <row r="238" spans="1:33" x14ac:dyDescent="0.25">
      <c r="A238" s="1">
        <v>44289</v>
      </c>
      <c r="B238">
        <v>14.476398</v>
      </c>
      <c r="C238">
        <v>14.561749000000001</v>
      </c>
      <c r="D238">
        <v>13.975839000000001</v>
      </c>
      <c r="E238">
        <v>14.234264</v>
      </c>
      <c r="F238">
        <v>14.679641999999999</v>
      </c>
      <c r="G238">
        <v>14.707801</v>
      </c>
      <c r="H238">
        <v>15.348735</v>
      </c>
      <c r="I238">
        <v>15.020013000000001</v>
      </c>
      <c r="J238">
        <v>15.105411</v>
      </c>
      <c r="K238">
        <v>14.666282000000001</v>
      </c>
      <c r="L238">
        <v>14.970606999999999</v>
      </c>
      <c r="M238">
        <v>14.607925</v>
      </c>
      <c r="N238">
        <v>14.466972</v>
      </c>
      <c r="O238">
        <v>14.754284999999999</v>
      </c>
      <c r="P238">
        <v>14.605385</v>
      </c>
      <c r="Q238">
        <v>14.556381999999999</v>
      </c>
      <c r="R238">
        <v>14.717388</v>
      </c>
      <c r="S238">
        <v>13.626592</v>
      </c>
      <c r="T238">
        <v>15.062671999999999</v>
      </c>
      <c r="U238">
        <v>15.505718</v>
      </c>
      <c r="V238">
        <v>15.31133</v>
      </c>
      <c r="W238">
        <v>15.886518000000001</v>
      </c>
      <c r="X238">
        <v>15.528651</v>
      </c>
      <c r="Y238">
        <v>15.84177</v>
      </c>
      <c r="Z238">
        <v>15.565483</v>
      </c>
      <c r="AA238">
        <v>15.930058499999999</v>
      </c>
      <c r="AB238">
        <v>15.831727000000001</v>
      </c>
      <c r="AC238">
        <v>15.335811</v>
      </c>
      <c r="AD238">
        <v>14.981341</v>
      </c>
      <c r="AE238">
        <v>18.988980999999999</v>
      </c>
      <c r="AF238">
        <v>15.091673999999999</v>
      </c>
      <c r="AG238">
        <v>15.929967</v>
      </c>
    </row>
    <row r="239" spans="1:33" x14ac:dyDescent="0.25">
      <c r="A239" s="1">
        <v>44290</v>
      </c>
      <c r="B239">
        <v>14.22776</v>
      </c>
      <c r="C239">
        <v>14.582101</v>
      </c>
      <c r="D239">
        <v>14.029980999999999</v>
      </c>
      <c r="E239">
        <v>14.222865000000001</v>
      </c>
      <c r="F239">
        <v>14.541179</v>
      </c>
      <c r="G239">
        <v>14.648762</v>
      </c>
      <c r="H239">
        <v>15.2098055</v>
      </c>
      <c r="I239">
        <v>14.626339</v>
      </c>
      <c r="J239">
        <v>14.726546000000001</v>
      </c>
      <c r="K239">
        <v>14.698369</v>
      </c>
      <c r="L239">
        <v>15.045329000000001</v>
      </c>
      <c r="M239">
        <v>14.551892</v>
      </c>
      <c r="N239">
        <v>14.555431</v>
      </c>
      <c r="O239">
        <v>14.932847000000001</v>
      </c>
      <c r="P239">
        <v>14.631745</v>
      </c>
      <c r="Q239">
        <v>14.567722</v>
      </c>
      <c r="R239">
        <v>14.883660000000001</v>
      </c>
      <c r="S239">
        <v>13.153466</v>
      </c>
      <c r="T239">
        <v>15.182395</v>
      </c>
      <c r="U239">
        <v>15.640243</v>
      </c>
      <c r="V239">
        <v>15.33034</v>
      </c>
      <c r="W239">
        <v>15.809196999999999</v>
      </c>
      <c r="X239">
        <v>15.513116</v>
      </c>
      <c r="Y239">
        <v>15.951589</v>
      </c>
      <c r="Z239">
        <v>15.6825285</v>
      </c>
      <c r="AA239">
        <v>16.110334000000002</v>
      </c>
      <c r="AB239">
        <v>16.010448</v>
      </c>
      <c r="AC239">
        <v>15.399056</v>
      </c>
      <c r="AD239">
        <v>15.138799000000001</v>
      </c>
      <c r="AE239">
        <v>18.335953</v>
      </c>
      <c r="AF239">
        <v>15.376655</v>
      </c>
      <c r="AG239">
        <v>16.131703999999999</v>
      </c>
    </row>
    <row r="240" spans="1:33" x14ac:dyDescent="0.25">
      <c r="A240" s="1">
        <v>44291</v>
      </c>
      <c r="B240">
        <v>14.322654</v>
      </c>
      <c r="C240">
        <v>14.603358</v>
      </c>
      <c r="D240">
        <v>14.157184000000001</v>
      </c>
      <c r="E240">
        <v>14.380843</v>
      </c>
      <c r="F240">
        <v>14.518551</v>
      </c>
      <c r="G240">
        <v>14.626037</v>
      </c>
      <c r="H240">
        <v>15.230224</v>
      </c>
      <c r="I240">
        <v>14.388457000000001</v>
      </c>
      <c r="J240">
        <v>14.545562</v>
      </c>
      <c r="K240">
        <v>14.758813</v>
      </c>
      <c r="L240">
        <v>15.095707000000001</v>
      </c>
      <c r="M240">
        <v>14.544684</v>
      </c>
      <c r="N240">
        <v>14.639217</v>
      </c>
      <c r="O240">
        <v>14.99564</v>
      </c>
      <c r="P240">
        <v>14.686510999999999</v>
      </c>
      <c r="Q240">
        <v>14.592791999999999</v>
      </c>
      <c r="R240">
        <v>14.981697</v>
      </c>
      <c r="S240">
        <v>12.846726</v>
      </c>
      <c r="T240">
        <v>15.266849499999999</v>
      </c>
      <c r="U240">
        <v>15.673743999999999</v>
      </c>
      <c r="V240">
        <v>15.419060999999999</v>
      </c>
      <c r="W240">
        <v>15.873887</v>
      </c>
      <c r="X240">
        <v>15.66315</v>
      </c>
      <c r="Y240">
        <v>15.902718999999999</v>
      </c>
      <c r="Z240">
        <v>15.682929</v>
      </c>
      <c r="AA240">
        <v>16.209351999999999</v>
      </c>
      <c r="AB240">
        <v>15.993022</v>
      </c>
      <c r="AC240">
        <v>15.260021</v>
      </c>
      <c r="AD240">
        <v>15.247327</v>
      </c>
      <c r="AE240">
        <v>18.215519</v>
      </c>
      <c r="AF240">
        <v>15.657987</v>
      </c>
      <c r="AG240">
        <v>16.267583999999999</v>
      </c>
    </row>
    <row r="241" spans="1:33" x14ac:dyDescent="0.25">
      <c r="A241" s="1">
        <v>44292</v>
      </c>
      <c r="B241">
        <v>14.583159</v>
      </c>
      <c r="C241">
        <v>14.709849999999999</v>
      </c>
      <c r="D241">
        <v>14.371914</v>
      </c>
      <c r="E241">
        <v>14.587455</v>
      </c>
      <c r="F241">
        <v>14.582428</v>
      </c>
      <c r="G241">
        <v>14.647327000000001</v>
      </c>
      <c r="H241">
        <v>15.250145</v>
      </c>
      <c r="I241">
        <v>14.323376</v>
      </c>
      <c r="J241">
        <v>14.774096999999999</v>
      </c>
      <c r="K241">
        <v>14.969704</v>
      </c>
      <c r="L241">
        <v>15.325314499999999</v>
      </c>
      <c r="M241">
        <v>14.611549</v>
      </c>
      <c r="N241">
        <v>14.825006999999999</v>
      </c>
      <c r="O241">
        <v>15.241294</v>
      </c>
      <c r="P241">
        <v>14.887888999999999</v>
      </c>
      <c r="Q241">
        <v>14.685344000000001</v>
      </c>
      <c r="R241">
        <v>15.199487</v>
      </c>
      <c r="S241">
        <v>12.878011000000001</v>
      </c>
      <c r="T241">
        <v>15.446334999999999</v>
      </c>
      <c r="U241">
        <v>15.796996999999999</v>
      </c>
      <c r="V241">
        <v>15.645179000000001</v>
      </c>
      <c r="W241">
        <v>16.005065999999999</v>
      </c>
      <c r="X241">
        <v>15.824339999999999</v>
      </c>
      <c r="Y241">
        <v>15.866871</v>
      </c>
      <c r="Z241">
        <v>15.767158</v>
      </c>
      <c r="AA241">
        <v>16.402557000000002</v>
      </c>
      <c r="AB241">
        <v>16.011030000000002</v>
      </c>
      <c r="AC241">
        <v>14.936030000000001</v>
      </c>
      <c r="AD241">
        <v>15.431041</v>
      </c>
      <c r="AE241">
        <v>18.424364000000001</v>
      </c>
      <c r="AF241">
        <v>15.990878</v>
      </c>
      <c r="AG241">
        <v>16.493442999999999</v>
      </c>
    </row>
    <row r="242" spans="1:33" x14ac:dyDescent="0.25">
      <c r="A242" s="1">
        <v>44293</v>
      </c>
      <c r="B242">
        <v>14.448138</v>
      </c>
      <c r="C242">
        <v>14.644441</v>
      </c>
      <c r="D242">
        <v>14.480172</v>
      </c>
      <c r="E242">
        <v>14.6097555</v>
      </c>
      <c r="F242">
        <v>14.445244000000001</v>
      </c>
      <c r="G242">
        <v>14.621729999999999</v>
      </c>
      <c r="H242">
        <v>15.245113999999999</v>
      </c>
      <c r="I242">
        <v>13.942067</v>
      </c>
      <c r="J242">
        <v>14.810162</v>
      </c>
      <c r="K242">
        <v>15.006584999999999</v>
      </c>
      <c r="L242">
        <v>15.409611999999999</v>
      </c>
      <c r="M242">
        <v>14.610423000000001</v>
      </c>
      <c r="N242">
        <v>14.882091000000001</v>
      </c>
      <c r="O242">
        <v>15.305946</v>
      </c>
      <c r="P242">
        <v>14.960019000000001</v>
      </c>
      <c r="Q242">
        <v>14.696591</v>
      </c>
      <c r="R242">
        <v>15.247859999999999</v>
      </c>
      <c r="S242">
        <v>12.7411995</v>
      </c>
      <c r="T242">
        <v>15.489438</v>
      </c>
      <c r="U242">
        <v>15.79504</v>
      </c>
      <c r="V242">
        <v>15.653956000000001</v>
      </c>
      <c r="W242">
        <v>16.220804000000001</v>
      </c>
      <c r="X242">
        <v>15.805714999999999</v>
      </c>
      <c r="Y242">
        <v>15.900346000000001</v>
      </c>
      <c r="Z242">
        <v>15.74152</v>
      </c>
      <c r="AA242">
        <v>16.587982</v>
      </c>
      <c r="AB242">
        <v>16.027296</v>
      </c>
      <c r="AC242">
        <v>14.76254</v>
      </c>
      <c r="AD242">
        <v>15.5447235</v>
      </c>
      <c r="AE242">
        <v>18.713833000000001</v>
      </c>
      <c r="AF242">
        <v>16.269403000000001</v>
      </c>
      <c r="AG242">
        <v>16.542314999999999</v>
      </c>
    </row>
    <row r="243" spans="1:33" x14ac:dyDescent="0.25">
      <c r="A243" s="1">
        <v>44294</v>
      </c>
      <c r="B243">
        <v>14.39866</v>
      </c>
      <c r="C243">
        <v>14.672594999999999</v>
      </c>
      <c r="D243">
        <v>14.545673000000001</v>
      </c>
      <c r="E243">
        <v>14.577712999999999</v>
      </c>
      <c r="F243">
        <v>14.377378999999999</v>
      </c>
      <c r="G243">
        <v>14.544394499999999</v>
      </c>
      <c r="H243">
        <v>15.106301</v>
      </c>
      <c r="I243">
        <v>13.513616000000001</v>
      </c>
      <c r="J243">
        <v>14.75827</v>
      </c>
      <c r="K243">
        <v>15.107585</v>
      </c>
      <c r="L243">
        <v>15.536738</v>
      </c>
      <c r="M243">
        <v>14.612472</v>
      </c>
      <c r="N243">
        <v>15.012759000000001</v>
      </c>
      <c r="O243">
        <v>15.449268999999999</v>
      </c>
      <c r="P243">
        <v>15.048992</v>
      </c>
      <c r="Q243">
        <v>14.669791999999999</v>
      </c>
      <c r="R243">
        <v>15.40301</v>
      </c>
      <c r="S243">
        <v>12.346841</v>
      </c>
      <c r="T243">
        <v>15.452652</v>
      </c>
      <c r="U243">
        <v>15.812583</v>
      </c>
      <c r="V243">
        <v>15.696721</v>
      </c>
      <c r="W243">
        <v>16.452159999999999</v>
      </c>
      <c r="X243">
        <v>15.811494</v>
      </c>
      <c r="Y243">
        <v>15.542965000000001</v>
      </c>
      <c r="Z243">
        <v>15.682893</v>
      </c>
      <c r="AA243">
        <v>16.587381000000001</v>
      </c>
      <c r="AB243">
        <v>15.79485</v>
      </c>
      <c r="AC243">
        <v>14.351882</v>
      </c>
      <c r="AD243">
        <v>15.655243</v>
      </c>
      <c r="AE243">
        <v>18.323001999999999</v>
      </c>
      <c r="AF243">
        <v>16.461359999999999</v>
      </c>
      <c r="AG243">
        <v>16.36195</v>
      </c>
    </row>
    <row r="244" spans="1:33" x14ac:dyDescent="0.25">
      <c r="A244" s="1">
        <v>44295</v>
      </c>
      <c r="B244">
        <v>14.648887999999999</v>
      </c>
      <c r="C244">
        <v>14.779059</v>
      </c>
      <c r="D244">
        <v>14.683038</v>
      </c>
      <c r="E244">
        <v>14.725944999999999</v>
      </c>
      <c r="F244">
        <v>14.472312000000001</v>
      </c>
      <c r="G244">
        <v>14.624093</v>
      </c>
      <c r="H244">
        <v>15.133922</v>
      </c>
      <c r="I244">
        <v>13.638503999999999</v>
      </c>
      <c r="J244">
        <v>15.108046999999999</v>
      </c>
      <c r="K244">
        <v>15.248158</v>
      </c>
      <c r="L244">
        <v>15.721939000000001</v>
      </c>
      <c r="M244">
        <v>14.681556</v>
      </c>
      <c r="N244">
        <v>15.144539999999999</v>
      </c>
      <c r="O244">
        <v>15.62069</v>
      </c>
      <c r="P244">
        <v>15.20195</v>
      </c>
      <c r="Q244">
        <v>14.744854999999999</v>
      </c>
      <c r="R244">
        <v>15.521966000000001</v>
      </c>
      <c r="S244">
        <v>12.861706</v>
      </c>
      <c r="T244">
        <v>15.539439</v>
      </c>
      <c r="U244">
        <v>16.018286</v>
      </c>
      <c r="V244">
        <v>15.946965000000001</v>
      </c>
      <c r="W244">
        <v>16.588159999999998</v>
      </c>
      <c r="X244">
        <v>16.200941</v>
      </c>
      <c r="Y244">
        <v>15.597955000000001</v>
      </c>
      <c r="Z244">
        <v>15.873004</v>
      </c>
      <c r="AA244">
        <v>16.734629999999999</v>
      </c>
      <c r="AB244">
        <v>15.832444000000001</v>
      </c>
      <c r="AC244">
        <v>14.490570999999999</v>
      </c>
      <c r="AD244">
        <v>15.823426</v>
      </c>
      <c r="AE244">
        <v>18.39602</v>
      </c>
      <c r="AF244">
        <v>16.642645000000002</v>
      </c>
      <c r="AG244">
        <v>16.372591</v>
      </c>
    </row>
    <row r="245" spans="1:33" x14ac:dyDescent="0.25">
      <c r="A245" s="1">
        <v>44296</v>
      </c>
      <c r="B245">
        <v>14.858715999999999</v>
      </c>
      <c r="C245">
        <v>14.812042999999999</v>
      </c>
      <c r="D245">
        <v>14.728154</v>
      </c>
      <c r="E245">
        <v>14.793041000000001</v>
      </c>
      <c r="F245">
        <v>14.52638</v>
      </c>
      <c r="G245">
        <v>14.623661</v>
      </c>
      <c r="H245">
        <v>15.093139000000001</v>
      </c>
      <c r="I245">
        <v>13.649857000000001</v>
      </c>
      <c r="J245">
        <v>15.391728000000001</v>
      </c>
      <c r="K245">
        <v>15.404754000000001</v>
      </c>
      <c r="L245">
        <v>15.900777</v>
      </c>
      <c r="M245">
        <v>14.719450999999999</v>
      </c>
      <c r="N245">
        <v>15.238232999999999</v>
      </c>
      <c r="O245">
        <v>15.791793</v>
      </c>
      <c r="P245">
        <v>15.360789</v>
      </c>
      <c r="Q245">
        <v>14.765679</v>
      </c>
      <c r="R245">
        <v>15.696422999999999</v>
      </c>
      <c r="S245">
        <v>12.956286</v>
      </c>
      <c r="T245">
        <v>15.702861</v>
      </c>
      <c r="U245">
        <v>16.22852</v>
      </c>
      <c r="V245">
        <v>16.269407000000001</v>
      </c>
      <c r="W245">
        <v>16.65072</v>
      </c>
      <c r="X245">
        <v>16.557186000000002</v>
      </c>
      <c r="Y245">
        <v>15.356021</v>
      </c>
      <c r="Z245">
        <v>16.048501999999999</v>
      </c>
      <c r="AA245">
        <v>16.820150000000002</v>
      </c>
      <c r="AB245">
        <v>15.718747</v>
      </c>
      <c r="AC245">
        <v>14.503361</v>
      </c>
      <c r="AD245">
        <v>16.005569999999999</v>
      </c>
      <c r="AE245">
        <v>18.248460000000001</v>
      </c>
      <c r="AF245">
        <v>16.755120999999999</v>
      </c>
      <c r="AG245">
        <v>16.29702</v>
      </c>
    </row>
    <row r="246" spans="1:33" x14ac:dyDescent="0.25">
      <c r="A246" s="1">
        <v>44297</v>
      </c>
      <c r="B246">
        <v>15.382061</v>
      </c>
      <c r="C246">
        <v>15.152794999999999</v>
      </c>
      <c r="D246">
        <v>14.988007</v>
      </c>
      <c r="E246">
        <v>15.059182</v>
      </c>
      <c r="F246">
        <v>14.920375999999999</v>
      </c>
      <c r="G246">
        <v>14.852988</v>
      </c>
      <c r="H246">
        <v>15.330003</v>
      </c>
      <c r="I246">
        <v>14.3657675</v>
      </c>
      <c r="J246">
        <v>15.904095999999999</v>
      </c>
      <c r="K246">
        <v>15.651847</v>
      </c>
      <c r="L246">
        <v>16.147600000000001</v>
      </c>
      <c r="M246">
        <v>14.947445</v>
      </c>
      <c r="N246">
        <v>15.478242</v>
      </c>
      <c r="O246">
        <v>16.032124</v>
      </c>
      <c r="P246">
        <v>15.612731</v>
      </c>
      <c r="Q246">
        <v>14.962293000000001</v>
      </c>
      <c r="R246">
        <v>15.910049000000001</v>
      </c>
      <c r="S246">
        <v>13.619820000000001</v>
      </c>
      <c r="T246">
        <v>16.035026999999999</v>
      </c>
      <c r="U246">
        <v>16.63955</v>
      </c>
      <c r="V246">
        <v>16.586511999999999</v>
      </c>
      <c r="W246">
        <v>16.965353</v>
      </c>
      <c r="X246">
        <v>16.915312</v>
      </c>
      <c r="Y246">
        <v>15.716561</v>
      </c>
      <c r="Z246">
        <v>16.411857999999999</v>
      </c>
      <c r="AA246">
        <v>17.131105000000002</v>
      </c>
      <c r="AB246">
        <v>16.033152000000001</v>
      </c>
      <c r="AC246">
        <v>14.90934</v>
      </c>
      <c r="AD246">
        <v>16.239785999999999</v>
      </c>
      <c r="AE246">
        <v>18.763683</v>
      </c>
      <c r="AF246">
        <v>16.979723</v>
      </c>
      <c r="AG246">
        <v>16.689879999999999</v>
      </c>
    </row>
    <row r="247" spans="1:33" x14ac:dyDescent="0.25">
      <c r="A247" s="1">
        <v>44298</v>
      </c>
      <c r="B247">
        <v>15.765567000000001</v>
      </c>
      <c r="C247">
        <v>15.371165</v>
      </c>
      <c r="D247">
        <v>15.256962</v>
      </c>
      <c r="E247">
        <v>15.329388</v>
      </c>
      <c r="F247">
        <v>15.254238000000001</v>
      </c>
      <c r="G247">
        <v>15.1517725</v>
      </c>
      <c r="H247">
        <v>15.631363</v>
      </c>
      <c r="I247">
        <v>15.008609999999999</v>
      </c>
      <c r="J247">
        <v>16.337126000000001</v>
      </c>
      <c r="K247">
        <v>15.882815000000001</v>
      </c>
      <c r="L247">
        <v>16.360444999999999</v>
      </c>
      <c r="M247">
        <v>15.210319</v>
      </c>
      <c r="N247">
        <v>15.667667</v>
      </c>
      <c r="O247">
        <v>16.21208</v>
      </c>
      <c r="P247">
        <v>15.849477</v>
      </c>
      <c r="Q247">
        <v>15.196987</v>
      </c>
      <c r="R247">
        <v>16.088480000000001</v>
      </c>
      <c r="S247">
        <v>14.190021</v>
      </c>
      <c r="T247">
        <v>16.300283</v>
      </c>
      <c r="U247">
        <v>17.003903999999999</v>
      </c>
      <c r="V247">
        <v>16.779743</v>
      </c>
      <c r="W247">
        <v>17.387339000000001</v>
      </c>
      <c r="X247">
        <v>17.090609000000001</v>
      </c>
      <c r="Y247">
        <v>16.218689000000001</v>
      </c>
      <c r="Z247">
        <v>16.778067</v>
      </c>
      <c r="AA247">
        <v>17.438224999999999</v>
      </c>
      <c r="AB247">
        <v>16.520826</v>
      </c>
      <c r="AC247">
        <v>15.393983</v>
      </c>
      <c r="AD247">
        <v>16.457045000000001</v>
      </c>
      <c r="AE247">
        <v>18.752554</v>
      </c>
      <c r="AF247">
        <v>17.203119999999998</v>
      </c>
      <c r="AG247">
        <v>17.047029999999999</v>
      </c>
    </row>
    <row r="248" spans="1:33" x14ac:dyDescent="0.25">
      <c r="A248" s="1">
        <v>44299</v>
      </c>
      <c r="B248">
        <v>15.991434999999999</v>
      </c>
      <c r="C248">
        <v>15.4438505</v>
      </c>
      <c r="D248">
        <v>15.3351965</v>
      </c>
      <c r="E248">
        <v>15.424973</v>
      </c>
      <c r="F248">
        <v>15.338806999999999</v>
      </c>
      <c r="G248">
        <v>15.361758999999999</v>
      </c>
      <c r="H248">
        <v>15.695275000000001</v>
      </c>
      <c r="I248">
        <v>15.186984000000001</v>
      </c>
      <c r="J248">
        <v>16.650293000000001</v>
      </c>
      <c r="K248">
        <v>16.074062000000001</v>
      </c>
      <c r="L248">
        <v>16.565249999999999</v>
      </c>
      <c r="M248">
        <v>15.384632999999999</v>
      </c>
      <c r="N248">
        <v>15.762460000000001</v>
      </c>
      <c r="O248">
        <v>16.376370000000001</v>
      </c>
      <c r="P248">
        <v>16.045055000000001</v>
      </c>
      <c r="Q248">
        <v>15.3676195</v>
      </c>
      <c r="R248">
        <v>16.229524999999999</v>
      </c>
      <c r="S248">
        <v>14.451618</v>
      </c>
      <c r="T248">
        <v>16.425806000000001</v>
      </c>
      <c r="U248">
        <v>17.252108</v>
      </c>
      <c r="V248">
        <v>16.956018</v>
      </c>
      <c r="W248">
        <v>17.713950000000001</v>
      </c>
      <c r="X248">
        <v>17.286245000000001</v>
      </c>
      <c r="Y248">
        <v>16.471295999999999</v>
      </c>
      <c r="Z248">
        <v>17.095634</v>
      </c>
      <c r="AA248">
        <v>17.669609999999999</v>
      </c>
      <c r="AB248">
        <v>16.772997</v>
      </c>
      <c r="AC248">
        <v>15.6050415</v>
      </c>
      <c r="AD248">
        <v>16.657672999999999</v>
      </c>
      <c r="AE248">
        <v>17.532056999999998</v>
      </c>
      <c r="AF248">
        <v>17.337976000000001</v>
      </c>
      <c r="AG248">
        <v>17.115717</v>
      </c>
    </row>
    <row r="249" spans="1:33" x14ac:dyDescent="0.25">
      <c r="A249" s="1">
        <v>44300</v>
      </c>
      <c r="B249">
        <v>16.000361999999999</v>
      </c>
      <c r="C249">
        <v>15.519856000000001</v>
      </c>
      <c r="D249">
        <v>15.333695000000001</v>
      </c>
      <c r="E249">
        <v>15.439769</v>
      </c>
      <c r="F249">
        <v>15.395720499999999</v>
      </c>
      <c r="G249">
        <v>15.469825</v>
      </c>
      <c r="H249">
        <v>15.637909000000001</v>
      </c>
      <c r="I249">
        <v>15.092732</v>
      </c>
      <c r="J249">
        <v>16.875779999999999</v>
      </c>
      <c r="K249">
        <v>16.282906000000001</v>
      </c>
      <c r="L249">
        <v>16.799225</v>
      </c>
      <c r="M249">
        <v>15.518865</v>
      </c>
      <c r="N249">
        <v>15.946956999999999</v>
      </c>
      <c r="O249">
        <v>16.627934</v>
      </c>
      <c r="P249">
        <v>16.237500000000001</v>
      </c>
      <c r="Q249">
        <v>15.482654</v>
      </c>
      <c r="R249">
        <v>16.453634000000001</v>
      </c>
      <c r="S249">
        <v>14.569824000000001</v>
      </c>
      <c r="T249">
        <v>16.613821000000002</v>
      </c>
      <c r="U249">
        <v>17.467306000000001</v>
      </c>
      <c r="V249">
        <v>17.215572000000002</v>
      </c>
      <c r="W249">
        <v>17.870128999999999</v>
      </c>
      <c r="X249">
        <v>17.581849999999999</v>
      </c>
      <c r="Y249">
        <v>16.371995999999999</v>
      </c>
      <c r="Z249">
        <v>17.37706</v>
      </c>
      <c r="AA249">
        <v>17.755739999999999</v>
      </c>
      <c r="AB249">
        <v>16.675737000000002</v>
      </c>
      <c r="AC249">
        <v>15.389442000000001</v>
      </c>
      <c r="AD249">
        <v>16.867837999999999</v>
      </c>
      <c r="AE249">
        <v>17.340800000000002</v>
      </c>
      <c r="AF249">
        <v>17.377462000000001</v>
      </c>
      <c r="AG249">
        <v>17.039733999999999</v>
      </c>
    </row>
    <row r="250" spans="1:33" x14ac:dyDescent="0.25">
      <c r="A250" s="1">
        <v>44301</v>
      </c>
      <c r="B250">
        <v>15.896131</v>
      </c>
      <c r="C250">
        <v>15.656997</v>
      </c>
      <c r="D250">
        <v>15.320268</v>
      </c>
      <c r="E250">
        <v>15.435851</v>
      </c>
      <c r="F250">
        <v>15.546290000000001</v>
      </c>
      <c r="G250">
        <v>15.632652999999999</v>
      </c>
      <c r="H250">
        <v>15.609826</v>
      </c>
      <c r="I250">
        <v>15.328861</v>
      </c>
      <c r="J250">
        <v>16.896833000000001</v>
      </c>
      <c r="K250">
        <v>16.405294000000001</v>
      </c>
      <c r="L250">
        <v>16.959987999999999</v>
      </c>
      <c r="M250">
        <v>15.661777499999999</v>
      </c>
      <c r="N250">
        <v>16.043156</v>
      </c>
      <c r="O250">
        <v>16.751912999999998</v>
      </c>
      <c r="P250">
        <v>16.350902999999999</v>
      </c>
      <c r="Q250">
        <v>15.624088</v>
      </c>
      <c r="R250">
        <v>16.58961</v>
      </c>
      <c r="S250">
        <v>14.499915</v>
      </c>
      <c r="T250">
        <v>16.737421000000001</v>
      </c>
      <c r="U250">
        <v>17.624410000000001</v>
      </c>
      <c r="V250">
        <v>17.365974000000001</v>
      </c>
      <c r="W250">
        <v>17.810879</v>
      </c>
      <c r="X250">
        <v>17.777819000000001</v>
      </c>
      <c r="Y250">
        <v>16.604652000000002</v>
      </c>
      <c r="Z250">
        <v>17.560770000000002</v>
      </c>
      <c r="AA250">
        <v>17.921448000000002</v>
      </c>
      <c r="AB250">
        <v>16.902687</v>
      </c>
      <c r="AC250">
        <v>15.038539</v>
      </c>
      <c r="AD250">
        <v>17.032843</v>
      </c>
      <c r="AE250">
        <v>17.928156000000001</v>
      </c>
      <c r="AF250">
        <v>17.45401</v>
      </c>
      <c r="AG250">
        <v>17.280134</v>
      </c>
    </row>
    <row r="251" spans="1:33" x14ac:dyDescent="0.25">
      <c r="A251" s="1">
        <v>44302</v>
      </c>
      <c r="B251">
        <v>15.742288</v>
      </c>
      <c r="C251">
        <v>15.703471</v>
      </c>
      <c r="D251">
        <v>15.254889500000001</v>
      </c>
      <c r="E251">
        <v>15.414320999999999</v>
      </c>
      <c r="F251">
        <v>15.503615999999999</v>
      </c>
      <c r="G251">
        <v>15.666683000000001</v>
      </c>
      <c r="H251">
        <v>15.533059</v>
      </c>
      <c r="I251">
        <v>15.133319999999999</v>
      </c>
      <c r="J251">
        <v>16.636751</v>
      </c>
      <c r="K251">
        <v>16.341360000000002</v>
      </c>
      <c r="L251">
        <v>16.928272</v>
      </c>
      <c r="M251">
        <v>15.685285</v>
      </c>
      <c r="N251">
        <v>15.968406999999999</v>
      </c>
      <c r="O251">
        <v>16.715544000000001</v>
      </c>
      <c r="P251">
        <v>16.294824999999999</v>
      </c>
      <c r="Q251">
        <v>15.628655</v>
      </c>
      <c r="R251">
        <v>16.612465</v>
      </c>
      <c r="S251">
        <v>14.435112</v>
      </c>
      <c r="T251">
        <v>16.742830000000001</v>
      </c>
      <c r="U251">
        <v>17.740946000000001</v>
      </c>
      <c r="V251">
        <v>17.330359000000001</v>
      </c>
      <c r="W251">
        <v>17.635666000000001</v>
      </c>
      <c r="X251">
        <v>17.800111999999999</v>
      </c>
      <c r="Y251">
        <v>16.763327</v>
      </c>
      <c r="Z251">
        <v>17.593924999999999</v>
      </c>
      <c r="AA251">
        <v>18.008858</v>
      </c>
      <c r="AB251">
        <v>17.067354000000002</v>
      </c>
      <c r="AC251">
        <v>15.068902</v>
      </c>
      <c r="AD251">
        <v>17.082144</v>
      </c>
      <c r="AE251">
        <v>18.089697000000001</v>
      </c>
      <c r="AF251">
        <v>17.532651999999999</v>
      </c>
      <c r="AG251">
        <v>17.458894999999998</v>
      </c>
    </row>
    <row r="252" spans="1:33" x14ac:dyDescent="0.25">
      <c r="A252" s="1">
        <v>44303</v>
      </c>
      <c r="B252">
        <v>15.989281999999999</v>
      </c>
      <c r="C252">
        <v>15.892077</v>
      </c>
      <c r="D252">
        <v>15.359170000000001</v>
      </c>
      <c r="E252">
        <v>15.564971</v>
      </c>
      <c r="F252">
        <v>15.732961</v>
      </c>
      <c r="G252">
        <v>15.797146</v>
      </c>
      <c r="H252">
        <v>15.647859</v>
      </c>
      <c r="I252">
        <v>15.595329</v>
      </c>
      <c r="J252">
        <v>17.039019</v>
      </c>
      <c r="K252">
        <v>16.556764999999999</v>
      </c>
      <c r="L252">
        <v>17.220120000000001</v>
      </c>
      <c r="M252">
        <v>15.849186</v>
      </c>
      <c r="N252">
        <v>16.179864999999999</v>
      </c>
      <c r="O252">
        <v>17.033795999999999</v>
      </c>
      <c r="P252">
        <v>16.484247</v>
      </c>
      <c r="Q252">
        <v>15.784988999999999</v>
      </c>
      <c r="R252">
        <v>16.886396000000001</v>
      </c>
      <c r="S252">
        <v>14.876811999999999</v>
      </c>
      <c r="T252">
        <v>16.98049</v>
      </c>
      <c r="U252">
        <v>18.017160000000001</v>
      </c>
      <c r="V252">
        <v>17.645192999999999</v>
      </c>
      <c r="W252">
        <v>17.778381</v>
      </c>
      <c r="X252">
        <v>18.069714999999999</v>
      </c>
      <c r="Y252">
        <v>16.689250000000001</v>
      </c>
      <c r="Z252">
        <v>17.820246000000001</v>
      </c>
      <c r="AA252">
        <v>18.217794000000001</v>
      </c>
      <c r="AB252">
        <v>17.08699</v>
      </c>
      <c r="AC252">
        <v>15.39077</v>
      </c>
      <c r="AD252">
        <v>17.311160999999998</v>
      </c>
      <c r="AE252">
        <v>16.961586</v>
      </c>
      <c r="AF252">
        <v>17.644604000000001</v>
      </c>
      <c r="AG252">
        <v>17.753050000000002</v>
      </c>
    </row>
    <row r="253" spans="1:33" x14ac:dyDescent="0.25">
      <c r="A253" s="1">
        <v>44304</v>
      </c>
      <c r="B253">
        <v>16.429590000000001</v>
      </c>
      <c r="C253">
        <v>16.300749</v>
      </c>
      <c r="D253">
        <v>15.693778</v>
      </c>
      <c r="E253">
        <v>15.852815</v>
      </c>
      <c r="F253">
        <v>16.253218</v>
      </c>
      <c r="G253">
        <v>16.122240000000001</v>
      </c>
      <c r="H253">
        <v>15.966495</v>
      </c>
      <c r="I253">
        <v>16.55171</v>
      </c>
      <c r="J253">
        <v>17.530449000000001</v>
      </c>
      <c r="K253">
        <v>16.891515999999999</v>
      </c>
      <c r="L253">
        <v>17.572672000000001</v>
      </c>
      <c r="M253">
        <v>16.180213999999999</v>
      </c>
      <c r="N253">
        <v>16.643923000000001</v>
      </c>
      <c r="O253">
        <v>17.458272999999998</v>
      </c>
      <c r="P253">
        <v>16.802285999999999</v>
      </c>
      <c r="Q253">
        <v>16.170729999999999</v>
      </c>
      <c r="R253">
        <v>17.267697999999999</v>
      </c>
      <c r="S253">
        <v>15.412457</v>
      </c>
      <c r="T253">
        <v>17.398567</v>
      </c>
      <c r="U253">
        <v>18.328312</v>
      </c>
      <c r="V253">
        <v>18.007452000000001</v>
      </c>
      <c r="W253">
        <v>17.991275999999999</v>
      </c>
      <c r="X253">
        <v>18.241356</v>
      </c>
      <c r="Y253">
        <v>16.786072000000001</v>
      </c>
      <c r="Z253">
        <v>18.145966999999999</v>
      </c>
      <c r="AA253">
        <v>18.488918000000002</v>
      </c>
      <c r="AB253">
        <v>17.173325999999999</v>
      </c>
      <c r="AC253">
        <v>15.874019000000001</v>
      </c>
      <c r="AD253">
        <v>17.659357</v>
      </c>
      <c r="AE253">
        <v>17.641998000000001</v>
      </c>
      <c r="AF253">
        <v>17.694962</v>
      </c>
      <c r="AG253">
        <v>18.130894000000001</v>
      </c>
    </row>
    <row r="254" spans="1:33" x14ac:dyDescent="0.25">
      <c r="A254" s="1">
        <v>44305</v>
      </c>
      <c r="B254">
        <v>16.66667</v>
      </c>
      <c r="C254">
        <v>16.573232999999998</v>
      </c>
      <c r="D254">
        <v>16.070366</v>
      </c>
      <c r="E254">
        <v>16.300135000000001</v>
      </c>
      <c r="F254">
        <v>16.515191999999999</v>
      </c>
      <c r="G254">
        <v>16.430081999999999</v>
      </c>
      <c r="H254">
        <v>16.294222000000001</v>
      </c>
      <c r="I254">
        <v>16.894684000000002</v>
      </c>
      <c r="J254">
        <v>18.088984</v>
      </c>
      <c r="K254">
        <v>17.313883000000001</v>
      </c>
      <c r="L254">
        <v>17.931380999999998</v>
      </c>
      <c r="M254">
        <v>16.452639000000001</v>
      </c>
      <c r="N254">
        <v>16.894226</v>
      </c>
      <c r="O254">
        <v>17.770391</v>
      </c>
      <c r="P254">
        <v>17.192076</v>
      </c>
      <c r="Q254">
        <v>16.514213999999999</v>
      </c>
      <c r="R254">
        <v>17.604482999999998</v>
      </c>
      <c r="S254">
        <v>15.94373</v>
      </c>
      <c r="T254">
        <v>17.791014000000001</v>
      </c>
      <c r="U254">
        <v>18.673711999999998</v>
      </c>
      <c r="V254">
        <v>17.998892000000001</v>
      </c>
      <c r="W254">
        <v>18.247340999999999</v>
      </c>
      <c r="X254">
        <v>18.297284999999999</v>
      </c>
      <c r="Y254">
        <v>17.236011999999999</v>
      </c>
      <c r="Z254">
        <v>18.520078999999999</v>
      </c>
      <c r="AA254">
        <v>18.869122999999998</v>
      </c>
      <c r="AB254">
        <v>17.566475000000001</v>
      </c>
      <c r="AC254">
        <v>16.814238</v>
      </c>
      <c r="AD254">
        <v>17.977156000000001</v>
      </c>
      <c r="AE254">
        <v>18.066635000000002</v>
      </c>
      <c r="AF254">
        <v>17.837676999999999</v>
      </c>
      <c r="AG254">
        <v>18.615590000000001</v>
      </c>
    </row>
    <row r="255" spans="1:33" x14ac:dyDescent="0.25">
      <c r="A255" s="1">
        <v>44306</v>
      </c>
      <c r="B255">
        <v>16.718119000000002</v>
      </c>
      <c r="C255">
        <v>16.634186</v>
      </c>
      <c r="D255">
        <v>16.262271999999999</v>
      </c>
      <c r="E255">
        <v>16.518196</v>
      </c>
      <c r="F255">
        <v>16.344000000000001</v>
      </c>
      <c r="G255">
        <v>16.547830000000001</v>
      </c>
      <c r="H255">
        <v>16.455423</v>
      </c>
      <c r="I255">
        <v>16.501732000000001</v>
      </c>
      <c r="J255">
        <v>18.334726</v>
      </c>
      <c r="K255">
        <v>17.577062999999999</v>
      </c>
      <c r="L255">
        <v>18.098120000000002</v>
      </c>
      <c r="M255">
        <v>16.514626</v>
      </c>
      <c r="N255">
        <v>17.010216</v>
      </c>
      <c r="O255">
        <v>17.949432000000002</v>
      </c>
      <c r="P255">
        <v>17.461454</v>
      </c>
      <c r="Q255">
        <v>16.650763999999999</v>
      </c>
      <c r="R255">
        <v>17.797903000000002</v>
      </c>
      <c r="S255">
        <v>16.021149000000001</v>
      </c>
      <c r="T255">
        <v>17.934656</v>
      </c>
      <c r="U255">
        <v>18.797004999999999</v>
      </c>
      <c r="V255">
        <v>18.015968000000001</v>
      </c>
      <c r="W255">
        <v>18.398606999999998</v>
      </c>
      <c r="X255">
        <v>18.297837999999999</v>
      </c>
      <c r="Y255">
        <v>17.129971999999999</v>
      </c>
      <c r="Z255">
        <v>18.748298999999999</v>
      </c>
      <c r="AA255">
        <v>19.015004999999999</v>
      </c>
      <c r="AB255">
        <v>17.412704000000002</v>
      </c>
      <c r="AC255">
        <v>17.77976</v>
      </c>
      <c r="AD255">
        <v>18.255030000000001</v>
      </c>
      <c r="AE255">
        <v>18.152006</v>
      </c>
      <c r="AF255">
        <v>17.805368000000001</v>
      </c>
      <c r="AG255">
        <v>18.431011000000002</v>
      </c>
    </row>
    <row r="256" spans="1:33" x14ac:dyDescent="0.25">
      <c r="A256" s="1">
        <v>44307</v>
      </c>
      <c r="B256">
        <v>16.920642999999998</v>
      </c>
      <c r="C256">
        <v>16.875026999999999</v>
      </c>
      <c r="D256">
        <v>16.547720000000002</v>
      </c>
      <c r="E256">
        <v>16.817157999999999</v>
      </c>
      <c r="F256">
        <v>16.483609999999999</v>
      </c>
      <c r="G256">
        <v>16.59703</v>
      </c>
      <c r="H256">
        <v>16.674318</v>
      </c>
      <c r="I256">
        <v>16.469923000000001</v>
      </c>
      <c r="J256">
        <v>18.320485999999999</v>
      </c>
      <c r="K256">
        <v>17.813105</v>
      </c>
      <c r="L256">
        <v>18.336099999999998</v>
      </c>
      <c r="M256">
        <v>16.623262</v>
      </c>
      <c r="N256">
        <v>17.286176999999999</v>
      </c>
      <c r="O256">
        <v>18.210744999999999</v>
      </c>
      <c r="P256">
        <v>17.702514999999998</v>
      </c>
      <c r="Q256">
        <v>16.789380999999999</v>
      </c>
      <c r="R256">
        <v>18.09037</v>
      </c>
      <c r="S256">
        <v>15.978332999999999</v>
      </c>
      <c r="T256">
        <v>18.187773</v>
      </c>
      <c r="U256">
        <v>18.905390000000001</v>
      </c>
      <c r="V256">
        <v>18.271418000000001</v>
      </c>
      <c r="W256">
        <v>18.504792999999999</v>
      </c>
      <c r="X256">
        <v>18.487127000000001</v>
      </c>
      <c r="Y256">
        <v>17.265898</v>
      </c>
      <c r="Z256">
        <v>18.921959999999999</v>
      </c>
      <c r="AA256">
        <v>19.091830000000002</v>
      </c>
      <c r="AB256">
        <v>17.442038</v>
      </c>
      <c r="AC256">
        <v>18.166160000000001</v>
      </c>
      <c r="AD256">
        <v>18.484991000000001</v>
      </c>
      <c r="AE256">
        <v>17.704816999999998</v>
      </c>
      <c r="AF256">
        <v>17.773202999999999</v>
      </c>
      <c r="AG256">
        <v>18.454298000000001</v>
      </c>
    </row>
    <row r="257" spans="1:33" x14ac:dyDescent="0.25">
      <c r="A257" s="1">
        <v>44308</v>
      </c>
      <c r="B257">
        <v>16.932034999999999</v>
      </c>
      <c r="C257">
        <v>16.843240000000002</v>
      </c>
      <c r="D257">
        <v>16.635672</v>
      </c>
      <c r="E257">
        <v>16.927409999999998</v>
      </c>
      <c r="F257">
        <v>16.434806999999999</v>
      </c>
      <c r="G257">
        <v>16.607430000000001</v>
      </c>
      <c r="H257">
        <v>16.696482</v>
      </c>
      <c r="I257">
        <v>16.137830000000001</v>
      </c>
      <c r="J257">
        <v>18.262837999999999</v>
      </c>
      <c r="K257">
        <v>17.971883999999999</v>
      </c>
      <c r="L257">
        <v>18.48723</v>
      </c>
      <c r="M257">
        <v>16.685092999999998</v>
      </c>
      <c r="N257">
        <v>17.386496000000001</v>
      </c>
      <c r="O257">
        <v>18.288022999999999</v>
      </c>
      <c r="P257">
        <v>17.889610000000001</v>
      </c>
      <c r="Q257">
        <v>16.855982000000001</v>
      </c>
      <c r="R257">
        <v>18.205969</v>
      </c>
      <c r="S257">
        <v>15.42464</v>
      </c>
      <c r="T257">
        <v>18.209423000000001</v>
      </c>
      <c r="U257">
        <v>18.917539999999999</v>
      </c>
      <c r="V257">
        <v>18.276793000000001</v>
      </c>
      <c r="W257">
        <v>18.528345000000002</v>
      </c>
      <c r="X257">
        <v>18.472266999999999</v>
      </c>
      <c r="Y257">
        <v>17.702891999999999</v>
      </c>
      <c r="Z257">
        <v>18.998616999999999</v>
      </c>
      <c r="AA257">
        <v>19.248719999999999</v>
      </c>
      <c r="AB257">
        <v>17.738623</v>
      </c>
      <c r="AC257">
        <v>18.570768000000001</v>
      </c>
      <c r="AD257">
        <v>18.642263</v>
      </c>
      <c r="AE257">
        <v>17.830566000000001</v>
      </c>
      <c r="AF257">
        <v>17.925974</v>
      </c>
      <c r="AG257">
        <v>18.608688000000001</v>
      </c>
    </row>
    <row r="258" spans="1:33" x14ac:dyDescent="0.25">
      <c r="A258" s="1">
        <v>44309</v>
      </c>
      <c r="B258">
        <v>16.760870000000001</v>
      </c>
      <c r="C258">
        <v>16.718615</v>
      </c>
      <c r="D258">
        <v>16.58033</v>
      </c>
      <c r="E258">
        <v>16.854932999999999</v>
      </c>
      <c r="F258">
        <v>16.302197</v>
      </c>
      <c r="G258">
        <v>16.554341999999998</v>
      </c>
      <c r="H258">
        <v>16.622007</v>
      </c>
      <c r="I258">
        <v>15.457317</v>
      </c>
      <c r="J258">
        <v>18.026644000000001</v>
      </c>
      <c r="K258">
        <v>18.024944000000001</v>
      </c>
      <c r="L258">
        <v>18.545670999999999</v>
      </c>
      <c r="M258">
        <v>16.683983000000001</v>
      </c>
      <c r="N258">
        <v>17.475878000000002</v>
      </c>
      <c r="O258">
        <v>18.351671</v>
      </c>
      <c r="P258">
        <v>17.954070000000002</v>
      </c>
      <c r="Q258">
        <v>16.87182</v>
      </c>
      <c r="R258">
        <v>18.295092</v>
      </c>
      <c r="S258">
        <v>14.634964999999999</v>
      </c>
      <c r="T258">
        <v>18.094954000000001</v>
      </c>
      <c r="U258">
        <v>18.840461999999999</v>
      </c>
      <c r="V258">
        <v>18.227152</v>
      </c>
      <c r="W258">
        <v>18.426331999999999</v>
      </c>
      <c r="X258">
        <v>18.351133000000001</v>
      </c>
      <c r="Y258">
        <v>17.8413</v>
      </c>
      <c r="Z258">
        <v>18.909199000000001</v>
      </c>
      <c r="AA258">
        <v>19.32105</v>
      </c>
      <c r="AB258">
        <v>17.845559999999999</v>
      </c>
      <c r="AC258">
        <v>18.772535000000001</v>
      </c>
      <c r="AD258">
        <v>18.691685</v>
      </c>
      <c r="AE258">
        <v>17.711165999999999</v>
      </c>
      <c r="AF258">
        <v>18.122171000000002</v>
      </c>
      <c r="AG258">
        <v>18.481439999999999</v>
      </c>
    </row>
    <row r="259" spans="1:33" x14ac:dyDescent="0.25">
      <c r="A259" s="1">
        <v>44310</v>
      </c>
      <c r="B259">
        <v>16.211297999999999</v>
      </c>
      <c r="C259">
        <v>16.578710000000001</v>
      </c>
      <c r="D259">
        <v>16.316427000000001</v>
      </c>
      <c r="E259">
        <v>16.561299999999999</v>
      </c>
      <c r="F259">
        <v>16.054365000000001</v>
      </c>
      <c r="G259">
        <v>16.368352999999999</v>
      </c>
      <c r="H259">
        <v>16.358187000000001</v>
      </c>
      <c r="I259">
        <v>14.936328</v>
      </c>
      <c r="J259">
        <v>17.509900999999999</v>
      </c>
      <c r="K259">
        <v>17.810274</v>
      </c>
      <c r="L259">
        <v>18.339838</v>
      </c>
      <c r="M259">
        <v>16.497730000000001</v>
      </c>
      <c r="N259">
        <v>17.338000999999998</v>
      </c>
      <c r="O259">
        <v>18.124448999999998</v>
      </c>
      <c r="P259">
        <v>17.782988</v>
      </c>
      <c r="Q259">
        <v>16.678267999999999</v>
      </c>
      <c r="R259">
        <v>18.064053000000001</v>
      </c>
      <c r="S259">
        <v>14.268819000000001</v>
      </c>
      <c r="T259">
        <v>17.787904999999999</v>
      </c>
      <c r="U259">
        <v>18.550201000000001</v>
      </c>
      <c r="V259">
        <v>17.902975000000001</v>
      </c>
      <c r="W259">
        <v>18.096609999999998</v>
      </c>
      <c r="X259">
        <v>18.020631999999999</v>
      </c>
      <c r="Y259">
        <v>17.716818</v>
      </c>
      <c r="Z259">
        <v>18.598096999999999</v>
      </c>
      <c r="AA259">
        <v>19.269410000000001</v>
      </c>
      <c r="AB259">
        <v>17.735444999999999</v>
      </c>
      <c r="AC259">
        <v>18.079377999999998</v>
      </c>
      <c r="AD259">
        <v>18.550723999999999</v>
      </c>
      <c r="AE259">
        <v>16.794996000000001</v>
      </c>
      <c r="AF259">
        <v>18.270851</v>
      </c>
      <c r="AG259">
        <v>18.161463000000001</v>
      </c>
    </row>
    <row r="260" spans="1:33" x14ac:dyDescent="0.25">
      <c r="A260" s="1">
        <v>44311</v>
      </c>
      <c r="B260">
        <v>15.424436</v>
      </c>
      <c r="C260">
        <v>16.301908000000001</v>
      </c>
      <c r="D260">
        <v>15.841780999999999</v>
      </c>
      <c r="E260">
        <v>15.918156</v>
      </c>
      <c r="F260">
        <v>15.718154999999999</v>
      </c>
      <c r="G260">
        <v>16.191386999999999</v>
      </c>
      <c r="H260">
        <v>15.902753000000001</v>
      </c>
      <c r="I260">
        <v>14.389335000000001</v>
      </c>
      <c r="J260">
        <v>16.501472</v>
      </c>
      <c r="K260">
        <v>17.366119999999999</v>
      </c>
      <c r="L260">
        <v>17.834295000000001</v>
      </c>
      <c r="M260">
        <v>16.257656000000001</v>
      </c>
      <c r="N260">
        <v>16.980103</v>
      </c>
      <c r="O260">
        <v>17.711286999999999</v>
      </c>
      <c r="P260">
        <v>17.363403000000002</v>
      </c>
      <c r="Q260">
        <v>16.445561999999999</v>
      </c>
      <c r="R260">
        <v>17.733706999999999</v>
      </c>
      <c r="S260">
        <v>13.926277000000001</v>
      </c>
      <c r="T260">
        <v>17.277557000000002</v>
      </c>
      <c r="U260">
        <v>17.995564000000002</v>
      </c>
      <c r="V260">
        <v>17.434282</v>
      </c>
      <c r="W260">
        <v>17.516770999999999</v>
      </c>
      <c r="X260">
        <v>17.538630000000001</v>
      </c>
      <c r="Y260">
        <v>17.322012000000001</v>
      </c>
      <c r="Z260">
        <v>17.897127000000001</v>
      </c>
      <c r="AA260">
        <v>18.745417</v>
      </c>
      <c r="AB260">
        <v>17.384903000000001</v>
      </c>
      <c r="AC260">
        <v>16.530275</v>
      </c>
      <c r="AD260">
        <v>18.121479999999998</v>
      </c>
      <c r="AE260">
        <v>16.397902999999999</v>
      </c>
      <c r="AF260">
        <v>18.193892000000002</v>
      </c>
      <c r="AG260">
        <v>17.538042000000001</v>
      </c>
    </row>
    <row r="261" spans="1:33" x14ac:dyDescent="0.25">
      <c r="A261" s="1">
        <v>44312</v>
      </c>
      <c r="B261">
        <v>14.826451</v>
      </c>
      <c r="C261">
        <v>16.137518</v>
      </c>
      <c r="D261">
        <v>15.238612</v>
      </c>
      <c r="E261">
        <v>15.17712</v>
      </c>
      <c r="F261">
        <v>15.496039</v>
      </c>
      <c r="G261">
        <v>15.824699000000001</v>
      </c>
      <c r="H261">
        <v>15.425076499999999</v>
      </c>
      <c r="I261">
        <v>13.975035999999999</v>
      </c>
      <c r="J261">
        <v>15.629671999999999</v>
      </c>
      <c r="K261">
        <v>16.893325999999998</v>
      </c>
      <c r="L261">
        <v>17.326886999999999</v>
      </c>
      <c r="M261">
        <v>15.9264145</v>
      </c>
      <c r="N261">
        <v>16.567499999999999</v>
      </c>
      <c r="O261">
        <v>17.341505000000002</v>
      </c>
      <c r="P261">
        <v>16.902505999999999</v>
      </c>
      <c r="Q261">
        <v>16.029346</v>
      </c>
      <c r="R261">
        <v>17.366285000000001</v>
      </c>
      <c r="S261">
        <v>13.236164</v>
      </c>
      <c r="T261">
        <v>16.655087999999999</v>
      </c>
      <c r="U261">
        <v>17.474824999999999</v>
      </c>
      <c r="V261">
        <v>16.963789999999999</v>
      </c>
      <c r="W261">
        <v>17.041588000000001</v>
      </c>
      <c r="X261">
        <v>17.083586</v>
      </c>
      <c r="Y261">
        <v>16.580577999999999</v>
      </c>
      <c r="Z261">
        <v>17.230015000000002</v>
      </c>
      <c r="AA261">
        <v>18.083169999999999</v>
      </c>
      <c r="AB261">
        <v>16.743517000000001</v>
      </c>
      <c r="AC261">
        <v>16.637633999999998</v>
      </c>
      <c r="AD261">
        <v>17.632605000000002</v>
      </c>
      <c r="AE261">
        <v>16.155594000000001</v>
      </c>
      <c r="AF261">
        <v>17.980839</v>
      </c>
      <c r="AG261">
        <v>16.881485000000001</v>
      </c>
    </row>
    <row r="262" spans="1:33" x14ac:dyDescent="0.25">
      <c r="A262" s="1">
        <v>44313</v>
      </c>
      <c r="B262">
        <v>15.148695999999999</v>
      </c>
      <c r="C262">
        <v>16.134606999999999</v>
      </c>
      <c r="D262">
        <v>15.201198</v>
      </c>
      <c r="E262">
        <v>15.012567000000001</v>
      </c>
      <c r="F262">
        <v>15.688763</v>
      </c>
      <c r="G262">
        <v>15.813364999999999</v>
      </c>
      <c r="H262">
        <v>15.423377</v>
      </c>
      <c r="I262">
        <v>14.693002</v>
      </c>
      <c r="J262">
        <v>15.71794</v>
      </c>
      <c r="K262">
        <v>16.772691999999999</v>
      </c>
      <c r="L262">
        <v>17.211175999999998</v>
      </c>
      <c r="M262">
        <v>15.915138000000001</v>
      </c>
      <c r="N262">
        <v>16.468996000000001</v>
      </c>
      <c r="O262">
        <v>17.226046</v>
      </c>
      <c r="P262">
        <v>16.772243</v>
      </c>
      <c r="Q262">
        <v>15.975059999999999</v>
      </c>
      <c r="R262">
        <v>17.239785999999999</v>
      </c>
      <c r="S262">
        <v>13.617381</v>
      </c>
      <c r="T262">
        <v>16.461983</v>
      </c>
      <c r="U262">
        <v>17.43262</v>
      </c>
      <c r="V262">
        <v>16.912416</v>
      </c>
      <c r="W262">
        <v>16.773602</v>
      </c>
      <c r="X262">
        <v>17.11759</v>
      </c>
      <c r="Y262">
        <v>16.213518000000001</v>
      </c>
      <c r="Z262">
        <v>17.030860000000001</v>
      </c>
      <c r="AA262">
        <v>17.926254</v>
      </c>
      <c r="AB262">
        <v>16.45984</v>
      </c>
      <c r="AC262">
        <v>17.026377</v>
      </c>
      <c r="AD262">
        <v>17.476845000000001</v>
      </c>
      <c r="AE262">
        <v>16.657496999999999</v>
      </c>
      <c r="AF262">
        <v>17.940159000000001</v>
      </c>
      <c r="AG262">
        <v>16.789905999999998</v>
      </c>
    </row>
    <row r="263" spans="1:33" x14ac:dyDescent="0.25">
      <c r="A263" s="1">
        <v>44314</v>
      </c>
      <c r="B263">
        <v>15.745006999999999</v>
      </c>
      <c r="C263">
        <v>16.418467</v>
      </c>
      <c r="D263">
        <v>15.56456</v>
      </c>
      <c r="E263">
        <v>15.287788000000001</v>
      </c>
      <c r="F263">
        <v>16.165856999999999</v>
      </c>
      <c r="G263">
        <v>16.066198</v>
      </c>
      <c r="H263">
        <v>15.724907</v>
      </c>
      <c r="I263">
        <v>15.732564</v>
      </c>
      <c r="J263">
        <v>16.487345000000001</v>
      </c>
      <c r="K263">
        <v>16.974491</v>
      </c>
      <c r="L263">
        <v>17.445983999999999</v>
      </c>
      <c r="M263">
        <v>16.165852000000001</v>
      </c>
      <c r="N263">
        <v>16.623894</v>
      </c>
      <c r="O263">
        <v>17.452470000000002</v>
      </c>
      <c r="P263">
        <v>16.935320000000001</v>
      </c>
      <c r="Q263">
        <v>16.188711000000001</v>
      </c>
      <c r="R263">
        <v>17.426100000000002</v>
      </c>
      <c r="S263">
        <v>14.468863499999999</v>
      </c>
      <c r="T263">
        <v>16.696884000000001</v>
      </c>
      <c r="U263">
        <v>17.752762000000001</v>
      </c>
      <c r="V263">
        <v>17.185427000000001</v>
      </c>
      <c r="W263">
        <v>16.598133000000001</v>
      </c>
      <c r="X263">
        <v>17.427876999999999</v>
      </c>
      <c r="Y263">
        <v>16.598986</v>
      </c>
      <c r="Z263">
        <v>17.327845</v>
      </c>
      <c r="AA263">
        <v>18.193586</v>
      </c>
      <c r="AB263">
        <v>16.750757</v>
      </c>
      <c r="AC263">
        <v>17.667189</v>
      </c>
      <c r="AD263">
        <v>17.622323999999999</v>
      </c>
      <c r="AE263">
        <v>17.21048</v>
      </c>
      <c r="AF263">
        <v>18.088428</v>
      </c>
      <c r="AG263">
        <v>17.326644999999999</v>
      </c>
    </row>
    <row r="264" spans="1:33" x14ac:dyDescent="0.25">
      <c r="A264" s="1">
        <v>44315</v>
      </c>
      <c r="B264">
        <v>16.176912000000002</v>
      </c>
      <c r="C264">
        <v>16.718805</v>
      </c>
      <c r="D264">
        <v>15.953172</v>
      </c>
      <c r="E264">
        <v>15.688145</v>
      </c>
      <c r="F264">
        <v>16.561624999999999</v>
      </c>
      <c r="G264">
        <v>16.407532</v>
      </c>
      <c r="H264">
        <v>16.093899</v>
      </c>
      <c r="I264">
        <v>16.467269999999999</v>
      </c>
      <c r="J264">
        <v>17.512713999999999</v>
      </c>
      <c r="K264">
        <v>17.354566999999999</v>
      </c>
      <c r="L264">
        <v>17.857641000000001</v>
      </c>
      <c r="M264">
        <v>16.515902000000001</v>
      </c>
      <c r="N264">
        <v>16.886866000000001</v>
      </c>
      <c r="O264">
        <v>17.779969999999999</v>
      </c>
      <c r="P264">
        <v>17.288336000000001</v>
      </c>
      <c r="Q264">
        <v>16.518218999999998</v>
      </c>
      <c r="R264">
        <v>17.713816000000001</v>
      </c>
      <c r="S264">
        <v>15.455131</v>
      </c>
      <c r="T264">
        <v>17.104454</v>
      </c>
      <c r="U264">
        <v>18.247119999999999</v>
      </c>
      <c r="V264">
        <v>17.516431999999998</v>
      </c>
      <c r="W264">
        <v>16.781234999999999</v>
      </c>
      <c r="X264">
        <v>17.770243000000001</v>
      </c>
      <c r="Y264">
        <v>17.512357999999999</v>
      </c>
      <c r="Z264">
        <v>17.858944000000001</v>
      </c>
      <c r="AA264">
        <v>18.703431999999999</v>
      </c>
      <c r="AB264">
        <v>17.524194999999999</v>
      </c>
      <c r="AC264">
        <v>18.540510000000001</v>
      </c>
      <c r="AD264">
        <v>17.934464999999999</v>
      </c>
      <c r="AE264">
        <v>18.672338</v>
      </c>
      <c r="AF264">
        <v>18.355201999999998</v>
      </c>
      <c r="AG264">
        <v>18.085552</v>
      </c>
    </row>
    <row r="265" spans="1:33" x14ac:dyDescent="0.25">
      <c r="A265" s="1">
        <v>44316</v>
      </c>
      <c r="B265">
        <v>16.388802999999999</v>
      </c>
      <c r="C265">
        <v>16.927841000000001</v>
      </c>
      <c r="D265">
        <v>16.243822000000002</v>
      </c>
      <c r="E265">
        <v>16.009108000000001</v>
      </c>
      <c r="F265">
        <v>16.777628</v>
      </c>
      <c r="G265">
        <v>16.700346</v>
      </c>
      <c r="H265">
        <v>16.40523</v>
      </c>
      <c r="I265">
        <v>16.867975000000001</v>
      </c>
      <c r="J265">
        <v>18.325060000000001</v>
      </c>
      <c r="K265">
        <v>17.728334</v>
      </c>
      <c r="L265">
        <v>18.244081000000001</v>
      </c>
      <c r="M265">
        <v>16.803529999999999</v>
      </c>
      <c r="N265">
        <v>17.105309999999999</v>
      </c>
      <c r="O265">
        <v>18.049389999999999</v>
      </c>
      <c r="P265">
        <v>17.645084000000001</v>
      </c>
      <c r="Q265">
        <v>16.804383999999999</v>
      </c>
      <c r="R265">
        <v>17.975221999999999</v>
      </c>
      <c r="S265">
        <v>16.170466999999999</v>
      </c>
      <c r="T265">
        <v>17.466729999999998</v>
      </c>
      <c r="U265">
        <v>18.65973</v>
      </c>
      <c r="V265">
        <v>17.737206</v>
      </c>
      <c r="W265">
        <v>17.287887999999999</v>
      </c>
      <c r="X265">
        <v>17.93553</v>
      </c>
      <c r="Y265">
        <v>18.334879000000001</v>
      </c>
      <c r="Z265">
        <v>18.407824999999999</v>
      </c>
      <c r="AA265">
        <v>19.238686000000001</v>
      </c>
      <c r="AB265">
        <v>18.303796999999999</v>
      </c>
      <c r="AC265">
        <v>19.311088999999999</v>
      </c>
      <c r="AD265">
        <v>18.2879</v>
      </c>
      <c r="AE265">
        <v>19.915876000000001</v>
      </c>
      <c r="AF265">
        <v>18.667994</v>
      </c>
      <c r="AG265">
        <v>18.714499</v>
      </c>
    </row>
    <row r="266" spans="1:33" x14ac:dyDescent="0.25">
      <c r="A266" s="1">
        <v>44317</v>
      </c>
      <c r="B266">
        <v>16.549702</v>
      </c>
      <c r="C266">
        <v>17.058199999999999</v>
      </c>
      <c r="D266">
        <v>16.421354000000001</v>
      </c>
      <c r="E266">
        <v>16.347304999999999</v>
      </c>
      <c r="F266">
        <v>16.777445</v>
      </c>
      <c r="G266">
        <v>16.832750000000001</v>
      </c>
      <c r="H266">
        <v>16.623722000000001</v>
      </c>
      <c r="I266">
        <v>16.949842</v>
      </c>
      <c r="J266">
        <v>18.545974999999999</v>
      </c>
      <c r="K266">
        <v>17.915457</v>
      </c>
      <c r="L266">
        <v>18.408587000000001</v>
      </c>
      <c r="M266">
        <v>16.878737999999998</v>
      </c>
      <c r="N266">
        <v>17.228090000000002</v>
      </c>
      <c r="O266">
        <v>18.197277</v>
      </c>
      <c r="P266">
        <v>17.838128999999999</v>
      </c>
      <c r="Q266">
        <v>16.950769999999999</v>
      </c>
      <c r="R266">
        <v>18.165419</v>
      </c>
      <c r="S266">
        <v>16.311346</v>
      </c>
      <c r="T266">
        <v>17.694105</v>
      </c>
      <c r="U266">
        <v>18.838584999999998</v>
      </c>
      <c r="V266">
        <v>17.732047999999999</v>
      </c>
      <c r="W266">
        <v>17.730557999999998</v>
      </c>
      <c r="X266">
        <v>17.892220999999999</v>
      </c>
      <c r="Y266">
        <v>18.405529999999999</v>
      </c>
      <c r="Z266">
        <v>18.731888000000001</v>
      </c>
      <c r="AA266">
        <v>19.452818000000001</v>
      </c>
      <c r="AB266">
        <v>18.434729000000001</v>
      </c>
      <c r="AC266">
        <v>19.209505</v>
      </c>
      <c r="AD266">
        <v>18.500640000000001</v>
      </c>
      <c r="AE266">
        <v>20.231348000000001</v>
      </c>
      <c r="AF266">
        <v>18.8492</v>
      </c>
      <c r="AG266">
        <v>18.720441999999998</v>
      </c>
    </row>
    <row r="267" spans="1:33" x14ac:dyDescent="0.25">
      <c r="A267" s="1">
        <v>44318</v>
      </c>
      <c r="B267">
        <v>16.783180000000002</v>
      </c>
      <c r="C267">
        <v>17.254587000000001</v>
      </c>
      <c r="D267">
        <v>16.710940000000001</v>
      </c>
      <c r="E267">
        <v>16.638311000000002</v>
      </c>
      <c r="F267">
        <v>16.922512000000001</v>
      </c>
      <c r="G267">
        <v>17.007418000000001</v>
      </c>
      <c r="H267">
        <v>16.748598000000001</v>
      </c>
      <c r="I267">
        <v>17.100939</v>
      </c>
      <c r="J267">
        <v>18.470600000000001</v>
      </c>
      <c r="K267">
        <v>18.013110000000001</v>
      </c>
      <c r="L267">
        <v>18.497229000000001</v>
      </c>
      <c r="M267">
        <v>17.045369999999998</v>
      </c>
      <c r="N267">
        <v>17.383783000000001</v>
      </c>
      <c r="O267">
        <v>18.308443</v>
      </c>
      <c r="P267">
        <v>17.934702000000001</v>
      </c>
      <c r="Q267">
        <v>17.115528000000001</v>
      </c>
      <c r="R267">
        <v>18.309426999999999</v>
      </c>
      <c r="S267">
        <v>16.598120000000002</v>
      </c>
      <c r="T267">
        <v>17.903786</v>
      </c>
      <c r="U267">
        <v>19.076322999999999</v>
      </c>
      <c r="V267">
        <v>17.843668000000001</v>
      </c>
      <c r="W267">
        <v>18.306533999999999</v>
      </c>
      <c r="X267">
        <v>17.956596000000001</v>
      </c>
      <c r="Y267">
        <v>18.279509000000001</v>
      </c>
      <c r="Z267">
        <v>18.918474</v>
      </c>
      <c r="AA267">
        <v>19.467112</v>
      </c>
      <c r="AB267">
        <v>18.349668999999999</v>
      </c>
      <c r="AC267">
        <v>18.750484</v>
      </c>
      <c r="AD267">
        <v>18.657854</v>
      </c>
      <c r="AE267">
        <v>19.703814000000001</v>
      </c>
      <c r="AF267">
        <v>19.000063000000001</v>
      </c>
      <c r="AG267">
        <v>18.696836000000001</v>
      </c>
    </row>
    <row r="268" spans="1:33" x14ac:dyDescent="0.25">
      <c r="A268" s="1">
        <v>44319</v>
      </c>
      <c r="B268">
        <v>17.34327</v>
      </c>
      <c r="C268">
        <v>17.584192000000002</v>
      </c>
      <c r="D268">
        <v>17.158175</v>
      </c>
      <c r="E268">
        <v>17.128015999999999</v>
      </c>
      <c r="F268">
        <v>17.395779000000001</v>
      </c>
      <c r="G268">
        <v>17.269860999999999</v>
      </c>
      <c r="H268">
        <v>17.080528000000001</v>
      </c>
      <c r="I268">
        <v>17.747865999999998</v>
      </c>
      <c r="J268">
        <v>18.422395999999999</v>
      </c>
      <c r="K268">
        <v>18.185853999999999</v>
      </c>
      <c r="L268">
        <v>18.641438000000001</v>
      </c>
      <c r="M268">
        <v>17.335546000000001</v>
      </c>
      <c r="N268">
        <v>17.650751</v>
      </c>
      <c r="O268">
        <v>18.488175999999999</v>
      </c>
      <c r="P268">
        <v>18.112185</v>
      </c>
      <c r="Q268">
        <v>17.401689999999999</v>
      </c>
      <c r="R268">
        <v>18.487879</v>
      </c>
      <c r="S268">
        <v>16.827293000000001</v>
      </c>
      <c r="T268">
        <v>18.151546</v>
      </c>
      <c r="U268">
        <v>19.109128999999999</v>
      </c>
      <c r="V268">
        <v>18.092485</v>
      </c>
      <c r="W268">
        <v>18.954229999999999</v>
      </c>
      <c r="X268">
        <v>18.145073</v>
      </c>
      <c r="Y268">
        <v>18.608073999999998</v>
      </c>
      <c r="Z268">
        <v>18.926352000000001</v>
      </c>
      <c r="AA268">
        <v>19.499378</v>
      </c>
      <c r="AB268">
        <v>18.635148999999998</v>
      </c>
      <c r="AC268">
        <v>18.220286999999999</v>
      </c>
      <c r="AD268">
        <v>18.793752999999999</v>
      </c>
      <c r="AE268">
        <v>19.664076000000001</v>
      </c>
      <c r="AF268">
        <v>19.159776999999998</v>
      </c>
      <c r="AG268">
        <v>19.005673999999999</v>
      </c>
    </row>
    <row r="269" spans="1:33" x14ac:dyDescent="0.25">
      <c r="A269" s="1">
        <v>44320</v>
      </c>
      <c r="B269">
        <v>18.204927000000001</v>
      </c>
      <c r="C269">
        <v>18.05631</v>
      </c>
      <c r="D269">
        <v>17.840603000000002</v>
      </c>
      <c r="E269">
        <v>17.846585999999999</v>
      </c>
      <c r="F269">
        <v>17.965458000000002</v>
      </c>
      <c r="G269">
        <v>17.665144000000002</v>
      </c>
      <c r="H269">
        <v>17.587506999999999</v>
      </c>
      <c r="I269">
        <v>18.466673</v>
      </c>
      <c r="J269">
        <v>19.055923</v>
      </c>
      <c r="K269">
        <v>18.650312</v>
      </c>
      <c r="L269">
        <v>19.106722000000001</v>
      </c>
      <c r="M269">
        <v>17.764786000000001</v>
      </c>
      <c r="N269">
        <v>18.144262000000001</v>
      </c>
      <c r="O269">
        <v>18.955718999999998</v>
      </c>
      <c r="P269">
        <v>18.522818000000001</v>
      </c>
      <c r="Q269">
        <v>17.831692</v>
      </c>
      <c r="R269">
        <v>18.943562</v>
      </c>
      <c r="S269">
        <v>17.372425</v>
      </c>
      <c r="T269">
        <v>18.683402999999998</v>
      </c>
      <c r="U269">
        <v>19.496233</v>
      </c>
      <c r="V269">
        <v>18.710819999999998</v>
      </c>
      <c r="W269">
        <v>19.473814000000001</v>
      </c>
      <c r="X269">
        <v>18.785527999999999</v>
      </c>
      <c r="Y269">
        <v>19.265768000000001</v>
      </c>
      <c r="Z269">
        <v>19.336044000000001</v>
      </c>
      <c r="AA269">
        <v>19.894964000000002</v>
      </c>
      <c r="AB269">
        <v>19.231487000000001</v>
      </c>
      <c r="AC269">
        <v>18.281922999999999</v>
      </c>
      <c r="AD269">
        <v>19.154593999999999</v>
      </c>
      <c r="AE269">
        <v>20.906510999999998</v>
      </c>
      <c r="AF269">
        <v>19.518232000000001</v>
      </c>
      <c r="AG269">
        <v>19.747501</v>
      </c>
    </row>
    <row r="270" spans="1:33" x14ac:dyDescent="0.25">
      <c r="A270" s="1">
        <v>44321</v>
      </c>
      <c r="B270">
        <v>18.855356</v>
      </c>
      <c r="C270">
        <v>18.504556999999998</v>
      </c>
      <c r="D270">
        <v>18.510781999999999</v>
      </c>
      <c r="E270">
        <v>18.546869999999998</v>
      </c>
      <c r="F270">
        <v>18.388639999999999</v>
      </c>
      <c r="G270">
        <v>18.046548999999999</v>
      </c>
      <c r="H270">
        <v>18.084275999999999</v>
      </c>
      <c r="I270">
        <v>18.918177</v>
      </c>
      <c r="J270">
        <v>19.922184000000001</v>
      </c>
      <c r="K270">
        <v>19.166601</v>
      </c>
      <c r="L270">
        <v>19.617086</v>
      </c>
      <c r="M270">
        <v>18.160269</v>
      </c>
      <c r="N270">
        <v>18.607122</v>
      </c>
      <c r="O270">
        <v>19.475912000000001</v>
      </c>
      <c r="P270">
        <v>19.038875999999998</v>
      </c>
      <c r="Q270">
        <v>18.237580999999999</v>
      </c>
      <c r="R270">
        <v>19.397742999999998</v>
      </c>
      <c r="S270">
        <v>18.455705999999999</v>
      </c>
      <c r="T270">
        <v>19.304338000000001</v>
      </c>
      <c r="U270">
        <v>20.124684999999999</v>
      </c>
      <c r="V270">
        <v>19.367349999999998</v>
      </c>
      <c r="W270">
        <v>20.100263999999999</v>
      </c>
      <c r="X270">
        <v>19.543447</v>
      </c>
      <c r="Y270">
        <v>20.035143000000001</v>
      </c>
      <c r="Z270">
        <v>19.986145</v>
      </c>
      <c r="AA270">
        <v>20.491896000000001</v>
      </c>
      <c r="AB270">
        <v>19.98715</v>
      </c>
      <c r="AC270">
        <v>19.097556999999998</v>
      </c>
      <c r="AD270">
        <v>19.630610000000001</v>
      </c>
      <c r="AE270">
        <v>22.438423</v>
      </c>
      <c r="AF270">
        <v>20.015294999999998</v>
      </c>
      <c r="AG270">
        <v>20.587938000000001</v>
      </c>
    </row>
    <row r="271" spans="1:33" x14ac:dyDescent="0.25">
      <c r="A271" s="1">
        <v>44322</v>
      </c>
      <c r="B271">
        <v>18.711715999999999</v>
      </c>
      <c r="C271">
        <v>18.265222999999999</v>
      </c>
      <c r="D271">
        <v>18.608540000000001</v>
      </c>
      <c r="E271">
        <v>18.615894000000001</v>
      </c>
      <c r="F271">
        <v>17.984819999999999</v>
      </c>
      <c r="G271">
        <v>18.124527</v>
      </c>
      <c r="H271">
        <v>18.085547999999999</v>
      </c>
      <c r="I271">
        <v>18.103843999999999</v>
      </c>
      <c r="J271">
        <v>19.817806000000001</v>
      </c>
      <c r="K271">
        <v>19.215430000000001</v>
      </c>
      <c r="L271">
        <v>19.677288000000001</v>
      </c>
      <c r="M271">
        <v>18.16891</v>
      </c>
      <c r="N271">
        <v>18.596630000000001</v>
      </c>
      <c r="O271">
        <v>19.402439999999999</v>
      </c>
      <c r="P271">
        <v>19.170525000000001</v>
      </c>
      <c r="Q271">
        <v>18.329419999999999</v>
      </c>
      <c r="R271">
        <v>19.335588000000001</v>
      </c>
      <c r="S271">
        <v>17.984273999999999</v>
      </c>
      <c r="T271">
        <v>19.255644</v>
      </c>
      <c r="U271">
        <v>20.2224</v>
      </c>
      <c r="V271">
        <v>19.290745000000001</v>
      </c>
      <c r="W271">
        <v>20.239319999999999</v>
      </c>
      <c r="X271">
        <v>19.552206000000002</v>
      </c>
      <c r="Y271">
        <v>20.106852</v>
      </c>
      <c r="Z271">
        <v>20.142340000000001</v>
      </c>
      <c r="AA271">
        <v>20.817603999999999</v>
      </c>
      <c r="AB271">
        <v>20.133505</v>
      </c>
      <c r="AC271">
        <v>19.2469</v>
      </c>
      <c r="AD271">
        <v>19.796934</v>
      </c>
      <c r="AE271">
        <v>22.287908999999999</v>
      </c>
      <c r="AF271">
        <v>20.315994</v>
      </c>
      <c r="AG271">
        <v>20.450036999999998</v>
      </c>
    </row>
    <row r="272" spans="1:33" x14ac:dyDescent="0.25">
      <c r="A272" s="1">
        <v>44323</v>
      </c>
      <c r="B272">
        <v>18.348344999999998</v>
      </c>
      <c r="C272">
        <v>18.18619</v>
      </c>
      <c r="D272">
        <v>18.492585999999999</v>
      </c>
      <c r="E272">
        <v>18.531063</v>
      </c>
      <c r="F272">
        <v>17.846236999999999</v>
      </c>
      <c r="G272">
        <v>17.974867</v>
      </c>
      <c r="H272">
        <v>18.002206999999999</v>
      </c>
      <c r="I272">
        <v>17.318686</v>
      </c>
      <c r="J272">
        <v>19.096851000000001</v>
      </c>
      <c r="K272">
        <v>19.043413000000001</v>
      </c>
      <c r="L272">
        <v>19.613047000000002</v>
      </c>
      <c r="M272">
        <v>18.122876999999999</v>
      </c>
      <c r="N272">
        <v>18.510204000000002</v>
      </c>
      <c r="O272">
        <v>19.34881</v>
      </c>
      <c r="P272">
        <v>18.995236999999999</v>
      </c>
      <c r="Q272">
        <v>18.206900000000001</v>
      </c>
      <c r="R272">
        <v>19.313116000000001</v>
      </c>
      <c r="S272">
        <v>16.853857000000001</v>
      </c>
      <c r="T272">
        <v>19.100118999999999</v>
      </c>
      <c r="U272">
        <v>20.130316000000001</v>
      </c>
      <c r="V272">
        <v>19.3033</v>
      </c>
      <c r="W272">
        <v>20.335571000000002</v>
      </c>
      <c r="X272">
        <v>19.510200000000001</v>
      </c>
      <c r="Y272">
        <v>19.444927</v>
      </c>
      <c r="Z272">
        <v>19.897069999999999</v>
      </c>
      <c r="AA272">
        <v>20.698402000000002</v>
      </c>
      <c r="AB272">
        <v>19.610899</v>
      </c>
      <c r="AC272">
        <v>18.850887</v>
      </c>
      <c r="AD272">
        <v>19.803995</v>
      </c>
      <c r="AE272">
        <v>20.969888999999998</v>
      </c>
      <c r="AF272">
        <v>20.397776</v>
      </c>
      <c r="AG272">
        <v>20.087434999999999</v>
      </c>
    </row>
    <row r="273" spans="1:33" x14ac:dyDescent="0.25">
      <c r="A273" s="1">
        <v>44324</v>
      </c>
      <c r="B273">
        <v>18.747095000000002</v>
      </c>
      <c r="C273">
        <v>18.330559999999998</v>
      </c>
      <c r="D273">
        <v>18.462584</v>
      </c>
      <c r="E273">
        <v>18.665140000000001</v>
      </c>
      <c r="F273">
        <v>18.123940999999999</v>
      </c>
      <c r="G273">
        <v>18.054580000000001</v>
      </c>
      <c r="H273">
        <v>18.107800999999998</v>
      </c>
      <c r="I273">
        <v>17.443293000000001</v>
      </c>
      <c r="J273">
        <v>18.664594999999998</v>
      </c>
      <c r="K273">
        <v>18.921060000000001</v>
      </c>
      <c r="L273">
        <v>19.480146000000001</v>
      </c>
      <c r="M273">
        <v>18.219505000000002</v>
      </c>
      <c r="N273">
        <v>18.585808</v>
      </c>
      <c r="O273">
        <v>19.230532</v>
      </c>
      <c r="P273">
        <v>18.934418000000001</v>
      </c>
      <c r="Q273">
        <v>18.230148</v>
      </c>
      <c r="R273">
        <v>19.194437000000001</v>
      </c>
      <c r="S273">
        <v>16.572759999999999</v>
      </c>
      <c r="T273">
        <v>18.903955</v>
      </c>
      <c r="U273">
        <v>19.871680000000001</v>
      </c>
      <c r="V273">
        <v>19.254505000000002</v>
      </c>
      <c r="W273">
        <v>20.652197000000001</v>
      </c>
      <c r="X273">
        <v>19.521405999999999</v>
      </c>
      <c r="Y273">
        <v>19.303042999999999</v>
      </c>
      <c r="Z273">
        <v>19.535706000000001</v>
      </c>
      <c r="AA273">
        <v>20.509653</v>
      </c>
      <c r="AB273">
        <v>19.492585999999999</v>
      </c>
      <c r="AC273">
        <v>18.780348</v>
      </c>
      <c r="AD273">
        <v>19.655899999999999</v>
      </c>
      <c r="AE273">
        <v>20.944296000000001</v>
      </c>
      <c r="AF273">
        <v>20.42529</v>
      </c>
      <c r="AG273">
        <v>19.944051999999999</v>
      </c>
    </row>
    <row r="274" spans="1:33" x14ac:dyDescent="0.25">
      <c r="A274" s="1">
        <v>44325</v>
      </c>
      <c r="B274">
        <v>19.368372000000001</v>
      </c>
      <c r="C274">
        <v>18.630402</v>
      </c>
      <c r="D274">
        <v>18.67474</v>
      </c>
      <c r="E274">
        <v>18.966656</v>
      </c>
      <c r="F274">
        <v>18.528220000000001</v>
      </c>
      <c r="G274">
        <v>18.311007</v>
      </c>
      <c r="H274">
        <v>18.245176000000001</v>
      </c>
      <c r="I274">
        <v>18.007612000000002</v>
      </c>
      <c r="J274">
        <v>18.887554000000002</v>
      </c>
      <c r="K274">
        <v>19.061539</v>
      </c>
      <c r="L274">
        <v>19.566751</v>
      </c>
      <c r="M274">
        <v>18.421465000000001</v>
      </c>
      <c r="N274">
        <v>18.709755000000001</v>
      </c>
      <c r="O274">
        <v>19.371694999999999</v>
      </c>
      <c r="P274">
        <v>19.067308000000001</v>
      </c>
      <c r="Q274">
        <v>18.386856000000002</v>
      </c>
      <c r="R274">
        <v>19.329908</v>
      </c>
      <c r="S274">
        <v>16.656300999999999</v>
      </c>
      <c r="T274">
        <v>18.974284999999998</v>
      </c>
      <c r="U274">
        <v>19.879390000000001</v>
      </c>
      <c r="V274">
        <v>19.388200000000001</v>
      </c>
      <c r="W274">
        <v>20.412127999999999</v>
      </c>
      <c r="X274">
        <v>19.673936999999999</v>
      </c>
      <c r="Y274">
        <v>19.564824999999999</v>
      </c>
      <c r="Z274">
        <v>19.572693000000001</v>
      </c>
      <c r="AA274">
        <v>20.597066999999999</v>
      </c>
      <c r="AB274">
        <v>19.744368000000001</v>
      </c>
      <c r="AC274">
        <v>19.10858</v>
      </c>
      <c r="AD274">
        <v>19.684059999999999</v>
      </c>
      <c r="AE274">
        <v>20.975023</v>
      </c>
      <c r="AF274">
        <v>20.539010999999999</v>
      </c>
      <c r="AG274">
        <v>20.108049999999999</v>
      </c>
    </row>
    <row r="275" spans="1:33" x14ac:dyDescent="0.25">
      <c r="A275" s="1">
        <v>44326</v>
      </c>
      <c r="B275">
        <v>19.794896999999999</v>
      </c>
      <c r="C275">
        <v>18.827269999999999</v>
      </c>
      <c r="D275">
        <v>18.945810000000002</v>
      </c>
      <c r="E275">
        <v>19.242139999999999</v>
      </c>
      <c r="F275">
        <v>18.905595999999999</v>
      </c>
      <c r="G275">
        <v>18.617215999999999</v>
      </c>
      <c r="H275">
        <v>18.562740000000002</v>
      </c>
      <c r="I275">
        <v>18.489360000000001</v>
      </c>
      <c r="J275">
        <v>19.402896999999999</v>
      </c>
      <c r="K275">
        <v>19.277159000000001</v>
      </c>
      <c r="L275">
        <v>19.714044999999999</v>
      </c>
      <c r="M275">
        <v>18.701695999999998</v>
      </c>
      <c r="N275">
        <v>18.864687</v>
      </c>
      <c r="O275">
        <v>19.526125</v>
      </c>
      <c r="P275">
        <v>19.279382999999999</v>
      </c>
      <c r="Q275">
        <v>18.619944</v>
      </c>
      <c r="R275">
        <v>19.479094</v>
      </c>
      <c r="S275">
        <v>17.247624999999999</v>
      </c>
      <c r="T275">
        <v>19.208352999999999</v>
      </c>
      <c r="U275">
        <v>20.111519999999999</v>
      </c>
      <c r="V275">
        <v>19.748352000000001</v>
      </c>
      <c r="W275">
        <v>20.067150000000002</v>
      </c>
      <c r="X275">
        <v>20.134657000000001</v>
      </c>
      <c r="Y275">
        <v>19.981106</v>
      </c>
      <c r="Z275">
        <v>19.780177999999999</v>
      </c>
      <c r="AA275">
        <v>20.863401</v>
      </c>
      <c r="AB275">
        <v>20.156517000000001</v>
      </c>
      <c r="AC275">
        <v>19.478493</v>
      </c>
      <c r="AD275">
        <v>19.833418000000002</v>
      </c>
      <c r="AE275">
        <v>21.419706000000001</v>
      </c>
      <c r="AF275">
        <v>20.725404999999999</v>
      </c>
      <c r="AG275">
        <v>20.385470999999999</v>
      </c>
    </row>
    <row r="276" spans="1:33" x14ac:dyDescent="0.25">
      <c r="A276" s="1">
        <v>44327</v>
      </c>
      <c r="B276">
        <v>20.000260999999998</v>
      </c>
      <c r="C276">
        <v>19.135777999999998</v>
      </c>
      <c r="D276">
        <v>19.213009</v>
      </c>
      <c r="E276">
        <v>19.448103</v>
      </c>
      <c r="F276">
        <v>19.230875000000001</v>
      </c>
      <c r="G276">
        <v>18.936789000000001</v>
      </c>
      <c r="H276">
        <v>18.747297</v>
      </c>
      <c r="I276">
        <v>18.961039</v>
      </c>
      <c r="J276">
        <v>20.010279000000001</v>
      </c>
      <c r="K276">
        <v>19.549451999999999</v>
      </c>
      <c r="L276">
        <v>19.974024</v>
      </c>
      <c r="M276">
        <v>18.994931999999999</v>
      </c>
      <c r="N276">
        <v>19.087579999999999</v>
      </c>
      <c r="O276">
        <v>19.821283000000001</v>
      </c>
      <c r="P276">
        <v>19.536446000000002</v>
      </c>
      <c r="Q276">
        <v>18.901105999999999</v>
      </c>
      <c r="R276">
        <v>19.725866</v>
      </c>
      <c r="S276">
        <v>17.868086000000002</v>
      </c>
      <c r="T276">
        <v>19.569479999999999</v>
      </c>
      <c r="U276">
        <v>20.491444000000001</v>
      </c>
      <c r="V276">
        <v>20.234497000000001</v>
      </c>
      <c r="W276">
        <v>19.989180000000001</v>
      </c>
      <c r="X276">
        <v>20.713446000000001</v>
      </c>
      <c r="Y276">
        <v>20.435541000000001</v>
      </c>
      <c r="Z276">
        <v>20.133768</v>
      </c>
      <c r="AA276">
        <v>21.182362000000001</v>
      </c>
      <c r="AB276">
        <v>20.564322000000001</v>
      </c>
      <c r="AC276">
        <v>19.929576999999998</v>
      </c>
      <c r="AD276">
        <v>20.058945000000001</v>
      </c>
      <c r="AE276">
        <v>22.068579</v>
      </c>
      <c r="AF276">
        <v>20.948801</v>
      </c>
      <c r="AG276">
        <v>20.731746999999999</v>
      </c>
    </row>
    <row r="277" spans="1:33" x14ac:dyDescent="0.25">
      <c r="A277" s="1">
        <v>44328</v>
      </c>
      <c r="B277">
        <v>19.883873000000001</v>
      </c>
      <c r="C277">
        <v>19.189432</v>
      </c>
      <c r="D277">
        <v>19.231387999999999</v>
      </c>
      <c r="E277">
        <v>19.412732999999999</v>
      </c>
      <c r="F277">
        <v>19.181963</v>
      </c>
      <c r="G277">
        <v>19.140879000000002</v>
      </c>
      <c r="H277">
        <v>18.727810000000002</v>
      </c>
      <c r="I277">
        <v>18.725828</v>
      </c>
      <c r="J277">
        <v>20.539742</v>
      </c>
      <c r="K277">
        <v>19.797067999999999</v>
      </c>
      <c r="L277">
        <v>20.263195</v>
      </c>
      <c r="M277">
        <v>19.192163000000001</v>
      </c>
      <c r="N277">
        <v>19.20007</v>
      </c>
      <c r="O277">
        <v>20.060459999999999</v>
      </c>
      <c r="P277">
        <v>19.767672000000001</v>
      </c>
      <c r="Q277">
        <v>19.072545999999999</v>
      </c>
      <c r="R277">
        <v>19.923147</v>
      </c>
      <c r="S277">
        <v>18.490500000000001</v>
      </c>
      <c r="T277">
        <v>19.868528000000001</v>
      </c>
      <c r="U277">
        <v>20.962866000000002</v>
      </c>
      <c r="V277">
        <v>20.499244999999998</v>
      </c>
      <c r="W277">
        <v>20.377728000000001</v>
      </c>
      <c r="X277">
        <v>20.958604999999999</v>
      </c>
      <c r="Y277">
        <v>21.037410000000001</v>
      </c>
      <c r="Z277">
        <v>20.597799999999999</v>
      </c>
      <c r="AA277">
        <v>21.616599999999998</v>
      </c>
      <c r="AB277">
        <v>21.135126</v>
      </c>
      <c r="AC277">
        <v>20.605295000000002</v>
      </c>
      <c r="AD277">
        <v>20.332553999999998</v>
      </c>
      <c r="AE277">
        <v>21.472483</v>
      </c>
      <c r="AF277">
        <v>21.271132999999999</v>
      </c>
      <c r="AG277">
        <v>21.269403000000001</v>
      </c>
    </row>
    <row r="278" spans="1:33" x14ac:dyDescent="0.25">
      <c r="A278" s="1">
        <v>44329</v>
      </c>
      <c r="B278">
        <v>19.347774999999999</v>
      </c>
      <c r="C278">
        <v>19.073954000000001</v>
      </c>
      <c r="D278">
        <v>18.919718</v>
      </c>
      <c r="E278">
        <v>19.018190000000001</v>
      </c>
      <c r="F278">
        <v>18.969495999999999</v>
      </c>
      <c r="G278">
        <v>19.136095000000001</v>
      </c>
      <c r="H278">
        <v>18.541288000000002</v>
      </c>
      <c r="I278">
        <v>18.052323999999999</v>
      </c>
      <c r="J278">
        <v>20.601559999999999</v>
      </c>
      <c r="K278">
        <v>19.827791000000001</v>
      </c>
      <c r="L278">
        <v>20.422495000000001</v>
      </c>
      <c r="M278">
        <v>19.16076</v>
      </c>
      <c r="N278">
        <v>19.111532</v>
      </c>
      <c r="O278">
        <v>20.102297</v>
      </c>
      <c r="P278">
        <v>19.812840000000001</v>
      </c>
      <c r="Q278">
        <v>19.044436000000001</v>
      </c>
      <c r="R278">
        <v>19.980737999999999</v>
      </c>
      <c r="S278">
        <v>18.204778999999998</v>
      </c>
      <c r="T278">
        <v>19.751615999999999</v>
      </c>
      <c r="U278">
        <v>21.098143</v>
      </c>
      <c r="V278">
        <v>20.268270000000001</v>
      </c>
      <c r="W278">
        <v>20.712800999999999</v>
      </c>
      <c r="X278">
        <v>20.684930000000001</v>
      </c>
      <c r="Y278">
        <v>21.369772000000001</v>
      </c>
      <c r="Z278">
        <v>20.881598</v>
      </c>
      <c r="AA278">
        <v>21.982489999999999</v>
      </c>
      <c r="AB278">
        <v>21.461190999999999</v>
      </c>
      <c r="AC278">
        <v>20.886263</v>
      </c>
      <c r="AD278">
        <v>20.534680000000002</v>
      </c>
      <c r="AE278">
        <v>19.472646999999998</v>
      </c>
      <c r="AF278">
        <v>21.577802999999999</v>
      </c>
      <c r="AG278">
        <v>21.708089999999999</v>
      </c>
    </row>
    <row r="279" spans="1:33" x14ac:dyDescent="0.25">
      <c r="A279" s="1">
        <v>44330</v>
      </c>
      <c r="B279">
        <v>19.05311</v>
      </c>
      <c r="C279">
        <v>19.009422000000001</v>
      </c>
      <c r="D279">
        <v>18.539999000000002</v>
      </c>
      <c r="E279">
        <v>18.710695000000001</v>
      </c>
      <c r="F279">
        <v>18.757826000000001</v>
      </c>
      <c r="G279">
        <v>19.035253999999998</v>
      </c>
      <c r="H279">
        <v>18.328602</v>
      </c>
      <c r="I279">
        <v>17.807877000000001</v>
      </c>
      <c r="J279">
        <v>20.791820000000001</v>
      </c>
      <c r="K279">
        <v>19.92041</v>
      </c>
      <c r="L279">
        <v>20.630869000000001</v>
      </c>
      <c r="M279">
        <v>19.096734999999999</v>
      </c>
      <c r="N279">
        <v>19.099744999999999</v>
      </c>
      <c r="O279">
        <v>20.279637999999998</v>
      </c>
      <c r="P279">
        <v>19.888945</v>
      </c>
      <c r="Q279">
        <v>19.000643</v>
      </c>
      <c r="R279">
        <v>20.144895999999999</v>
      </c>
      <c r="S279">
        <v>17.687586</v>
      </c>
      <c r="T279">
        <v>19.632795000000002</v>
      </c>
      <c r="U279">
        <v>21.15652</v>
      </c>
      <c r="V279">
        <v>20.048186999999999</v>
      </c>
      <c r="W279">
        <v>21.002779</v>
      </c>
      <c r="X279">
        <v>20.415942999999999</v>
      </c>
      <c r="Y279">
        <v>21.324432000000002</v>
      </c>
      <c r="Z279">
        <v>21.118649999999999</v>
      </c>
      <c r="AA279">
        <v>22.216035999999999</v>
      </c>
      <c r="AB279">
        <v>21.471993999999999</v>
      </c>
      <c r="AC279">
        <v>20.609783</v>
      </c>
      <c r="AD279">
        <v>20.720514000000001</v>
      </c>
      <c r="AE279">
        <v>18.979181000000001</v>
      </c>
      <c r="AF279">
        <v>21.795715000000001</v>
      </c>
      <c r="AG279">
        <v>21.815538</v>
      </c>
    </row>
    <row r="280" spans="1:33" x14ac:dyDescent="0.25">
      <c r="A280" s="1">
        <v>44331</v>
      </c>
      <c r="B280">
        <v>18.668184</v>
      </c>
      <c r="C280">
        <v>18.888366999999999</v>
      </c>
      <c r="D280">
        <v>18.079198999999999</v>
      </c>
      <c r="E280">
        <v>18.381176</v>
      </c>
      <c r="F280">
        <v>18.42248</v>
      </c>
      <c r="G280">
        <v>18.871621999999999</v>
      </c>
      <c r="H280">
        <v>18.09469</v>
      </c>
      <c r="I280">
        <v>17.491823</v>
      </c>
      <c r="J280">
        <v>21.013698999999999</v>
      </c>
      <c r="K280">
        <v>20.105501</v>
      </c>
      <c r="L280">
        <v>20.837980000000002</v>
      </c>
      <c r="M280">
        <v>19.000986000000001</v>
      </c>
      <c r="N280">
        <v>19.136956999999999</v>
      </c>
      <c r="O280">
        <v>20.518004999999999</v>
      </c>
      <c r="P280">
        <v>20.043966000000001</v>
      </c>
      <c r="Q280">
        <v>18.913108999999999</v>
      </c>
      <c r="R280">
        <v>20.366644000000001</v>
      </c>
      <c r="S280">
        <v>17.347052000000001</v>
      </c>
      <c r="T280">
        <v>19.523033000000002</v>
      </c>
      <c r="U280">
        <v>21.197185999999999</v>
      </c>
      <c r="V280">
        <v>20.008576999999999</v>
      </c>
      <c r="W280">
        <v>21.194445000000002</v>
      </c>
      <c r="X280">
        <v>20.475998000000001</v>
      </c>
      <c r="Y280">
        <v>20.793312</v>
      </c>
      <c r="Z280">
        <v>21.340805</v>
      </c>
      <c r="AA280">
        <v>22.165972</v>
      </c>
      <c r="AB280">
        <v>20.987371</v>
      </c>
      <c r="AC280">
        <v>19.636225</v>
      </c>
      <c r="AD280">
        <v>20.914131000000001</v>
      </c>
      <c r="AE280">
        <v>18.848803</v>
      </c>
      <c r="AF280">
        <v>21.754125999999999</v>
      </c>
      <c r="AG280">
        <v>21.224684</v>
      </c>
    </row>
    <row r="281" spans="1:33" x14ac:dyDescent="0.25">
      <c r="A281" s="1">
        <v>44332</v>
      </c>
      <c r="B281">
        <v>18.328623</v>
      </c>
      <c r="C281">
        <v>18.973520000000001</v>
      </c>
      <c r="D281">
        <v>17.888494000000001</v>
      </c>
      <c r="E281">
        <v>18.161363999999999</v>
      </c>
      <c r="F281">
        <v>18.591449999999998</v>
      </c>
      <c r="G281">
        <v>18.871970000000001</v>
      </c>
      <c r="H281">
        <v>17.989934999999999</v>
      </c>
      <c r="I281">
        <v>17.597597</v>
      </c>
      <c r="J281">
        <v>21.169415999999998</v>
      </c>
      <c r="K281">
        <v>20.225874000000001</v>
      </c>
      <c r="L281">
        <v>20.977841999999999</v>
      </c>
      <c r="M281">
        <v>18.940939</v>
      </c>
      <c r="N281">
        <v>19.186199999999999</v>
      </c>
      <c r="O281">
        <v>20.604143000000001</v>
      </c>
      <c r="P281">
        <v>20.146044</v>
      </c>
      <c r="Q281">
        <v>18.95655</v>
      </c>
      <c r="R281">
        <v>20.52083</v>
      </c>
      <c r="S281">
        <v>17.402950000000001</v>
      </c>
      <c r="T281">
        <v>19.533155000000001</v>
      </c>
      <c r="U281">
        <v>21.219038000000001</v>
      </c>
      <c r="V281">
        <v>20.023287</v>
      </c>
      <c r="W281">
        <v>21.051168000000001</v>
      </c>
      <c r="X281">
        <v>20.536963</v>
      </c>
      <c r="Y281">
        <v>20.644365000000001</v>
      </c>
      <c r="Z281">
        <v>21.503988</v>
      </c>
      <c r="AA281">
        <v>22.372309000000001</v>
      </c>
      <c r="AB281">
        <v>20.860030999999999</v>
      </c>
      <c r="AC281">
        <v>19.310907</v>
      </c>
      <c r="AD281">
        <v>21.091736000000001</v>
      </c>
      <c r="AE281">
        <v>19.377790000000001</v>
      </c>
      <c r="AF281">
        <v>21.897977999999998</v>
      </c>
      <c r="AG281">
        <v>21.450613000000001</v>
      </c>
    </row>
    <row r="282" spans="1:33" x14ac:dyDescent="0.25">
      <c r="A282" s="1">
        <v>44333</v>
      </c>
      <c r="B282">
        <v>18.052536</v>
      </c>
      <c r="C282">
        <v>18.834848000000001</v>
      </c>
      <c r="D282">
        <v>17.684716999999999</v>
      </c>
      <c r="E282">
        <v>17.899751999999999</v>
      </c>
      <c r="F282">
        <v>18.417124000000001</v>
      </c>
      <c r="G282">
        <v>18.782080000000001</v>
      </c>
      <c r="H282">
        <v>17.789162000000001</v>
      </c>
      <c r="I282">
        <v>17.210588000000001</v>
      </c>
      <c r="J282">
        <v>20.795774000000002</v>
      </c>
      <c r="K282">
        <v>20.068982999999999</v>
      </c>
      <c r="L282">
        <v>20.843240000000002</v>
      </c>
      <c r="M282">
        <v>18.819932999999999</v>
      </c>
      <c r="N282">
        <v>19.043614999999999</v>
      </c>
      <c r="O282">
        <v>20.434958000000002</v>
      </c>
      <c r="P282">
        <v>19.992224</v>
      </c>
      <c r="Q282">
        <v>18.854143000000001</v>
      </c>
      <c r="R282">
        <v>20.435558</v>
      </c>
      <c r="S282">
        <v>17.026800000000001</v>
      </c>
      <c r="T282">
        <v>19.376965999999999</v>
      </c>
      <c r="U282">
        <v>20.923121999999999</v>
      </c>
      <c r="V282">
        <v>19.838829</v>
      </c>
      <c r="W282">
        <v>20.803100000000001</v>
      </c>
      <c r="X282">
        <v>20.395265999999999</v>
      </c>
      <c r="Y282">
        <v>20.513676</v>
      </c>
      <c r="Z282">
        <v>21.352509000000001</v>
      </c>
      <c r="AA282">
        <v>22.504325999999999</v>
      </c>
      <c r="AB282">
        <v>20.763151000000001</v>
      </c>
      <c r="AC282">
        <v>19.276254999999999</v>
      </c>
      <c r="AD282">
        <v>21.097235000000001</v>
      </c>
      <c r="AE282">
        <v>19.377915999999999</v>
      </c>
      <c r="AF282">
        <v>22.029897999999999</v>
      </c>
      <c r="AG282">
        <v>21.529382999999999</v>
      </c>
    </row>
    <row r="283" spans="1:33" x14ac:dyDescent="0.25">
      <c r="A283" s="1">
        <v>44334</v>
      </c>
      <c r="B283">
        <v>17.978579</v>
      </c>
      <c r="C283">
        <v>18.722963</v>
      </c>
      <c r="D283">
        <v>17.660475000000002</v>
      </c>
      <c r="E283">
        <v>17.829270999999999</v>
      </c>
      <c r="F283">
        <v>18.143962999999999</v>
      </c>
      <c r="G283">
        <v>18.68976</v>
      </c>
      <c r="H283">
        <v>17.651350000000001</v>
      </c>
      <c r="I283">
        <v>17.105035999999998</v>
      </c>
      <c r="J283">
        <v>20.411557999999999</v>
      </c>
      <c r="K283">
        <v>19.931661999999999</v>
      </c>
      <c r="L283">
        <v>20.705722999999999</v>
      </c>
      <c r="M283">
        <v>18.696632000000001</v>
      </c>
      <c r="N283">
        <v>18.957681999999998</v>
      </c>
      <c r="O283">
        <v>20.438644</v>
      </c>
      <c r="P283">
        <v>19.836528999999999</v>
      </c>
      <c r="Q283">
        <v>18.745861000000001</v>
      </c>
      <c r="R283">
        <v>20.408068</v>
      </c>
      <c r="S283">
        <v>16.983055</v>
      </c>
      <c r="T283">
        <v>19.383282000000001</v>
      </c>
      <c r="U283">
        <v>20.851835000000001</v>
      </c>
      <c r="V283">
        <v>19.882456000000001</v>
      </c>
      <c r="W283">
        <v>20.840757</v>
      </c>
      <c r="X283">
        <v>20.499639999999999</v>
      </c>
      <c r="Y283">
        <v>19.802375999999999</v>
      </c>
      <c r="Z283">
        <v>21.177593000000002</v>
      </c>
      <c r="AA283">
        <v>22.294657000000001</v>
      </c>
      <c r="AB283">
        <v>20.076262</v>
      </c>
      <c r="AC283">
        <v>19.028542999999999</v>
      </c>
      <c r="AD283">
        <v>21.045839999999998</v>
      </c>
      <c r="AE283">
        <v>19.542954999999999</v>
      </c>
      <c r="AF283">
        <v>21.996995999999999</v>
      </c>
      <c r="AG283">
        <v>20.919799999999999</v>
      </c>
    </row>
    <row r="284" spans="1:33" x14ac:dyDescent="0.25">
      <c r="A284" s="1">
        <v>44335</v>
      </c>
      <c r="B284">
        <v>17.31334</v>
      </c>
      <c r="C284">
        <v>18.332364999999999</v>
      </c>
      <c r="D284">
        <v>17.484732000000001</v>
      </c>
      <c r="E284">
        <v>17.545373999999999</v>
      </c>
      <c r="F284">
        <v>17.48967</v>
      </c>
      <c r="G284">
        <v>18.314142</v>
      </c>
      <c r="H284">
        <v>17.370971999999998</v>
      </c>
      <c r="I284">
        <v>16.383700000000001</v>
      </c>
      <c r="J284">
        <v>19.031960000000002</v>
      </c>
      <c r="K284">
        <v>19.426310000000001</v>
      </c>
      <c r="L284">
        <v>20.164339999999999</v>
      </c>
      <c r="M284">
        <v>18.281755</v>
      </c>
      <c r="N284">
        <v>18.610254000000001</v>
      </c>
      <c r="O284">
        <v>20.004304999999999</v>
      </c>
      <c r="P284">
        <v>19.373795999999999</v>
      </c>
      <c r="Q284">
        <v>18.393093</v>
      </c>
      <c r="R284">
        <v>20.025010999999999</v>
      </c>
      <c r="S284">
        <v>16.176523</v>
      </c>
      <c r="T284">
        <v>19.082982999999999</v>
      </c>
      <c r="U284">
        <v>20.531202</v>
      </c>
      <c r="V284">
        <v>19.359079999999999</v>
      </c>
      <c r="W284">
        <v>20.798971000000002</v>
      </c>
      <c r="X284">
        <v>19.895340000000001</v>
      </c>
      <c r="Y284">
        <v>19.075638000000001</v>
      </c>
      <c r="Z284">
        <v>20.583051999999999</v>
      </c>
      <c r="AA284">
        <v>21.569315</v>
      </c>
      <c r="AB284">
        <v>19.398567</v>
      </c>
      <c r="AC284">
        <v>18.119472999999999</v>
      </c>
      <c r="AD284">
        <v>20.686304</v>
      </c>
      <c r="AE284">
        <v>19.027647000000002</v>
      </c>
      <c r="AF284">
        <v>21.592134000000001</v>
      </c>
      <c r="AG284">
        <v>20.070808</v>
      </c>
    </row>
    <row r="285" spans="1:33" x14ac:dyDescent="0.25">
      <c r="A285" s="1">
        <v>44336</v>
      </c>
      <c r="B285">
        <v>16.463173000000001</v>
      </c>
      <c r="C285">
        <v>17.992481000000002</v>
      </c>
      <c r="D285">
        <v>17.300523999999999</v>
      </c>
      <c r="E285">
        <v>16.978867999999999</v>
      </c>
      <c r="F285">
        <v>17.176836000000002</v>
      </c>
      <c r="G285">
        <v>17.925660000000001</v>
      </c>
      <c r="H285">
        <v>16.978127000000001</v>
      </c>
      <c r="I285">
        <v>15.795105</v>
      </c>
      <c r="J285">
        <v>17.462039999999998</v>
      </c>
      <c r="K285">
        <v>18.850393</v>
      </c>
      <c r="L285">
        <v>19.406096000000002</v>
      </c>
      <c r="M285">
        <v>17.914377000000002</v>
      </c>
      <c r="N285">
        <v>18.230468999999999</v>
      </c>
      <c r="O285">
        <v>19.496765</v>
      </c>
      <c r="P285">
        <v>18.861155</v>
      </c>
      <c r="Q285">
        <v>17.997859999999999</v>
      </c>
      <c r="R285">
        <v>19.598462999999999</v>
      </c>
      <c r="S285">
        <v>15.443425</v>
      </c>
      <c r="T285">
        <v>18.741339</v>
      </c>
      <c r="U285">
        <v>19.931906000000001</v>
      </c>
      <c r="V285">
        <v>19.386945999999998</v>
      </c>
      <c r="W285">
        <v>20.593385999999999</v>
      </c>
      <c r="X285">
        <v>19.660855999999999</v>
      </c>
      <c r="Y285">
        <v>17.986848999999999</v>
      </c>
      <c r="Z285">
        <v>19.510351</v>
      </c>
      <c r="AA285">
        <v>20.728722000000001</v>
      </c>
      <c r="AB285">
        <v>18.389240000000001</v>
      </c>
      <c r="AC285">
        <v>16.814876999999999</v>
      </c>
      <c r="AD285">
        <v>20.172483</v>
      </c>
      <c r="AE285">
        <v>18.195522</v>
      </c>
      <c r="AF285">
        <v>20.9709</v>
      </c>
      <c r="AG285">
        <v>19.194572000000001</v>
      </c>
    </row>
    <row r="286" spans="1:33" x14ac:dyDescent="0.25">
      <c r="A286" s="1">
        <v>44337</v>
      </c>
      <c r="B286">
        <v>16.642182999999999</v>
      </c>
      <c r="C286">
        <v>17.844864000000001</v>
      </c>
      <c r="D286">
        <v>17.257078</v>
      </c>
      <c r="E286">
        <v>16.960668999999999</v>
      </c>
      <c r="F286">
        <v>17.415248999999999</v>
      </c>
      <c r="G286">
        <v>17.656659999999999</v>
      </c>
      <c r="H286">
        <v>16.903752999999998</v>
      </c>
      <c r="I286">
        <v>16.092264</v>
      </c>
      <c r="J286">
        <v>16.744779999999999</v>
      </c>
      <c r="K286">
        <v>18.653704000000001</v>
      </c>
      <c r="L286">
        <v>19.280457999999999</v>
      </c>
      <c r="M286">
        <v>17.726196000000002</v>
      </c>
      <c r="N286">
        <v>18.191132</v>
      </c>
      <c r="O286">
        <v>19.303111999999999</v>
      </c>
      <c r="P286">
        <v>18.606656999999998</v>
      </c>
      <c r="Q286">
        <v>17.842316</v>
      </c>
      <c r="R286">
        <v>19.378588000000001</v>
      </c>
      <c r="S286">
        <v>14.807622</v>
      </c>
      <c r="T286">
        <v>18.547955000000002</v>
      </c>
      <c r="U286">
        <v>19.369803999999998</v>
      </c>
      <c r="V286">
        <v>19.237608000000002</v>
      </c>
      <c r="W286">
        <v>19.974924000000001</v>
      </c>
      <c r="X286">
        <v>19.561367000000001</v>
      </c>
      <c r="Y286">
        <v>17.584429</v>
      </c>
      <c r="Z286">
        <v>18.923891000000001</v>
      </c>
      <c r="AA286">
        <v>20.081765999999998</v>
      </c>
      <c r="AB286">
        <v>17.992815</v>
      </c>
      <c r="AC286">
        <v>16.088787</v>
      </c>
      <c r="AD286">
        <v>19.722836000000001</v>
      </c>
      <c r="AE286">
        <v>17.999189999999999</v>
      </c>
      <c r="AF286">
        <v>20.488624999999999</v>
      </c>
      <c r="AG286">
        <v>18.850041999999998</v>
      </c>
    </row>
    <row r="287" spans="1:33" x14ac:dyDescent="0.25">
      <c r="A287" s="1">
        <v>44338</v>
      </c>
      <c r="B287">
        <v>17.032267000000001</v>
      </c>
      <c r="C287">
        <v>17.924938000000001</v>
      </c>
      <c r="D287">
        <v>17.401947</v>
      </c>
      <c r="E287">
        <v>17.154366</v>
      </c>
      <c r="F287">
        <v>17.543692</v>
      </c>
      <c r="G287">
        <v>17.563777999999999</v>
      </c>
      <c r="H287">
        <v>17.047598000000001</v>
      </c>
      <c r="I287">
        <v>16.638783</v>
      </c>
      <c r="J287">
        <v>17.109953000000001</v>
      </c>
      <c r="K287">
        <v>18.719010999999998</v>
      </c>
      <c r="L287">
        <v>19.405010000000001</v>
      </c>
      <c r="M287">
        <v>17.696982999999999</v>
      </c>
      <c r="N287">
        <v>18.293104</v>
      </c>
      <c r="O287">
        <v>19.463540999999999</v>
      </c>
      <c r="P287">
        <v>18.609639999999999</v>
      </c>
      <c r="Q287">
        <v>17.816324000000002</v>
      </c>
      <c r="R287">
        <v>19.499254000000001</v>
      </c>
      <c r="S287">
        <v>15.090316</v>
      </c>
      <c r="T287">
        <v>18.738731000000001</v>
      </c>
      <c r="U287">
        <v>19.434998</v>
      </c>
      <c r="V287">
        <v>19.384695000000001</v>
      </c>
      <c r="W287">
        <v>19.699074</v>
      </c>
      <c r="X287">
        <v>19.786097000000002</v>
      </c>
      <c r="Y287">
        <v>17.725553999999999</v>
      </c>
      <c r="Z287">
        <v>18.942768000000001</v>
      </c>
      <c r="AA287">
        <v>19.937576</v>
      </c>
      <c r="AB287">
        <v>18.153334000000001</v>
      </c>
      <c r="AC287">
        <v>16.033213</v>
      </c>
      <c r="AD287">
        <v>19.644006999999998</v>
      </c>
      <c r="AE287">
        <v>18.617853</v>
      </c>
      <c r="AF287">
        <v>20.336409</v>
      </c>
      <c r="AG287">
        <v>18.996393000000001</v>
      </c>
    </row>
    <row r="288" spans="1:33" x14ac:dyDescent="0.25">
      <c r="A288" s="1">
        <v>44339</v>
      </c>
      <c r="B288">
        <v>17.362359999999999</v>
      </c>
      <c r="C288">
        <v>17.965336000000001</v>
      </c>
      <c r="D288">
        <v>17.476472999999999</v>
      </c>
      <c r="E288">
        <v>17.265940000000001</v>
      </c>
      <c r="F288">
        <v>17.500170000000001</v>
      </c>
      <c r="G288">
        <v>17.527474999999999</v>
      </c>
      <c r="H288">
        <v>17.064139999999998</v>
      </c>
      <c r="I288">
        <v>16.599378999999999</v>
      </c>
      <c r="J288">
        <v>17.816403999999999</v>
      </c>
      <c r="K288">
        <v>18.833749999999998</v>
      </c>
      <c r="L288">
        <v>19.457509999999999</v>
      </c>
      <c r="M288">
        <v>17.693110000000001</v>
      </c>
      <c r="N288">
        <v>18.398164999999999</v>
      </c>
      <c r="O288">
        <v>19.5581</v>
      </c>
      <c r="P288">
        <v>18.738492999999998</v>
      </c>
      <c r="Q288">
        <v>17.824636000000002</v>
      </c>
      <c r="R288">
        <v>19.516618999999999</v>
      </c>
      <c r="S288">
        <v>15.467767</v>
      </c>
      <c r="T288">
        <v>18.871046</v>
      </c>
      <c r="U288">
        <v>19.576917999999999</v>
      </c>
      <c r="V288">
        <v>19.512689999999999</v>
      </c>
      <c r="W288">
        <v>19.655348</v>
      </c>
      <c r="X288">
        <v>19.870546000000001</v>
      </c>
      <c r="Y288">
        <v>18.062916000000001</v>
      </c>
      <c r="Z288">
        <v>19.113329</v>
      </c>
      <c r="AA288">
        <v>19.993866000000001</v>
      </c>
      <c r="AB288">
        <v>18.490790000000001</v>
      </c>
      <c r="AC288">
        <v>16.335543000000001</v>
      </c>
      <c r="AD288">
        <v>19.693525000000001</v>
      </c>
      <c r="AE288">
        <v>19.244173</v>
      </c>
      <c r="AF288">
        <v>20.315909999999999</v>
      </c>
      <c r="AG288">
        <v>19.278458000000001</v>
      </c>
    </row>
    <row r="289" spans="1:33" x14ac:dyDescent="0.25">
      <c r="A289" s="1">
        <v>44340</v>
      </c>
      <c r="B289">
        <v>18.002659000000001</v>
      </c>
      <c r="C289">
        <v>18.235707999999999</v>
      </c>
      <c r="D289">
        <v>17.744879999999998</v>
      </c>
      <c r="E289">
        <v>17.514479000000001</v>
      </c>
      <c r="F289">
        <v>17.831613999999998</v>
      </c>
      <c r="G289">
        <v>17.709019000000001</v>
      </c>
      <c r="H289">
        <v>17.209637000000001</v>
      </c>
      <c r="I289">
        <v>17.087381000000001</v>
      </c>
      <c r="J289">
        <v>18.824159999999999</v>
      </c>
      <c r="K289">
        <v>19.038264999999999</v>
      </c>
      <c r="L289">
        <v>19.695512999999998</v>
      </c>
      <c r="M289">
        <v>17.888173999999999</v>
      </c>
      <c r="N289">
        <v>18.537732999999999</v>
      </c>
      <c r="O289">
        <v>19.770401</v>
      </c>
      <c r="P289">
        <v>18.966396</v>
      </c>
      <c r="Q289">
        <v>17.949776</v>
      </c>
      <c r="R289">
        <v>19.655453000000001</v>
      </c>
      <c r="S289">
        <v>16.562177999999999</v>
      </c>
      <c r="T289">
        <v>19.14189</v>
      </c>
      <c r="U289">
        <v>20.054666999999998</v>
      </c>
      <c r="V289">
        <v>19.755769999999998</v>
      </c>
      <c r="W289">
        <v>20.113523000000001</v>
      </c>
      <c r="X289">
        <v>20.079630000000002</v>
      </c>
      <c r="Y289">
        <v>18.509848000000002</v>
      </c>
      <c r="Z289">
        <v>19.578838000000001</v>
      </c>
      <c r="AA289">
        <v>20.422782999999999</v>
      </c>
      <c r="AB289">
        <v>18.881180000000001</v>
      </c>
      <c r="AC289">
        <v>16.945425</v>
      </c>
      <c r="AD289">
        <v>19.907876999999999</v>
      </c>
      <c r="AE289">
        <v>20.181114000000001</v>
      </c>
      <c r="AF289">
        <v>20.489059999999998</v>
      </c>
      <c r="AG289">
        <v>19.807887999999998</v>
      </c>
    </row>
    <row r="290" spans="1:33" x14ac:dyDescent="0.25">
      <c r="A290" s="1">
        <v>44341</v>
      </c>
      <c r="B290">
        <v>18.307856000000001</v>
      </c>
      <c r="C290">
        <v>18.360289000000002</v>
      </c>
      <c r="D290">
        <v>18.069025</v>
      </c>
      <c r="E290">
        <v>17.762667</v>
      </c>
      <c r="F290">
        <v>18.070522</v>
      </c>
      <c r="G290">
        <v>17.933637999999998</v>
      </c>
      <c r="H290">
        <v>17.383058999999999</v>
      </c>
      <c r="I290">
        <v>17.561495000000001</v>
      </c>
      <c r="J290">
        <v>19.248476</v>
      </c>
      <c r="K290">
        <v>19.149989999999999</v>
      </c>
      <c r="L290">
        <v>19.818875999999999</v>
      </c>
      <c r="M290">
        <v>18.091508999999999</v>
      </c>
      <c r="N290">
        <v>18.631769999999999</v>
      </c>
      <c r="O290">
        <v>19.779679999999999</v>
      </c>
      <c r="P290">
        <v>19.092737</v>
      </c>
      <c r="Q290">
        <v>18.099837999999998</v>
      </c>
      <c r="R290">
        <v>19.656943999999999</v>
      </c>
      <c r="S290">
        <v>17.591588999999999</v>
      </c>
      <c r="T290">
        <v>19.286481999999999</v>
      </c>
      <c r="U290">
        <v>20.458673000000001</v>
      </c>
      <c r="V290">
        <v>19.805323000000001</v>
      </c>
      <c r="W290">
        <v>20.350805000000001</v>
      </c>
      <c r="X290">
        <v>20.116377</v>
      </c>
      <c r="Y290">
        <v>18.980028000000001</v>
      </c>
      <c r="Z290">
        <v>19.960958000000002</v>
      </c>
      <c r="AA290">
        <v>20.778276000000002</v>
      </c>
      <c r="AB290">
        <v>19.297411</v>
      </c>
      <c r="AC290">
        <v>17.632232999999999</v>
      </c>
      <c r="AD290">
        <v>20.029795</v>
      </c>
      <c r="AE290">
        <v>20.769835</v>
      </c>
      <c r="AF290">
        <v>20.627860999999999</v>
      </c>
      <c r="AG290">
        <v>20.042663999999998</v>
      </c>
    </row>
    <row r="291" spans="1:33" x14ac:dyDescent="0.25">
      <c r="A291" s="1">
        <v>44342</v>
      </c>
      <c r="B291">
        <v>18.450234999999999</v>
      </c>
      <c r="C291">
        <v>18.514821999999999</v>
      </c>
      <c r="D291">
        <v>18.219542000000001</v>
      </c>
      <c r="E291">
        <v>17.892427000000001</v>
      </c>
      <c r="F291">
        <v>18.264365999999999</v>
      </c>
      <c r="G291">
        <v>18.17803</v>
      </c>
      <c r="H291">
        <v>17.568169999999999</v>
      </c>
      <c r="I291">
        <v>18.046226999999998</v>
      </c>
      <c r="J291">
        <v>19.812913999999999</v>
      </c>
      <c r="K291">
        <v>19.386731999999999</v>
      </c>
      <c r="L291">
        <v>20.095818000000001</v>
      </c>
      <c r="M291">
        <v>18.315021999999999</v>
      </c>
      <c r="N291">
        <v>18.814164999999999</v>
      </c>
      <c r="O291">
        <v>19.999127999999999</v>
      </c>
      <c r="P291">
        <v>19.312681000000001</v>
      </c>
      <c r="Q291">
        <v>18.304452999999999</v>
      </c>
      <c r="R291">
        <v>19.858537999999999</v>
      </c>
      <c r="S291">
        <v>18.104939999999999</v>
      </c>
      <c r="T291">
        <v>19.530543999999999</v>
      </c>
      <c r="U291">
        <v>20.865424999999998</v>
      </c>
      <c r="V291">
        <v>20.081219999999998</v>
      </c>
      <c r="W291">
        <v>20.506409999999999</v>
      </c>
      <c r="X291">
        <v>20.439530000000001</v>
      </c>
      <c r="Y291">
        <v>19.301369999999999</v>
      </c>
      <c r="Z291">
        <v>20.390898</v>
      </c>
      <c r="AA291">
        <v>21.072424000000002</v>
      </c>
      <c r="AB291">
        <v>19.631</v>
      </c>
      <c r="AC291">
        <v>18.231974000000001</v>
      </c>
      <c r="AD291">
        <v>20.238281000000001</v>
      </c>
      <c r="AE291">
        <v>21.344377999999999</v>
      </c>
      <c r="AF291">
        <v>20.778929000000002</v>
      </c>
      <c r="AG291">
        <v>20.305033000000002</v>
      </c>
    </row>
    <row r="292" spans="1:33" x14ac:dyDescent="0.25">
      <c r="A292" s="1">
        <v>44343</v>
      </c>
      <c r="B292">
        <v>18.293688</v>
      </c>
      <c r="C292">
        <v>18.488164999999999</v>
      </c>
      <c r="D292">
        <v>18.074839000000001</v>
      </c>
      <c r="E292">
        <v>17.812878000000001</v>
      </c>
      <c r="F292">
        <v>18.195204</v>
      </c>
      <c r="G292">
        <v>18.267403000000002</v>
      </c>
      <c r="H292">
        <v>17.594031999999999</v>
      </c>
      <c r="I292">
        <v>17.999426</v>
      </c>
      <c r="J292">
        <v>20.231897</v>
      </c>
      <c r="K292">
        <v>19.602325</v>
      </c>
      <c r="L292">
        <v>20.296506999999998</v>
      </c>
      <c r="M292">
        <v>18.402180000000001</v>
      </c>
      <c r="N292">
        <v>18.858421</v>
      </c>
      <c r="O292">
        <v>20.072716</v>
      </c>
      <c r="P292">
        <v>19.519093000000002</v>
      </c>
      <c r="Q292">
        <v>18.398164999999999</v>
      </c>
      <c r="R292">
        <v>19.939802</v>
      </c>
      <c r="S292">
        <v>18.080369999999998</v>
      </c>
      <c r="T292">
        <v>19.610175999999999</v>
      </c>
      <c r="U292">
        <v>21.086597000000001</v>
      </c>
      <c r="V292">
        <v>20.128412000000001</v>
      </c>
      <c r="W292">
        <v>20.880983000000001</v>
      </c>
      <c r="X292">
        <v>20.540213000000001</v>
      </c>
      <c r="Y292">
        <v>19.651983000000001</v>
      </c>
      <c r="Z292">
        <v>20.690058000000001</v>
      </c>
      <c r="AA292">
        <v>21.310108</v>
      </c>
      <c r="AB292">
        <v>19.906393000000001</v>
      </c>
      <c r="AC292">
        <v>18.632470999999999</v>
      </c>
      <c r="AD292">
        <v>20.393301000000001</v>
      </c>
      <c r="AE292">
        <v>21.278531999999998</v>
      </c>
      <c r="AF292">
        <v>20.911093000000001</v>
      </c>
      <c r="AG292">
        <v>20.330362000000001</v>
      </c>
    </row>
    <row r="293" spans="1:33" x14ac:dyDescent="0.25">
      <c r="A293" s="1">
        <v>44344</v>
      </c>
      <c r="B293">
        <v>18.629686</v>
      </c>
      <c r="C293">
        <v>18.760878000000002</v>
      </c>
      <c r="D293">
        <v>18.230556</v>
      </c>
      <c r="E293">
        <v>18.081644000000001</v>
      </c>
      <c r="F293">
        <v>18.545603</v>
      </c>
      <c r="G293">
        <v>18.479734000000001</v>
      </c>
      <c r="H293">
        <v>17.872026000000002</v>
      </c>
      <c r="I293">
        <v>18.539293000000001</v>
      </c>
      <c r="J293">
        <v>20.844460999999999</v>
      </c>
      <c r="K293">
        <v>19.906524999999998</v>
      </c>
      <c r="L293">
        <v>20.611294000000001</v>
      </c>
      <c r="M293">
        <v>18.633089999999999</v>
      </c>
      <c r="N293">
        <v>19.061546</v>
      </c>
      <c r="O293">
        <v>20.342001</v>
      </c>
      <c r="P293">
        <v>19.800896000000002</v>
      </c>
      <c r="Q293">
        <v>18.630064000000001</v>
      </c>
      <c r="R293">
        <v>20.209505</v>
      </c>
      <c r="S293">
        <v>18.605768000000001</v>
      </c>
      <c r="T293">
        <v>19.838825</v>
      </c>
      <c r="U293">
        <v>21.496897000000001</v>
      </c>
      <c r="V293">
        <v>20.340214</v>
      </c>
      <c r="W293">
        <v>21.462494</v>
      </c>
      <c r="X293">
        <v>20.762777</v>
      </c>
      <c r="Y293">
        <v>19.992798000000001</v>
      </c>
      <c r="Z293">
        <v>21.119133000000001</v>
      </c>
      <c r="AA293">
        <v>21.703935999999999</v>
      </c>
      <c r="AB293">
        <v>20.204650000000001</v>
      </c>
      <c r="AC293">
        <v>19.218392999999999</v>
      </c>
      <c r="AD293">
        <v>20.673559999999998</v>
      </c>
      <c r="AE293">
        <v>21.992525000000001</v>
      </c>
      <c r="AF293">
        <v>21.148405</v>
      </c>
      <c r="AG293">
        <v>20.751373000000001</v>
      </c>
    </row>
    <row r="294" spans="1:33" x14ac:dyDescent="0.25">
      <c r="A294" s="1">
        <v>44345</v>
      </c>
      <c r="B294">
        <v>18.5961</v>
      </c>
      <c r="C294">
        <v>18.896153999999999</v>
      </c>
      <c r="D294">
        <v>18.243313000000001</v>
      </c>
      <c r="E294">
        <v>18.239934999999999</v>
      </c>
      <c r="F294">
        <v>18.566213999999999</v>
      </c>
      <c r="G294">
        <v>18.676096000000001</v>
      </c>
      <c r="H294">
        <v>17.986649</v>
      </c>
      <c r="I294">
        <v>18.629132999999999</v>
      </c>
      <c r="J294">
        <v>21.411325000000001</v>
      </c>
      <c r="K294">
        <v>20.249528999999999</v>
      </c>
      <c r="L294">
        <v>20.946949</v>
      </c>
      <c r="M294">
        <v>18.801973</v>
      </c>
      <c r="N294">
        <v>19.24616</v>
      </c>
      <c r="O294">
        <v>20.609425999999999</v>
      </c>
      <c r="P294">
        <v>20.131985</v>
      </c>
      <c r="Q294">
        <v>18.839151000000001</v>
      </c>
      <c r="R294">
        <v>20.48903</v>
      </c>
      <c r="S294">
        <v>18.700534999999999</v>
      </c>
      <c r="T294">
        <v>20.029071999999999</v>
      </c>
      <c r="U294">
        <v>21.728065000000001</v>
      </c>
      <c r="V294">
        <v>20.488771</v>
      </c>
      <c r="W294">
        <v>21.797281000000002</v>
      </c>
      <c r="X294">
        <v>20.904501</v>
      </c>
      <c r="Y294">
        <v>20.103791999999999</v>
      </c>
      <c r="Z294">
        <v>21.516822999999999</v>
      </c>
      <c r="AA294">
        <v>22.100778999999999</v>
      </c>
      <c r="AB294">
        <v>20.324162999999999</v>
      </c>
      <c r="AC294">
        <v>19.552046000000001</v>
      </c>
      <c r="AD294">
        <v>21.001218999999999</v>
      </c>
      <c r="AE294">
        <v>22.165023999999999</v>
      </c>
      <c r="AF294">
        <v>21.3047</v>
      </c>
      <c r="AG294">
        <v>21.029866999999999</v>
      </c>
    </row>
    <row r="295" spans="1:33" x14ac:dyDescent="0.25">
      <c r="A295" s="1">
        <v>44346</v>
      </c>
      <c r="B295">
        <v>18.772283999999999</v>
      </c>
      <c r="C295">
        <v>19.194020999999999</v>
      </c>
      <c r="D295">
        <v>18.374647</v>
      </c>
      <c r="E295">
        <v>18.433699000000001</v>
      </c>
      <c r="F295">
        <v>18.791422000000001</v>
      </c>
      <c r="G295">
        <v>18.881353000000001</v>
      </c>
      <c r="H295">
        <v>18.145885</v>
      </c>
      <c r="I295">
        <v>18.840658000000001</v>
      </c>
      <c r="J295">
        <v>22.018678999999999</v>
      </c>
      <c r="K295">
        <v>20.647231999999999</v>
      </c>
      <c r="L295">
        <v>21.323139999999999</v>
      </c>
      <c r="M295">
        <v>19.059031999999998</v>
      </c>
      <c r="N295">
        <v>19.578887999999999</v>
      </c>
      <c r="O295">
        <v>20.971654999999998</v>
      </c>
      <c r="P295">
        <v>20.510313</v>
      </c>
      <c r="Q295">
        <v>19.082968000000001</v>
      </c>
      <c r="R295">
        <v>20.858501</v>
      </c>
      <c r="S295">
        <v>18.766743000000002</v>
      </c>
      <c r="T295">
        <v>20.38477</v>
      </c>
      <c r="U295">
        <v>22.003302000000001</v>
      </c>
      <c r="V295">
        <v>20.886374</v>
      </c>
      <c r="W295">
        <v>22.158363000000001</v>
      </c>
      <c r="X295">
        <v>21.318425999999999</v>
      </c>
      <c r="Y295">
        <v>20.471126999999999</v>
      </c>
      <c r="Z295">
        <v>21.907409999999999</v>
      </c>
      <c r="AA295">
        <v>22.535775999999998</v>
      </c>
      <c r="AB295">
        <v>20.705197999999999</v>
      </c>
      <c r="AC295">
        <v>19.967797999999998</v>
      </c>
      <c r="AD295">
        <v>21.377562999999999</v>
      </c>
      <c r="AE295">
        <v>22.491966000000001</v>
      </c>
      <c r="AF295">
        <v>21.528154000000001</v>
      </c>
      <c r="AG295">
        <v>21.621447</v>
      </c>
    </row>
    <row r="296" spans="1:33" x14ac:dyDescent="0.25">
      <c r="A296" s="1">
        <v>44347</v>
      </c>
      <c r="B296">
        <v>19.528245999999999</v>
      </c>
      <c r="C296">
        <v>19.841481999999999</v>
      </c>
      <c r="D296">
        <v>18.959371999999998</v>
      </c>
      <c r="E296">
        <v>19.075330000000001</v>
      </c>
      <c r="F296">
        <v>19.52861</v>
      </c>
      <c r="G296">
        <v>19.345044999999999</v>
      </c>
      <c r="H296">
        <v>18.577850000000002</v>
      </c>
      <c r="I296">
        <v>19.787375999999998</v>
      </c>
      <c r="J296">
        <v>22.769423</v>
      </c>
      <c r="K296">
        <v>21.183572999999999</v>
      </c>
      <c r="L296">
        <v>21.871077</v>
      </c>
      <c r="M296">
        <v>19.533974000000001</v>
      </c>
      <c r="N296">
        <v>20.124859000000001</v>
      </c>
      <c r="O296">
        <v>21.555078999999999</v>
      </c>
      <c r="P296">
        <v>21.026683999999999</v>
      </c>
      <c r="Q296">
        <v>19.589030999999999</v>
      </c>
      <c r="R296">
        <v>21.423936999999999</v>
      </c>
      <c r="S296">
        <v>19.886206000000001</v>
      </c>
      <c r="T296">
        <v>21.091850000000001</v>
      </c>
      <c r="U296">
        <v>22.658579</v>
      </c>
      <c r="V296">
        <v>21.590347000000001</v>
      </c>
      <c r="W296">
        <v>22.836310999999998</v>
      </c>
      <c r="X296">
        <v>22.077432999999999</v>
      </c>
      <c r="Y296">
        <v>21.450340000000001</v>
      </c>
      <c r="Z296">
        <v>22.523980000000002</v>
      </c>
      <c r="AA296">
        <v>23.132916999999999</v>
      </c>
      <c r="AB296">
        <v>21.658905000000001</v>
      </c>
      <c r="AC296">
        <v>21.017752000000002</v>
      </c>
      <c r="AD296">
        <v>21.883291</v>
      </c>
      <c r="AE296">
        <v>23.620515999999999</v>
      </c>
      <c r="AF296">
        <v>21.967459000000002</v>
      </c>
      <c r="AG296">
        <v>22.705995999999999</v>
      </c>
    </row>
    <row r="297" spans="1:33" x14ac:dyDescent="0.25">
      <c r="A297" s="1">
        <v>44348</v>
      </c>
      <c r="B297">
        <v>19.637820999999999</v>
      </c>
      <c r="C297">
        <v>20.087786000000001</v>
      </c>
      <c r="D297">
        <v>19.338785000000001</v>
      </c>
      <c r="E297">
        <v>19.525113999999999</v>
      </c>
      <c r="F297">
        <v>19.71106</v>
      </c>
      <c r="G297">
        <v>19.644625000000001</v>
      </c>
      <c r="H297">
        <v>18.671710000000001</v>
      </c>
      <c r="I297">
        <v>19.836030000000001</v>
      </c>
      <c r="J297">
        <v>23.221567</v>
      </c>
      <c r="K297">
        <v>21.511099999999999</v>
      </c>
      <c r="L297">
        <v>22.220734</v>
      </c>
      <c r="M297">
        <v>19.797910000000002</v>
      </c>
      <c r="N297">
        <v>20.333300000000001</v>
      </c>
      <c r="O297">
        <v>21.859123</v>
      </c>
      <c r="P297">
        <v>21.370598000000001</v>
      </c>
      <c r="Q297">
        <v>19.903822000000002</v>
      </c>
      <c r="R297">
        <v>21.746233</v>
      </c>
      <c r="S297">
        <v>20.397120999999999</v>
      </c>
      <c r="T297">
        <v>21.387329999999999</v>
      </c>
      <c r="U297">
        <v>23.089635999999999</v>
      </c>
      <c r="V297">
        <v>21.711258000000001</v>
      </c>
      <c r="W297">
        <v>23.148679999999999</v>
      </c>
      <c r="X297">
        <v>22.186129000000001</v>
      </c>
      <c r="Y297">
        <v>22.49662</v>
      </c>
      <c r="Z297">
        <v>23.051421999999999</v>
      </c>
      <c r="AA297">
        <v>23.730889999999999</v>
      </c>
      <c r="AB297">
        <v>22.709976000000001</v>
      </c>
      <c r="AC297">
        <v>22.129797</v>
      </c>
      <c r="AD297">
        <v>22.301981000000001</v>
      </c>
      <c r="AE297">
        <v>24.365570000000002</v>
      </c>
      <c r="AF297">
        <v>22.484907</v>
      </c>
      <c r="AG297">
        <v>23.647718000000001</v>
      </c>
    </row>
    <row r="298" spans="1:33" x14ac:dyDescent="0.25">
      <c r="A298" s="1">
        <v>44349</v>
      </c>
      <c r="B298">
        <v>19.758279999999999</v>
      </c>
      <c r="C298">
        <v>20.246708000000002</v>
      </c>
      <c r="D298">
        <v>19.500222999999998</v>
      </c>
      <c r="E298">
        <v>19.598948</v>
      </c>
      <c r="F298">
        <v>19.752980000000001</v>
      </c>
      <c r="G298">
        <v>19.827940000000002</v>
      </c>
      <c r="H298">
        <v>18.723845000000001</v>
      </c>
      <c r="I298">
        <v>19.503229999999999</v>
      </c>
      <c r="J298">
        <v>23.18769</v>
      </c>
      <c r="K298">
        <v>21.672056000000001</v>
      </c>
      <c r="L298">
        <v>22.500617999999999</v>
      </c>
      <c r="M298">
        <v>19.974810000000002</v>
      </c>
      <c r="N298">
        <v>20.49145</v>
      </c>
      <c r="O298">
        <v>22.124856999999999</v>
      </c>
      <c r="P298">
        <v>21.537206999999999</v>
      </c>
      <c r="Q298">
        <v>20.080632999999999</v>
      </c>
      <c r="R298">
        <v>22.021376</v>
      </c>
      <c r="S298">
        <v>19.651160000000001</v>
      </c>
      <c r="T298">
        <v>21.499639999999999</v>
      </c>
      <c r="U298">
        <v>23.238028</v>
      </c>
      <c r="V298">
        <v>22.009436000000001</v>
      </c>
      <c r="W298">
        <v>23.307075999999999</v>
      </c>
      <c r="X298">
        <v>22.54439</v>
      </c>
      <c r="Y298">
        <v>23.184356999999999</v>
      </c>
      <c r="Z298">
        <v>23.352416999999999</v>
      </c>
      <c r="AA298">
        <v>24.169134</v>
      </c>
      <c r="AB298">
        <v>23.405777</v>
      </c>
      <c r="AC298">
        <v>22.903343</v>
      </c>
      <c r="AD298">
        <v>22.652334</v>
      </c>
      <c r="AE298">
        <v>24.374822999999999</v>
      </c>
      <c r="AF298">
        <v>22.906753999999999</v>
      </c>
      <c r="AG298">
        <v>24.204453999999998</v>
      </c>
    </row>
    <row r="299" spans="1:33" x14ac:dyDescent="0.25">
      <c r="A299" s="1">
        <v>44350</v>
      </c>
      <c r="B299">
        <v>20.323886999999999</v>
      </c>
      <c r="C299">
        <v>20.605898</v>
      </c>
      <c r="D299">
        <v>19.810776000000001</v>
      </c>
      <c r="E299">
        <v>19.930456</v>
      </c>
      <c r="F299">
        <v>20.107225</v>
      </c>
      <c r="G299">
        <v>20.036574999999999</v>
      </c>
      <c r="H299">
        <v>19.081713000000001</v>
      </c>
      <c r="I299">
        <v>19.858263000000001</v>
      </c>
      <c r="J299">
        <v>23.473901999999999</v>
      </c>
      <c r="K299">
        <v>22.028002000000001</v>
      </c>
      <c r="L299">
        <v>22.880386000000001</v>
      </c>
      <c r="M299">
        <v>20.260141000000001</v>
      </c>
      <c r="N299">
        <v>20.922073000000001</v>
      </c>
      <c r="O299">
        <v>22.536745</v>
      </c>
      <c r="P299">
        <v>21.868921</v>
      </c>
      <c r="Q299">
        <v>20.370934999999999</v>
      </c>
      <c r="R299">
        <v>22.398683999999999</v>
      </c>
      <c r="S299">
        <v>19.676613</v>
      </c>
      <c r="T299">
        <v>21.908525000000001</v>
      </c>
      <c r="U299">
        <v>23.515284000000001</v>
      </c>
      <c r="V299">
        <v>22.585668999999999</v>
      </c>
      <c r="W299">
        <v>23.804359999999999</v>
      </c>
      <c r="X299">
        <v>22.993517000000001</v>
      </c>
      <c r="Y299">
        <v>23.569379999999999</v>
      </c>
      <c r="Z299">
        <v>23.661377000000002</v>
      </c>
      <c r="AA299">
        <v>24.583406</v>
      </c>
      <c r="AB299">
        <v>23.825426</v>
      </c>
      <c r="AC299">
        <v>23.384384000000001</v>
      </c>
      <c r="AD299">
        <v>23.010973</v>
      </c>
      <c r="AE299">
        <v>24.246096000000001</v>
      </c>
      <c r="AF299">
        <v>23.312891</v>
      </c>
      <c r="AG299">
        <v>24.65692</v>
      </c>
    </row>
    <row r="300" spans="1:33" x14ac:dyDescent="0.25">
      <c r="A300" s="1">
        <v>44351</v>
      </c>
      <c r="B300">
        <v>20.883783000000001</v>
      </c>
      <c r="C300">
        <v>20.986232999999999</v>
      </c>
      <c r="D300">
        <v>20.127855</v>
      </c>
      <c r="E300">
        <v>20.299212000000001</v>
      </c>
      <c r="F300">
        <v>20.374123000000001</v>
      </c>
      <c r="G300">
        <v>20.230557999999998</v>
      </c>
      <c r="H300">
        <v>19.294087999999999</v>
      </c>
      <c r="I300">
        <v>20.151613000000001</v>
      </c>
      <c r="J300">
        <v>23.938917</v>
      </c>
      <c r="K300">
        <v>22.359423</v>
      </c>
      <c r="L300">
        <v>23.200410000000002</v>
      </c>
      <c r="M300">
        <v>20.486737999999999</v>
      </c>
      <c r="N300">
        <v>21.166656</v>
      </c>
      <c r="O300">
        <v>22.818624</v>
      </c>
      <c r="P300">
        <v>22.229293999999999</v>
      </c>
      <c r="Q300">
        <v>20.641988999999999</v>
      </c>
      <c r="R300">
        <v>22.662710000000001</v>
      </c>
      <c r="S300">
        <v>20.505697000000001</v>
      </c>
      <c r="T300">
        <v>22.280304000000001</v>
      </c>
      <c r="U300">
        <v>23.988119999999999</v>
      </c>
      <c r="V300">
        <v>22.835127</v>
      </c>
      <c r="W300">
        <v>24.361816000000001</v>
      </c>
      <c r="X300">
        <v>23.289415000000002</v>
      </c>
      <c r="Y300">
        <v>23.491285000000001</v>
      </c>
      <c r="Z300">
        <v>23.96293</v>
      </c>
      <c r="AA300">
        <v>24.893999999999998</v>
      </c>
      <c r="AB300">
        <v>23.852180000000001</v>
      </c>
      <c r="AC300">
        <v>23.626532000000001</v>
      </c>
      <c r="AD300">
        <v>23.332650000000001</v>
      </c>
      <c r="AE300">
        <v>23.737223</v>
      </c>
      <c r="AF300">
        <v>23.63204</v>
      </c>
      <c r="AG300">
        <v>24.496016999999998</v>
      </c>
    </row>
    <row r="301" spans="1:33" x14ac:dyDescent="0.25">
      <c r="A301" s="1">
        <v>44352</v>
      </c>
      <c r="B301">
        <v>21.075731000000001</v>
      </c>
      <c r="C301">
        <v>21.097652</v>
      </c>
      <c r="D301">
        <v>20.250378000000001</v>
      </c>
      <c r="E301">
        <v>20.422879999999999</v>
      </c>
      <c r="F301">
        <v>20.365750999999999</v>
      </c>
      <c r="G301">
        <v>20.267202000000001</v>
      </c>
      <c r="H301">
        <v>19.433214</v>
      </c>
      <c r="I301">
        <v>19.815445</v>
      </c>
      <c r="J301">
        <v>24.095575</v>
      </c>
      <c r="K301">
        <v>22.621523</v>
      </c>
      <c r="L301">
        <v>23.425995</v>
      </c>
      <c r="M301">
        <v>20.613382000000001</v>
      </c>
      <c r="N301">
        <v>21.412226</v>
      </c>
      <c r="O301">
        <v>23.05799</v>
      </c>
      <c r="P301">
        <v>22.481894</v>
      </c>
      <c r="Q301">
        <v>20.757014999999999</v>
      </c>
      <c r="R301">
        <v>22.881004000000001</v>
      </c>
      <c r="S301">
        <v>20.324975999999999</v>
      </c>
      <c r="T301">
        <v>22.452870999999998</v>
      </c>
      <c r="U301">
        <v>24.360465999999999</v>
      </c>
      <c r="V301">
        <v>22.956057000000001</v>
      </c>
      <c r="W301">
        <v>24.492920000000002</v>
      </c>
      <c r="X301">
        <v>23.424253</v>
      </c>
      <c r="Y301">
        <v>23.359971999999999</v>
      </c>
      <c r="Z301">
        <v>24.107996</v>
      </c>
      <c r="AA301">
        <v>25.060922999999999</v>
      </c>
      <c r="AB301">
        <v>23.667829999999999</v>
      </c>
      <c r="AC301">
        <v>23.384588000000001</v>
      </c>
      <c r="AD301">
        <v>23.584913</v>
      </c>
      <c r="AE301">
        <v>22.843596999999999</v>
      </c>
      <c r="AF301">
        <v>23.839544</v>
      </c>
      <c r="AG301">
        <v>24.359634</v>
      </c>
    </row>
    <row r="302" spans="1:33" x14ac:dyDescent="0.25">
      <c r="A302" s="1">
        <v>44353</v>
      </c>
      <c r="B302">
        <v>21.105886000000002</v>
      </c>
      <c r="C302">
        <v>21.175847999999998</v>
      </c>
      <c r="D302">
        <v>20.392073</v>
      </c>
      <c r="E302">
        <v>20.519762</v>
      </c>
      <c r="F302">
        <v>20.405207000000001</v>
      </c>
      <c r="G302">
        <v>20.415452999999999</v>
      </c>
      <c r="H302">
        <v>19.325775</v>
      </c>
      <c r="I302">
        <v>19.789911</v>
      </c>
      <c r="J302">
        <v>23.935148000000002</v>
      </c>
      <c r="K302">
        <v>22.722214000000001</v>
      </c>
      <c r="L302">
        <v>23.456192000000001</v>
      </c>
      <c r="M302">
        <v>20.689236000000001</v>
      </c>
      <c r="N302">
        <v>21.420587999999999</v>
      </c>
      <c r="O302">
        <v>23.073889000000001</v>
      </c>
      <c r="P302">
        <v>22.645009999999999</v>
      </c>
      <c r="Q302">
        <v>20.821444</v>
      </c>
      <c r="R302">
        <v>22.924209999999999</v>
      </c>
      <c r="S302">
        <v>20.451682999999999</v>
      </c>
      <c r="T302">
        <v>22.435521999999999</v>
      </c>
      <c r="U302">
        <v>24.544777</v>
      </c>
      <c r="V302">
        <v>22.889718999999999</v>
      </c>
      <c r="W302">
        <v>24.617342000000001</v>
      </c>
      <c r="X302">
        <v>23.384482999999999</v>
      </c>
      <c r="Y302">
        <v>23.286439999999999</v>
      </c>
      <c r="Z302">
        <v>24.153305</v>
      </c>
      <c r="AA302">
        <v>25.119337000000002</v>
      </c>
      <c r="AB302">
        <v>23.696149999999999</v>
      </c>
      <c r="AC302">
        <v>23.141311999999999</v>
      </c>
      <c r="AD302">
        <v>23.679200999999999</v>
      </c>
      <c r="AE302">
        <v>22.769537</v>
      </c>
      <c r="AF302">
        <v>23.991651999999998</v>
      </c>
      <c r="AG302">
        <v>24.29072</v>
      </c>
    </row>
    <row r="303" spans="1:33" x14ac:dyDescent="0.25">
      <c r="A303" s="1">
        <v>44354</v>
      </c>
      <c r="B303">
        <v>20.142761</v>
      </c>
      <c r="C303">
        <v>20.627949999999998</v>
      </c>
      <c r="D303">
        <v>20.077627</v>
      </c>
      <c r="E303">
        <v>20.088211000000001</v>
      </c>
      <c r="F303">
        <v>19.746832000000001</v>
      </c>
      <c r="G303">
        <v>20.176355000000001</v>
      </c>
      <c r="H303">
        <v>18.894891999999999</v>
      </c>
      <c r="I303">
        <v>18.750845000000002</v>
      </c>
      <c r="J303">
        <v>22.591702999999999</v>
      </c>
      <c r="K303">
        <v>22.187279</v>
      </c>
      <c r="L303">
        <v>22.81381</v>
      </c>
      <c r="M303">
        <v>20.327809999999999</v>
      </c>
      <c r="N303">
        <v>20.907501</v>
      </c>
      <c r="O303">
        <v>22.398592000000001</v>
      </c>
      <c r="P303">
        <v>22.147950000000002</v>
      </c>
      <c r="Q303">
        <v>20.450707999999999</v>
      </c>
      <c r="R303">
        <v>22.332166999999998</v>
      </c>
      <c r="S303">
        <v>19.439160999999999</v>
      </c>
      <c r="T303">
        <v>21.746012</v>
      </c>
      <c r="U303">
        <v>24.037818999999999</v>
      </c>
      <c r="V303">
        <v>22.160927000000001</v>
      </c>
      <c r="W303">
        <v>24.127694999999999</v>
      </c>
      <c r="X303">
        <v>22.735206999999999</v>
      </c>
      <c r="Y303">
        <v>22.424012999999999</v>
      </c>
      <c r="Z303">
        <v>23.388254</v>
      </c>
      <c r="AA303">
        <v>24.495107999999998</v>
      </c>
      <c r="AB303">
        <v>22.86561</v>
      </c>
      <c r="AC303">
        <v>21.975249999999999</v>
      </c>
      <c r="AD303">
        <v>23.197977000000002</v>
      </c>
      <c r="AE303">
        <v>21.754287999999999</v>
      </c>
      <c r="AF303">
        <v>23.657433000000001</v>
      </c>
      <c r="AG303">
        <v>23.042809999999999</v>
      </c>
    </row>
    <row r="304" spans="1:33" x14ac:dyDescent="0.25">
      <c r="A304" s="1">
        <v>44355</v>
      </c>
      <c r="B304">
        <v>18.779039999999998</v>
      </c>
      <c r="C304">
        <v>19.861208000000001</v>
      </c>
      <c r="D304">
        <v>19.312318999999999</v>
      </c>
      <c r="E304">
        <v>19.132653999999999</v>
      </c>
      <c r="F304">
        <v>19.116347999999999</v>
      </c>
      <c r="G304">
        <v>19.626785000000002</v>
      </c>
      <c r="H304">
        <v>18.393038000000001</v>
      </c>
      <c r="I304">
        <v>17.528395</v>
      </c>
      <c r="J304">
        <v>20.630796</v>
      </c>
      <c r="K304">
        <v>21.343605</v>
      </c>
      <c r="L304">
        <v>21.870360999999999</v>
      </c>
      <c r="M304">
        <v>19.794060000000002</v>
      </c>
      <c r="N304">
        <v>20.248096</v>
      </c>
      <c r="O304">
        <v>21.649760000000001</v>
      </c>
      <c r="P304">
        <v>21.355768000000001</v>
      </c>
      <c r="Q304">
        <v>19.830964999999999</v>
      </c>
      <c r="R304">
        <v>21.647580999999999</v>
      </c>
      <c r="S304">
        <v>17.714642999999999</v>
      </c>
      <c r="T304">
        <v>20.743048000000002</v>
      </c>
      <c r="U304">
        <v>23.132995999999999</v>
      </c>
      <c r="V304">
        <v>21.452096999999998</v>
      </c>
      <c r="W304">
        <v>23.084536</v>
      </c>
      <c r="X304">
        <v>22.027640000000002</v>
      </c>
      <c r="Y304">
        <v>21.086079000000002</v>
      </c>
      <c r="Z304">
        <v>22.341025999999999</v>
      </c>
      <c r="AA304">
        <v>23.597266999999999</v>
      </c>
      <c r="AB304">
        <v>21.514327999999999</v>
      </c>
      <c r="AC304">
        <v>20.451706000000001</v>
      </c>
      <c r="AD304">
        <v>22.435697999999999</v>
      </c>
      <c r="AE304">
        <v>20.489832</v>
      </c>
      <c r="AF304">
        <v>23.145171999999999</v>
      </c>
      <c r="AG304">
        <v>21.861989999999999</v>
      </c>
    </row>
    <row r="305" spans="1:33" x14ac:dyDescent="0.25">
      <c r="A305" s="1">
        <v>44356</v>
      </c>
      <c r="B305">
        <v>18.076060999999999</v>
      </c>
      <c r="C305">
        <v>19.339544</v>
      </c>
      <c r="D305">
        <v>18.698366</v>
      </c>
      <c r="E305">
        <v>18.424047000000002</v>
      </c>
      <c r="F305">
        <v>18.819479000000001</v>
      </c>
      <c r="G305">
        <v>19.339604999999999</v>
      </c>
      <c r="H305">
        <v>18.075285000000001</v>
      </c>
      <c r="I305">
        <v>17.041371999999999</v>
      </c>
      <c r="J305">
        <v>19.631813000000001</v>
      </c>
      <c r="K305">
        <v>20.767332</v>
      </c>
      <c r="L305">
        <v>21.274607</v>
      </c>
      <c r="M305">
        <v>19.431826000000001</v>
      </c>
      <c r="N305">
        <v>19.850908</v>
      </c>
      <c r="O305">
        <v>21.162659999999999</v>
      </c>
      <c r="P305">
        <v>20.768585000000002</v>
      </c>
      <c r="Q305">
        <v>19.410833</v>
      </c>
      <c r="R305">
        <v>21.179817</v>
      </c>
      <c r="S305">
        <v>16.510148999999998</v>
      </c>
      <c r="T305">
        <v>20.14235</v>
      </c>
      <c r="U305">
        <v>22.141286999999998</v>
      </c>
      <c r="V305">
        <v>20.966455</v>
      </c>
      <c r="W305">
        <v>22.233625</v>
      </c>
      <c r="X305">
        <v>21.714690000000001</v>
      </c>
      <c r="Y305">
        <v>20.338736000000001</v>
      </c>
      <c r="Z305">
        <v>21.470839000000002</v>
      </c>
      <c r="AA305">
        <v>22.826315000000001</v>
      </c>
      <c r="AB305">
        <v>20.711511999999999</v>
      </c>
      <c r="AC305">
        <v>18.898973000000002</v>
      </c>
      <c r="AD305">
        <v>21.807912999999999</v>
      </c>
      <c r="AE305">
        <v>18.149256000000001</v>
      </c>
      <c r="AF305">
        <v>22.611588000000001</v>
      </c>
      <c r="AG305">
        <v>21.170855</v>
      </c>
    </row>
    <row r="306" spans="1:33" x14ac:dyDescent="0.25">
      <c r="A306" s="1">
        <v>44357</v>
      </c>
      <c r="B306">
        <v>17.733882999999999</v>
      </c>
      <c r="C306">
        <v>18.999914</v>
      </c>
      <c r="D306">
        <v>18.215499999999999</v>
      </c>
      <c r="E306">
        <v>17.947261999999998</v>
      </c>
      <c r="F306">
        <v>18.474554000000001</v>
      </c>
      <c r="G306">
        <v>18.98394</v>
      </c>
      <c r="H306">
        <v>17.767353</v>
      </c>
      <c r="I306">
        <v>16.979054999999999</v>
      </c>
      <c r="J306">
        <v>19.158987</v>
      </c>
      <c r="K306">
        <v>20.257622000000001</v>
      </c>
      <c r="L306">
        <v>20.817965999999998</v>
      </c>
      <c r="M306">
        <v>19.073727000000002</v>
      </c>
      <c r="N306">
        <v>19.467188</v>
      </c>
      <c r="O306">
        <v>20.799913</v>
      </c>
      <c r="P306">
        <v>20.275482</v>
      </c>
      <c r="Q306">
        <v>19.068369000000001</v>
      </c>
      <c r="R306">
        <v>20.791384000000001</v>
      </c>
      <c r="S306">
        <v>15.964985</v>
      </c>
      <c r="T306">
        <v>19.687329999999999</v>
      </c>
      <c r="U306">
        <v>21.561724000000002</v>
      </c>
      <c r="V306">
        <v>20.648675999999998</v>
      </c>
      <c r="W306">
        <v>21.439352</v>
      </c>
      <c r="X306">
        <v>21.396452</v>
      </c>
      <c r="Y306">
        <v>19.584515</v>
      </c>
      <c r="Z306">
        <v>20.942041</v>
      </c>
      <c r="AA306">
        <v>22.180679999999999</v>
      </c>
      <c r="AB306">
        <v>19.953108</v>
      </c>
      <c r="AC306">
        <v>17.400130000000001</v>
      </c>
      <c r="AD306">
        <v>21.322890000000001</v>
      </c>
      <c r="AE306">
        <v>17.476610000000001</v>
      </c>
      <c r="AF306">
        <v>22.083120000000001</v>
      </c>
      <c r="AG306">
        <v>20.74315</v>
      </c>
    </row>
    <row r="307" spans="1:33" x14ac:dyDescent="0.25">
      <c r="A307" s="1">
        <v>44358</v>
      </c>
      <c r="B307">
        <v>17.871420000000001</v>
      </c>
      <c r="C307">
        <v>18.99971</v>
      </c>
      <c r="D307">
        <v>18.043437999999998</v>
      </c>
      <c r="E307">
        <v>17.843653</v>
      </c>
      <c r="F307">
        <v>18.456113999999999</v>
      </c>
      <c r="G307">
        <v>18.776610000000002</v>
      </c>
      <c r="H307">
        <v>17.702970000000001</v>
      </c>
      <c r="I307">
        <v>17.368399</v>
      </c>
      <c r="J307">
        <v>19.205739999999999</v>
      </c>
      <c r="K307">
        <v>19.965792</v>
      </c>
      <c r="L307">
        <v>20.583912000000002</v>
      </c>
      <c r="M307">
        <v>18.869091000000001</v>
      </c>
      <c r="N307">
        <v>19.191051000000002</v>
      </c>
      <c r="O307">
        <v>20.591068</v>
      </c>
      <c r="P307">
        <v>19.957402999999999</v>
      </c>
      <c r="Q307">
        <v>18.853332999999999</v>
      </c>
      <c r="R307">
        <v>20.554998000000001</v>
      </c>
      <c r="S307">
        <v>16.229545999999999</v>
      </c>
      <c r="T307">
        <v>19.534898999999999</v>
      </c>
      <c r="U307">
        <v>21.414453999999999</v>
      </c>
      <c r="V307">
        <v>20.398555999999999</v>
      </c>
      <c r="W307">
        <v>21.015481999999999</v>
      </c>
      <c r="X307">
        <v>21.155386</v>
      </c>
      <c r="Y307">
        <v>19.54025</v>
      </c>
      <c r="Z307">
        <v>20.742574999999999</v>
      </c>
      <c r="AA307">
        <v>21.955286000000001</v>
      </c>
      <c r="AB307">
        <v>19.892616</v>
      </c>
      <c r="AC307">
        <v>16.744246</v>
      </c>
      <c r="AD307">
        <v>21.009924000000002</v>
      </c>
      <c r="AE307">
        <v>17.470092999999999</v>
      </c>
      <c r="AF307">
        <v>21.733727999999999</v>
      </c>
      <c r="AG307">
        <v>20.788005999999999</v>
      </c>
    </row>
    <row r="308" spans="1:33" x14ac:dyDescent="0.25">
      <c r="A308" s="1">
        <v>44359</v>
      </c>
      <c r="B308">
        <v>18.772349999999999</v>
      </c>
      <c r="C308">
        <v>19.529142</v>
      </c>
      <c r="D308">
        <v>18.349634000000002</v>
      </c>
      <c r="E308">
        <v>18.337820000000001</v>
      </c>
      <c r="F308">
        <v>19.052412</v>
      </c>
      <c r="G308">
        <v>18.943712000000001</v>
      </c>
      <c r="H308">
        <v>18.068905000000001</v>
      </c>
      <c r="I308">
        <v>18.736038000000001</v>
      </c>
      <c r="J308">
        <v>20.166436999999998</v>
      </c>
      <c r="K308">
        <v>20.1647</v>
      </c>
      <c r="L308">
        <v>20.870325000000001</v>
      </c>
      <c r="M308">
        <v>19.092794000000001</v>
      </c>
      <c r="N308">
        <v>19.401</v>
      </c>
      <c r="O308">
        <v>20.856923999999999</v>
      </c>
      <c r="P308">
        <v>20.08258</v>
      </c>
      <c r="Q308">
        <v>19.042529999999999</v>
      </c>
      <c r="R308">
        <v>20.75788</v>
      </c>
      <c r="S308">
        <v>17.469517</v>
      </c>
      <c r="T308">
        <v>19.938417000000001</v>
      </c>
      <c r="U308">
        <v>21.73903</v>
      </c>
      <c r="V308">
        <v>20.767019999999999</v>
      </c>
      <c r="W308">
        <v>21.140795000000001</v>
      </c>
      <c r="X308">
        <v>21.363669999999999</v>
      </c>
      <c r="Y308">
        <v>20.158897</v>
      </c>
      <c r="Z308">
        <v>21.036940000000001</v>
      </c>
      <c r="AA308">
        <v>22.214499</v>
      </c>
      <c r="AB308">
        <v>20.434688999999999</v>
      </c>
      <c r="AC308">
        <v>17.511247999999998</v>
      </c>
      <c r="AD308">
        <v>21.127703</v>
      </c>
      <c r="AE308">
        <v>18.499659000000001</v>
      </c>
      <c r="AF308">
        <v>21.636313999999999</v>
      </c>
      <c r="AG308">
        <v>21.553856</v>
      </c>
    </row>
    <row r="309" spans="1:33" x14ac:dyDescent="0.25">
      <c r="A309" s="1">
        <v>44360</v>
      </c>
      <c r="B309">
        <v>19.548117000000001</v>
      </c>
      <c r="C309">
        <v>20.109518000000001</v>
      </c>
      <c r="D309">
        <v>18.896685000000002</v>
      </c>
      <c r="E309">
        <v>19.063583000000001</v>
      </c>
      <c r="F309">
        <v>19.600742</v>
      </c>
      <c r="G309">
        <v>19.332091999999999</v>
      </c>
      <c r="H309">
        <v>18.560713</v>
      </c>
      <c r="I309">
        <v>19.976578</v>
      </c>
      <c r="J309">
        <v>21.285565999999999</v>
      </c>
      <c r="K309">
        <v>20.580797</v>
      </c>
      <c r="L309">
        <v>21.257227</v>
      </c>
      <c r="M309">
        <v>19.472988000000001</v>
      </c>
      <c r="N309">
        <v>19.772145999999999</v>
      </c>
      <c r="O309">
        <v>21.13373</v>
      </c>
      <c r="P309">
        <v>20.473117999999999</v>
      </c>
      <c r="Q309">
        <v>19.433634000000001</v>
      </c>
      <c r="R309">
        <v>21.021229999999999</v>
      </c>
      <c r="S309">
        <v>19.140740999999998</v>
      </c>
      <c r="T309">
        <v>20.493423</v>
      </c>
      <c r="U309">
        <v>22.190895000000001</v>
      </c>
      <c r="V309">
        <v>21.048176000000002</v>
      </c>
      <c r="W309">
        <v>21.437667999999999</v>
      </c>
      <c r="X309">
        <v>21.556045999999998</v>
      </c>
      <c r="Y309">
        <v>21.046986</v>
      </c>
      <c r="Z309">
        <v>21.582968000000001</v>
      </c>
      <c r="AA309">
        <v>22.782816</v>
      </c>
      <c r="AB309">
        <v>21.256577</v>
      </c>
      <c r="AC309">
        <v>18.917137</v>
      </c>
      <c r="AD309">
        <v>21.441680000000002</v>
      </c>
      <c r="AE309">
        <v>19.319448000000001</v>
      </c>
      <c r="AF309">
        <v>21.746946000000001</v>
      </c>
      <c r="AG309">
        <v>22.241983000000001</v>
      </c>
    </row>
    <row r="310" spans="1:33" x14ac:dyDescent="0.25">
      <c r="A310" s="1">
        <v>44361</v>
      </c>
      <c r="B310">
        <v>19.959482000000001</v>
      </c>
      <c r="C310">
        <v>20.543638000000001</v>
      </c>
      <c r="D310">
        <v>19.325333000000001</v>
      </c>
      <c r="E310">
        <v>19.579742</v>
      </c>
      <c r="F310">
        <v>19.894089999999998</v>
      </c>
      <c r="G310">
        <v>19.739585999999999</v>
      </c>
      <c r="H310">
        <v>19.001276000000001</v>
      </c>
      <c r="I310">
        <v>20.749791999999999</v>
      </c>
      <c r="J310">
        <v>21.679379999999998</v>
      </c>
      <c r="K310">
        <v>20.914680000000001</v>
      </c>
      <c r="L310">
        <v>21.545233</v>
      </c>
      <c r="M310">
        <v>19.832735</v>
      </c>
      <c r="N310">
        <v>20.192440000000001</v>
      </c>
      <c r="O310">
        <v>21.387642</v>
      </c>
      <c r="P310">
        <v>20.804829000000002</v>
      </c>
      <c r="Q310">
        <v>19.824251</v>
      </c>
      <c r="R310">
        <v>21.277718</v>
      </c>
      <c r="S310">
        <v>19.954408999999998</v>
      </c>
      <c r="T310">
        <v>20.952929999999999</v>
      </c>
      <c r="U310">
        <v>22.453878</v>
      </c>
      <c r="V310">
        <v>21.380112</v>
      </c>
      <c r="W310">
        <v>21.86497</v>
      </c>
      <c r="X310">
        <v>21.853601000000001</v>
      </c>
      <c r="Y310">
        <v>21.635565</v>
      </c>
      <c r="Z310">
        <v>22.02561</v>
      </c>
      <c r="AA310">
        <v>23.117249000000001</v>
      </c>
      <c r="AB310">
        <v>21.806419999999999</v>
      </c>
      <c r="AC310">
        <v>20.175013</v>
      </c>
      <c r="AD310">
        <v>21.744409999999998</v>
      </c>
      <c r="AE310">
        <v>19.603414999999998</v>
      </c>
      <c r="AF310">
        <v>21.664427</v>
      </c>
      <c r="AG310">
        <v>22.716562</v>
      </c>
    </row>
    <row r="311" spans="1:33" x14ac:dyDescent="0.25">
      <c r="A311" s="1">
        <v>44362</v>
      </c>
      <c r="B311">
        <v>19.644407000000001</v>
      </c>
      <c r="C311">
        <v>20.479094</v>
      </c>
      <c r="D311">
        <v>19.371931</v>
      </c>
      <c r="E311">
        <v>19.607690000000002</v>
      </c>
      <c r="F311">
        <v>19.6707</v>
      </c>
      <c r="G311">
        <v>19.826384000000001</v>
      </c>
      <c r="H311">
        <v>19.098217000000002</v>
      </c>
      <c r="I311">
        <v>20.318031000000001</v>
      </c>
      <c r="J311">
        <v>21.21734</v>
      </c>
      <c r="K311">
        <v>20.877502</v>
      </c>
      <c r="L311">
        <v>21.553049999999999</v>
      </c>
      <c r="M311">
        <v>19.870846</v>
      </c>
      <c r="N311">
        <v>20.206990999999999</v>
      </c>
      <c r="O311">
        <v>21.426382</v>
      </c>
      <c r="P311">
        <v>20.811689999999999</v>
      </c>
      <c r="Q311">
        <v>19.855840000000001</v>
      </c>
      <c r="R311">
        <v>21.322742000000002</v>
      </c>
      <c r="S311">
        <v>19.729279999999999</v>
      </c>
      <c r="T311">
        <v>21.083379999999998</v>
      </c>
      <c r="U311">
        <v>22.494703000000001</v>
      </c>
      <c r="V311">
        <v>21.38495</v>
      </c>
      <c r="W311">
        <v>22.401845999999999</v>
      </c>
      <c r="X311">
        <v>21.808036999999999</v>
      </c>
      <c r="Y311">
        <v>21.586798000000002</v>
      </c>
      <c r="Z311">
        <v>22.117424</v>
      </c>
      <c r="AA311">
        <v>23.069448000000001</v>
      </c>
      <c r="AB311">
        <v>21.788671000000001</v>
      </c>
      <c r="AC311">
        <v>20.203299000000001</v>
      </c>
      <c r="AD311">
        <v>21.831399999999999</v>
      </c>
      <c r="AE311">
        <v>19.074549999999999</v>
      </c>
      <c r="AF311">
        <v>21.440200000000001</v>
      </c>
      <c r="AG311">
        <v>22.659948</v>
      </c>
    </row>
    <row r="312" spans="1:33" x14ac:dyDescent="0.25">
      <c r="A312" s="1">
        <v>44363</v>
      </c>
      <c r="B312">
        <v>20.405011999999999</v>
      </c>
      <c r="C312">
        <v>20.902452</v>
      </c>
      <c r="D312">
        <v>19.833238999999999</v>
      </c>
      <c r="E312">
        <v>20.094197999999999</v>
      </c>
      <c r="F312">
        <v>20.206724000000001</v>
      </c>
      <c r="G312">
        <v>20.10661</v>
      </c>
      <c r="H312">
        <v>19.465532</v>
      </c>
      <c r="I312">
        <v>20.818239999999999</v>
      </c>
      <c r="J312">
        <v>21.732938999999998</v>
      </c>
      <c r="K312">
        <v>21.246915999999999</v>
      </c>
      <c r="L312">
        <v>21.933966000000002</v>
      </c>
      <c r="M312">
        <v>20.18188</v>
      </c>
      <c r="N312">
        <v>20.632088</v>
      </c>
      <c r="O312">
        <v>21.801867000000001</v>
      </c>
      <c r="P312">
        <v>21.117277000000001</v>
      </c>
      <c r="Q312">
        <v>20.181844999999999</v>
      </c>
      <c r="R312">
        <v>21.716125000000002</v>
      </c>
      <c r="S312">
        <v>20.228552000000001</v>
      </c>
      <c r="T312">
        <v>21.567184000000001</v>
      </c>
      <c r="U312">
        <v>22.868746000000002</v>
      </c>
      <c r="V312">
        <v>21.968508</v>
      </c>
      <c r="W312">
        <v>23.229448000000001</v>
      </c>
      <c r="X312">
        <v>22.316862</v>
      </c>
      <c r="Y312">
        <v>21.955538000000001</v>
      </c>
      <c r="Z312">
        <v>22.50366</v>
      </c>
      <c r="AA312">
        <v>23.281115</v>
      </c>
      <c r="AB312">
        <v>22.192114</v>
      </c>
      <c r="AC312">
        <v>20.689943</v>
      </c>
      <c r="AD312">
        <v>22.137505999999998</v>
      </c>
      <c r="AE312">
        <v>18.804511999999999</v>
      </c>
      <c r="AF312">
        <v>21.459130999999999</v>
      </c>
      <c r="AG312">
        <v>23.071511999999998</v>
      </c>
    </row>
    <row r="313" spans="1:33" x14ac:dyDescent="0.25">
      <c r="A313" s="1">
        <v>44364</v>
      </c>
      <c r="B313">
        <v>21.36309</v>
      </c>
      <c r="C313">
        <v>21.638517</v>
      </c>
      <c r="D313">
        <v>20.578220000000002</v>
      </c>
      <c r="E313">
        <v>20.908453000000002</v>
      </c>
      <c r="F313">
        <v>20.897860000000001</v>
      </c>
      <c r="G313">
        <v>20.562840999999999</v>
      </c>
      <c r="H313">
        <v>20.061126999999999</v>
      </c>
      <c r="I313">
        <v>21.820753</v>
      </c>
      <c r="J313">
        <v>22.70025</v>
      </c>
      <c r="K313">
        <v>21.810423</v>
      </c>
      <c r="L313">
        <v>22.484570999999999</v>
      </c>
      <c r="M313">
        <v>20.679161000000001</v>
      </c>
      <c r="N313">
        <v>21.19398</v>
      </c>
      <c r="O313">
        <v>22.366133000000001</v>
      </c>
      <c r="P313">
        <v>21.640953</v>
      </c>
      <c r="Q313">
        <v>20.697199000000001</v>
      </c>
      <c r="R313">
        <v>22.236788000000001</v>
      </c>
      <c r="S313">
        <v>21.377980999999998</v>
      </c>
      <c r="T313">
        <v>22.238401</v>
      </c>
      <c r="U313">
        <v>23.60887</v>
      </c>
      <c r="V313">
        <v>22.448799999999999</v>
      </c>
      <c r="W313">
        <v>23.705259999999999</v>
      </c>
      <c r="X313">
        <v>22.72664</v>
      </c>
      <c r="Y313">
        <v>22.777657000000001</v>
      </c>
      <c r="Z313">
        <v>23.206686000000001</v>
      </c>
      <c r="AA313">
        <v>23.815138000000001</v>
      </c>
      <c r="AB313">
        <v>22.929656999999999</v>
      </c>
      <c r="AC313">
        <v>22.161740999999999</v>
      </c>
      <c r="AD313">
        <v>22.613423999999998</v>
      </c>
      <c r="AE313">
        <v>18.840181000000001</v>
      </c>
      <c r="AF313">
        <v>21.902435000000001</v>
      </c>
      <c r="AG313">
        <v>23.734316</v>
      </c>
    </row>
    <row r="314" spans="1:33" x14ac:dyDescent="0.25">
      <c r="A314" s="1">
        <v>44365</v>
      </c>
      <c r="B314">
        <v>22.237015</v>
      </c>
      <c r="C314">
        <v>22.423484999999999</v>
      </c>
      <c r="D314">
        <v>21.370004999999999</v>
      </c>
      <c r="E314">
        <v>21.754975999999999</v>
      </c>
      <c r="F314">
        <v>21.443815000000001</v>
      </c>
      <c r="G314">
        <v>21.022562000000001</v>
      </c>
      <c r="H314">
        <v>20.642765000000001</v>
      </c>
      <c r="I314">
        <v>22.660188999999999</v>
      </c>
      <c r="J314">
        <v>23.717485</v>
      </c>
      <c r="K314">
        <v>22.427488</v>
      </c>
      <c r="L314">
        <v>23.104303000000002</v>
      </c>
      <c r="M314">
        <v>21.179511999999999</v>
      </c>
      <c r="N314">
        <v>21.771103</v>
      </c>
      <c r="O314">
        <v>22.937973</v>
      </c>
      <c r="P314">
        <v>22.234387999999999</v>
      </c>
      <c r="Q314">
        <v>21.206361999999999</v>
      </c>
      <c r="R314">
        <v>22.774201999999999</v>
      </c>
      <c r="S314">
        <v>22.799469999999999</v>
      </c>
      <c r="T314">
        <v>22.942433999999999</v>
      </c>
      <c r="U314">
        <v>24.192024</v>
      </c>
      <c r="V314">
        <v>23.108934000000001</v>
      </c>
      <c r="W314">
        <v>24.131080000000001</v>
      </c>
      <c r="X314">
        <v>23.457536999999999</v>
      </c>
      <c r="Y314">
        <v>23.639595</v>
      </c>
      <c r="Z314">
        <v>23.927009999999999</v>
      </c>
      <c r="AA314">
        <v>24.443131999999999</v>
      </c>
      <c r="AB314">
        <v>23.833711999999998</v>
      </c>
      <c r="AC314">
        <v>23.246949999999998</v>
      </c>
      <c r="AD314">
        <v>23.174990000000001</v>
      </c>
      <c r="AE314">
        <v>19.485636</v>
      </c>
      <c r="AF314">
        <v>22.500862000000001</v>
      </c>
      <c r="AG314">
        <v>24.46753</v>
      </c>
    </row>
    <row r="315" spans="1:33" x14ac:dyDescent="0.25">
      <c r="A315" s="1">
        <v>44366</v>
      </c>
      <c r="B315">
        <v>22.525248000000001</v>
      </c>
      <c r="C315">
        <v>22.67679</v>
      </c>
      <c r="D315">
        <v>21.811233999999999</v>
      </c>
      <c r="E315">
        <v>22.153127999999999</v>
      </c>
      <c r="F315">
        <v>21.452065000000001</v>
      </c>
      <c r="G315">
        <v>21.287175999999999</v>
      </c>
      <c r="H315">
        <v>20.807404999999999</v>
      </c>
      <c r="I315">
        <v>22.422073000000001</v>
      </c>
      <c r="J315">
        <v>24.244506999999999</v>
      </c>
      <c r="K315">
        <v>22.855955000000002</v>
      </c>
      <c r="L315">
        <v>23.560247</v>
      </c>
      <c r="M315">
        <v>21.449870000000001</v>
      </c>
      <c r="N315">
        <v>22.052720000000001</v>
      </c>
      <c r="O315">
        <v>23.313845000000001</v>
      </c>
      <c r="P315">
        <v>22.678446000000001</v>
      </c>
      <c r="Q315">
        <v>21.504898000000001</v>
      </c>
      <c r="R315">
        <v>23.154121</v>
      </c>
      <c r="S315">
        <v>22.919633999999999</v>
      </c>
      <c r="T315">
        <v>23.215170000000001</v>
      </c>
      <c r="U315">
        <v>24.522207000000002</v>
      </c>
      <c r="V315">
        <v>23.440055999999998</v>
      </c>
      <c r="W315">
        <v>24.486350999999999</v>
      </c>
      <c r="X315">
        <v>23.907053000000001</v>
      </c>
      <c r="Y315">
        <v>24.589320000000001</v>
      </c>
      <c r="Z315">
        <v>24.523289999999999</v>
      </c>
      <c r="AA315">
        <v>25.005478</v>
      </c>
      <c r="AB315">
        <v>24.766548</v>
      </c>
      <c r="AC315">
        <v>24.349741000000002</v>
      </c>
      <c r="AD315">
        <v>23.644335000000002</v>
      </c>
      <c r="AE315">
        <v>19.932462999999998</v>
      </c>
      <c r="AF315">
        <v>23.087213999999999</v>
      </c>
      <c r="AG315">
        <v>25.105059000000001</v>
      </c>
    </row>
    <row r="316" spans="1:33" x14ac:dyDescent="0.25">
      <c r="A316" s="1">
        <v>44367</v>
      </c>
      <c r="B316">
        <v>22.096487</v>
      </c>
      <c r="C316">
        <v>22.345057000000001</v>
      </c>
      <c r="D316">
        <v>21.621008</v>
      </c>
      <c r="E316">
        <v>21.789299</v>
      </c>
      <c r="F316">
        <v>21.174917000000001</v>
      </c>
      <c r="G316">
        <v>21.226254000000001</v>
      </c>
      <c r="H316">
        <v>20.664083000000002</v>
      </c>
      <c r="I316">
        <v>21.094125999999999</v>
      </c>
      <c r="J316">
        <v>23.771421</v>
      </c>
      <c r="K316">
        <v>22.909559999999999</v>
      </c>
      <c r="L316">
        <v>23.607939999999999</v>
      </c>
      <c r="M316">
        <v>21.437874000000001</v>
      </c>
      <c r="N316">
        <v>21.95928</v>
      </c>
      <c r="O316">
        <v>23.383284</v>
      </c>
      <c r="P316">
        <v>22.755976</v>
      </c>
      <c r="Q316">
        <v>21.506187000000001</v>
      </c>
      <c r="R316">
        <v>23.245697</v>
      </c>
      <c r="S316">
        <v>21.832664000000001</v>
      </c>
      <c r="T316">
        <v>23.044996000000001</v>
      </c>
      <c r="U316">
        <v>24.530868999999999</v>
      </c>
      <c r="V316">
        <v>23.418451000000001</v>
      </c>
      <c r="W316">
        <v>24.550543000000001</v>
      </c>
      <c r="X316">
        <v>23.914679</v>
      </c>
      <c r="Y316">
        <v>25.273209000000001</v>
      </c>
      <c r="Z316">
        <v>24.789926999999999</v>
      </c>
      <c r="AA316">
        <v>25.366593999999999</v>
      </c>
      <c r="AB316">
        <v>25.345420000000001</v>
      </c>
      <c r="AC316">
        <v>25.038214</v>
      </c>
      <c r="AD316">
        <v>23.859529999999999</v>
      </c>
      <c r="AE316">
        <v>20.246324999999999</v>
      </c>
      <c r="AF316">
        <v>23.559747999999999</v>
      </c>
      <c r="AG316">
        <v>25.540520000000001</v>
      </c>
    </row>
    <row r="317" spans="1:33" x14ac:dyDescent="0.25">
      <c r="A317" s="1">
        <v>44368</v>
      </c>
      <c r="B317">
        <v>21.439169</v>
      </c>
      <c r="C317">
        <v>21.909497999999999</v>
      </c>
      <c r="D317">
        <v>21.137466</v>
      </c>
      <c r="E317">
        <v>21.085401999999998</v>
      </c>
      <c r="F317">
        <v>20.965306999999999</v>
      </c>
      <c r="G317">
        <v>21.064865000000001</v>
      </c>
      <c r="H317">
        <v>20.423296000000001</v>
      </c>
      <c r="I317">
        <v>20.510245999999999</v>
      </c>
      <c r="J317">
        <v>23.084620000000001</v>
      </c>
      <c r="K317">
        <v>22.769594000000001</v>
      </c>
      <c r="L317">
        <v>23.385798000000001</v>
      </c>
      <c r="M317">
        <v>21.270723</v>
      </c>
      <c r="N317">
        <v>21.761960999999999</v>
      </c>
      <c r="O317">
        <v>23.183789999999998</v>
      </c>
      <c r="P317">
        <v>22.659075000000001</v>
      </c>
      <c r="Q317">
        <v>21.320826</v>
      </c>
      <c r="R317">
        <v>23.067575000000001</v>
      </c>
      <c r="S317">
        <v>20.848692</v>
      </c>
      <c r="T317">
        <v>22.612342999999999</v>
      </c>
      <c r="U317">
        <v>24.254034000000001</v>
      </c>
      <c r="V317">
        <v>23.027699999999999</v>
      </c>
      <c r="W317">
        <v>24.542245999999999</v>
      </c>
      <c r="X317">
        <v>23.440529999999999</v>
      </c>
      <c r="Y317">
        <v>25.651232</v>
      </c>
      <c r="Z317">
        <v>24.462143000000001</v>
      </c>
      <c r="AA317">
        <v>25.486066999999998</v>
      </c>
      <c r="AB317">
        <v>25.641777000000001</v>
      </c>
      <c r="AC317">
        <v>24.910784</v>
      </c>
      <c r="AD317">
        <v>23.726374</v>
      </c>
      <c r="AE317">
        <v>20.085428</v>
      </c>
      <c r="AF317">
        <v>24.002973999999998</v>
      </c>
      <c r="AG317">
        <v>25.653399</v>
      </c>
    </row>
    <row r="318" spans="1:33" x14ac:dyDescent="0.25">
      <c r="A318" s="1">
        <v>44369</v>
      </c>
      <c r="B318">
        <v>20.975515000000001</v>
      </c>
      <c r="C318">
        <v>21.694009999999999</v>
      </c>
      <c r="D318">
        <v>20.797267999999999</v>
      </c>
      <c r="E318">
        <v>20.556284000000002</v>
      </c>
      <c r="F318">
        <v>20.924662000000001</v>
      </c>
      <c r="G318">
        <v>21.014977999999999</v>
      </c>
      <c r="H318">
        <v>20.267063</v>
      </c>
      <c r="I318">
        <v>20.503440000000001</v>
      </c>
      <c r="J318">
        <v>22.684781999999998</v>
      </c>
      <c r="K318">
        <v>22.619204</v>
      </c>
      <c r="L318">
        <v>23.226790000000001</v>
      </c>
      <c r="M318">
        <v>21.169229999999999</v>
      </c>
      <c r="N318">
        <v>21.633099999999999</v>
      </c>
      <c r="O318">
        <v>23.131506000000002</v>
      </c>
      <c r="P318">
        <v>22.551293999999999</v>
      </c>
      <c r="Q318">
        <v>21.181826000000001</v>
      </c>
      <c r="R318">
        <v>22.990003999999999</v>
      </c>
      <c r="S318">
        <v>20.452766</v>
      </c>
      <c r="T318">
        <v>22.369308</v>
      </c>
      <c r="U318">
        <v>24.312296</v>
      </c>
      <c r="V318">
        <v>22.799606000000001</v>
      </c>
      <c r="W318">
        <v>24.367322999999999</v>
      </c>
      <c r="X318">
        <v>23.178049999999999</v>
      </c>
      <c r="Y318">
        <v>25.583351</v>
      </c>
      <c r="Z318">
        <v>24.178125000000001</v>
      </c>
      <c r="AA318">
        <v>25.404700999999999</v>
      </c>
      <c r="AB318">
        <v>25.599931999999999</v>
      </c>
      <c r="AC318">
        <v>24.289656000000001</v>
      </c>
      <c r="AD318">
        <v>23.614891</v>
      </c>
      <c r="AE318">
        <v>19.549536</v>
      </c>
      <c r="AF318">
        <v>24.384695000000001</v>
      </c>
      <c r="AG318">
        <v>25.490946000000001</v>
      </c>
    </row>
    <row r="319" spans="1:33" x14ac:dyDescent="0.25">
      <c r="A319" s="1">
        <v>44370</v>
      </c>
      <c r="B319">
        <v>20.504019</v>
      </c>
      <c r="C319">
        <v>21.560081</v>
      </c>
      <c r="D319">
        <v>20.473393999999999</v>
      </c>
      <c r="E319">
        <v>20.137944999999998</v>
      </c>
      <c r="F319">
        <v>20.835455</v>
      </c>
      <c r="G319">
        <v>20.936228</v>
      </c>
      <c r="H319">
        <v>20.144129</v>
      </c>
      <c r="I319">
        <v>20.468793999999999</v>
      </c>
      <c r="J319">
        <v>22.454129999999999</v>
      </c>
      <c r="K319">
        <v>22.614816999999999</v>
      </c>
      <c r="L319">
        <v>23.016204999999999</v>
      </c>
      <c r="M319">
        <v>21.078769999999999</v>
      </c>
      <c r="N319">
        <v>21.470167</v>
      </c>
      <c r="O319">
        <v>22.993952</v>
      </c>
      <c r="P319">
        <v>22.419090000000001</v>
      </c>
      <c r="Q319">
        <v>21.054148000000001</v>
      </c>
      <c r="R319">
        <v>22.833787999999998</v>
      </c>
      <c r="S319">
        <v>20.215987999999999</v>
      </c>
      <c r="T319">
        <v>22.109444</v>
      </c>
      <c r="U319">
        <v>24.249496000000001</v>
      </c>
      <c r="V319">
        <v>22.585716000000001</v>
      </c>
      <c r="W319">
        <v>24.072614999999999</v>
      </c>
      <c r="X319">
        <v>22.990197999999999</v>
      </c>
      <c r="Y319">
        <v>25.450907000000001</v>
      </c>
      <c r="Z319">
        <v>24.080901999999998</v>
      </c>
      <c r="AA319">
        <v>25.29673</v>
      </c>
      <c r="AB319">
        <v>25.481542999999999</v>
      </c>
      <c r="AC319">
        <v>23.781472999999998</v>
      </c>
      <c r="AD319">
        <v>23.451494</v>
      </c>
      <c r="AE319">
        <v>19.327862</v>
      </c>
      <c r="AF319">
        <v>24.649729000000001</v>
      </c>
      <c r="AG319">
        <v>25.285005999999999</v>
      </c>
    </row>
    <row r="320" spans="1:33" x14ac:dyDescent="0.25">
      <c r="A320" s="1">
        <v>44371</v>
      </c>
      <c r="B320">
        <v>20.218309999999999</v>
      </c>
      <c r="C320">
        <v>21.432774999999999</v>
      </c>
      <c r="D320">
        <v>20.244157999999999</v>
      </c>
      <c r="E320">
        <v>19.97711</v>
      </c>
      <c r="F320">
        <v>20.767672999999998</v>
      </c>
      <c r="G320">
        <v>20.893633000000001</v>
      </c>
      <c r="H320">
        <v>20.117397</v>
      </c>
      <c r="I320">
        <v>20.306125999999999</v>
      </c>
      <c r="J320">
        <v>22.412787999999999</v>
      </c>
      <c r="K320">
        <v>22.577576000000001</v>
      </c>
      <c r="L320">
        <v>22.863419</v>
      </c>
      <c r="M320">
        <v>21.012692999999999</v>
      </c>
      <c r="N320">
        <v>21.310986</v>
      </c>
      <c r="O320">
        <v>22.804480000000002</v>
      </c>
      <c r="P320">
        <v>22.295113000000001</v>
      </c>
      <c r="Q320">
        <v>20.980084999999999</v>
      </c>
      <c r="R320">
        <v>22.667704000000001</v>
      </c>
      <c r="S320">
        <v>20.072168000000001</v>
      </c>
      <c r="T320">
        <v>21.882147</v>
      </c>
      <c r="U320">
        <v>23.907561999999999</v>
      </c>
      <c r="V320">
        <v>22.398802</v>
      </c>
      <c r="W320">
        <v>23.788741999999999</v>
      </c>
      <c r="X320">
        <v>22.831811999999999</v>
      </c>
      <c r="Y320">
        <v>25.079820000000002</v>
      </c>
      <c r="Z320">
        <v>23.987725999999999</v>
      </c>
      <c r="AA320">
        <v>25.340736</v>
      </c>
      <c r="AB320">
        <v>25.178343000000002</v>
      </c>
      <c r="AC320">
        <v>23.372526000000001</v>
      </c>
      <c r="AD320">
        <v>23.319579999999998</v>
      </c>
      <c r="AE320">
        <v>19.332747000000001</v>
      </c>
      <c r="AF320">
        <v>24.923079000000001</v>
      </c>
      <c r="AG320">
        <v>25.10942</v>
      </c>
    </row>
    <row r="321" spans="1:33" x14ac:dyDescent="0.25">
      <c r="A321" s="1">
        <v>44372</v>
      </c>
      <c r="B321">
        <v>20.064346</v>
      </c>
      <c r="C321">
        <v>21.306733999999999</v>
      </c>
      <c r="D321">
        <v>20.000540000000001</v>
      </c>
      <c r="E321">
        <v>19.820978</v>
      </c>
      <c r="F321">
        <v>20.669474000000001</v>
      </c>
      <c r="G321">
        <v>20.809044</v>
      </c>
      <c r="H321">
        <v>20.080824</v>
      </c>
      <c r="I321">
        <v>20.062971000000001</v>
      </c>
      <c r="J321">
        <v>22.454841999999999</v>
      </c>
      <c r="K321">
        <v>22.531327999999998</v>
      </c>
      <c r="L321">
        <v>22.770578</v>
      </c>
      <c r="M321">
        <v>20.912307999999999</v>
      </c>
      <c r="N321">
        <v>21.138784000000001</v>
      </c>
      <c r="O321">
        <v>22.681898</v>
      </c>
      <c r="P321">
        <v>22.161804</v>
      </c>
      <c r="Q321">
        <v>20.883375000000001</v>
      </c>
      <c r="R321">
        <v>22.567131</v>
      </c>
      <c r="S321">
        <v>19.790037000000002</v>
      </c>
      <c r="T321">
        <v>21.642890000000001</v>
      </c>
      <c r="U321">
        <v>23.625703999999999</v>
      </c>
      <c r="V321">
        <v>22.160056999999998</v>
      </c>
      <c r="W321">
        <v>23.688580999999999</v>
      </c>
      <c r="X321">
        <v>22.571183999999999</v>
      </c>
      <c r="Y321">
        <v>24.765336999999999</v>
      </c>
      <c r="Z321">
        <v>23.83475</v>
      </c>
      <c r="AA321">
        <v>25.418824999999998</v>
      </c>
      <c r="AB321">
        <v>24.908494999999998</v>
      </c>
      <c r="AC321">
        <v>23.029686000000002</v>
      </c>
      <c r="AD321">
        <v>23.193787</v>
      </c>
      <c r="AE321">
        <v>19.348514999999999</v>
      </c>
      <c r="AF321">
        <v>25.170874000000001</v>
      </c>
      <c r="AG321">
        <v>25.11084</v>
      </c>
    </row>
    <row r="322" spans="1:33" x14ac:dyDescent="0.25">
      <c r="A322" s="1">
        <v>44373</v>
      </c>
      <c r="B322">
        <v>20.325968</v>
      </c>
      <c r="C322">
        <v>21.460290000000001</v>
      </c>
      <c r="D322">
        <v>20.034649000000002</v>
      </c>
      <c r="E322">
        <v>20.010069000000001</v>
      </c>
      <c r="F322">
        <v>20.885549999999999</v>
      </c>
      <c r="G322">
        <v>20.907803000000001</v>
      </c>
      <c r="H322">
        <v>20.236554999999999</v>
      </c>
      <c r="I322">
        <v>20.393014999999998</v>
      </c>
      <c r="J322">
        <v>23.038744000000001</v>
      </c>
      <c r="K322">
        <v>22.677223000000001</v>
      </c>
      <c r="L322">
        <v>23.019006999999998</v>
      </c>
      <c r="M322">
        <v>21.05143</v>
      </c>
      <c r="N322">
        <v>21.26493</v>
      </c>
      <c r="O322">
        <v>22.895796000000001</v>
      </c>
      <c r="P322">
        <v>22.283745</v>
      </c>
      <c r="Q322">
        <v>20.998747000000002</v>
      </c>
      <c r="R322">
        <v>22.754293000000001</v>
      </c>
      <c r="S322">
        <v>20.256678000000001</v>
      </c>
      <c r="T322">
        <v>21.786836999999998</v>
      </c>
      <c r="U322">
        <v>23.821570000000001</v>
      </c>
      <c r="V322">
        <v>22.323242</v>
      </c>
      <c r="W322">
        <v>23.952684000000001</v>
      </c>
      <c r="X322">
        <v>22.731397999999999</v>
      </c>
      <c r="Y322">
        <v>24.720794999999999</v>
      </c>
      <c r="Z322">
        <v>24.011710000000001</v>
      </c>
      <c r="AA322">
        <v>25.724039999999999</v>
      </c>
      <c r="AB322">
        <v>24.928238</v>
      </c>
      <c r="AC322">
        <v>22.847971000000001</v>
      </c>
      <c r="AD322">
        <v>23.378820000000001</v>
      </c>
      <c r="AE322">
        <v>19.822963999999999</v>
      </c>
      <c r="AF322">
        <v>25.462340000000001</v>
      </c>
      <c r="AG322">
        <v>25.464670000000002</v>
      </c>
    </row>
    <row r="323" spans="1:33" x14ac:dyDescent="0.25">
      <c r="A323" s="1">
        <v>44374</v>
      </c>
      <c r="B323">
        <v>20.520624000000002</v>
      </c>
      <c r="C323">
        <v>21.649274999999999</v>
      </c>
      <c r="D323">
        <v>20.150862</v>
      </c>
      <c r="E323">
        <v>20.260714</v>
      </c>
      <c r="F323">
        <v>21.054924</v>
      </c>
      <c r="G323">
        <v>21.103442999999999</v>
      </c>
      <c r="H323">
        <v>20.357489000000001</v>
      </c>
      <c r="I323">
        <v>20.650753000000002</v>
      </c>
      <c r="J323">
        <v>23.733350000000002</v>
      </c>
      <c r="K323">
        <v>22.911303</v>
      </c>
      <c r="L323">
        <v>23.458061000000001</v>
      </c>
      <c r="M323">
        <v>21.246442999999999</v>
      </c>
      <c r="N323">
        <v>21.433129999999998</v>
      </c>
      <c r="O323">
        <v>23.245539000000001</v>
      </c>
      <c r="P323">
        <v>22.524405999999999</v>
      </c>
      <c r="Q323">
        <v>21.208666000000001</v>
      </c>
      <c r="R323">
        <v>23.055600999999999</v>
      </c>
      <c r="S323">
        <v>20.805834000000001</v>
      </c>
      <c r="T323">
        <v>22.014147000000001</v>
      </c>
      <c r="U323">
        <v>24.119768000000001</v>
      </c>
      <c r="V323">
        <v>22.501314000000001</v>
      </c>
      <c r="W323">
        <v>24.243423</v>
      </c>
      <c r="X323">
        <v>22.937704</v>
      </c>
      <c r="Y323">
        <v>24.708746000000001</v>
      </c>
      <c r="Z323">
        <v>24.371877999999999</v>
      </c>
      <c r="AA323">
        <v>26.109639999999999</v>
      </c>
      <c r="AB323">
        <v>24.967469999999999</v>
      </c>
      <c r="AC323">
        <v>22.980143000000002</v>
      </c>
      <c r="AD323">
        <v>23.716605999999999</v>
      </c>
      <c r="AE323">
        <v>20.079488999999999</v>
      </c>
      <c r="AF323">
        <v>25.687184999999999</v>
      </c>
      <c r="AG323">
        <v>25.528452000000001</v>
      </c>
    </row>
    <row r="324" spans="1:33" x14ac:dyDescent="0.25">
      <c r="A324" s="1">
        <v>44375</v>
      </c>
      <c r="B324">
        <v>20.784914000000001</v>
      </c>
      <c r="C324">
        <v>21.710339999999999</v>
      </c>
      <c r="D324">
        <v>20.276114</v>
      </c>
      <c r="E324">
        <v>20.508900000000001</v>
      </c>
      <c r="F324">
        <v>21.125644999999999</v>
      </c>
      <c r="G324">
        <v>21.231587999999999</v>
      </c>
      <c r="H324">
        <v>20.503181000000001</v>
      </c>
      <c r="I324">
        <v>20.838076000000001</v>
      </c>
      <c r="J324">
        <v>23.800713999999999</v>
      </c>
      <c r="K324">
        <v>22.977331</v>
      </c>
      <c r="L324">
        <v>23.550675999999999</v>
      </c>
      <c r="M324">
        <v>21.359438000000001</v>
      </c>
      <c r="N324">
        <v>21.535081999999999</v>
      </c>
      <c r="O324">
        <v>23.287638000000001</v>
      </c>
      <c r="P324">
        <v>22.610520000000001</v>
      </c>
      <c r="Q324">
        <v>21.31926</v>
      </c>
      <c r="R324">
        <v>23.160957</v>
      </c>
      <c r="S324">
        <v>21.038209999999999</v>
      </c>
      <c r="T324">
        <v>22.205912000000001</v>
      </c>
      <c r="U324">
        <v>24.201803000000002</v>
      </c>
      <c r="V324">
        <v>22.572157000000001</v>
      </c>
      <c r="W324">
        <v>24.396726999999998</v>
      </c>
      <c r="X324">
        <v>23.000494</v>
      </c>
      <c r="Y324">
        <v>24.391349999999999</v>
      </c>
      <c r="Z324">
        <v>24.413029999999999</v>
      </c>
      <c r="AA324">
        <v>26.347473000000001</v>
      </c>
      <c r="AB324">
        <v>24.714561</v>
      </c>
      <c r="AC324">
        <v>23.009879999999999</v>
      </c>
      <c r="AD324">
        <v>23.891670000000001</v>
      </c>
      <c r="AE324">
        <v>20.16168</v>
      </c>
      <c r="AF324">
        <v>25.736750000000001</v>
      </c>
      <c r="AG324">
        <v>25.35201</v>
      </c>
    </row>
    <row r="325" spans="1:33" x14ac:dyDescent="0.25">
      <c r="A325" s="1">
        <v>44376</v>
      </c>
      <c r="B325">
        <v>21.116008999999998</v>
      </c>
      <c r="C325">
        <v>21.918745000000001</v>
      </c>
      <c r="D325">
        <v>20.496327999999998</v>
      </c>
      <c r="E325">
        <v>20.815373999999998</v>
      </c>
      <c r="F325">
        <v>21.323461999999999</v>
      </c>
      <c r="G325">
        <v>21.418386000000002</v>
      </c>
      <c r="H325">
        <v>20.684988000000001</v>
      </c>
      <c r="I325">
        <v>21.08935</v>
      </c>
      <c r="J325">
        <v>24.105422999999998</v>
      </c>
      <c r="K325">
        <v>23.126069999999999</v>
      </c>
      <c r="L325">
        <v>23.841390000000001</v>
      </c>
      <c r="M325">
        <v>21.548475</v>
      </c>
      <c r="N325">
        <v>21.734000999999999</v>
      </c>
      <c r="O325">
        <v>23.610786000000001</v>
      </c>
      <c r="P325">
        <v>22.763459999999998</v>
      </c>
      <c r="Q325">
        <v>21.513197000000002</v>
      </c>
      <c r="R325">
        <v>23.455378</v>
      </c>
      <c r="S325">
        <v>21.244062</v>
      </c>
      <c r="T325">
        <v>22.486618</v>
      </c>
      <c r="U325">
        <v>24.660982000000001</v>
      </c>
      <c r="V325">
        <v>22.943902999999999</v>
      </c>
      <c r="W325">
        <v>24.745477999999999</v>
      </c>
      <c r="X325">
        <v>23.413841000000001</v>
      </c>
      <c r="Y325">
        <v>24.116</v>
      </c>
      <c r="Z325">
        <v>24.531310999999999</v>
      </c>
      <c r="AA325">
        <v>26.511507000000002</v>
      </c>
      <c r="AB325">
        <v>24.488351999999999</v>
      </c>
      <c r="AC325">
        <v>23.322184</v>
      </c>
      <c r="AD325">
        <v>24.164535999999998</v>
      </c>
      <c r="AE325">
        <v>19.976206000000001</v>
      </c>
      <c r="AF325">
        <v>25.699508999999999</v>
      </c>
      <c r="AG325">
        <v>25.389727000000001</v>
      </c>
    </row>
    <row r="326" spans="1:33" x14ac:dyDescent="0.25">
      <c r="A326" s="1">
        <v>44377</v>
      </c>
      <c r="B326">
        <v>21.530252000000001</v>
      </c>
      <c r="C326">
        <v>22.195460000000001</v>
      </c>
      <c r="D326">
        <v>20.823727000000002</v>
      </c>
      <c r="E326">
        <v>21.152842</v>
      </c>
      <c r="F326">
        <v>21.621544</v>
      </c>
      <c r="G326">
        <v>21.699507000000001</v>
      </c>
      <c r="H326">
        <v>20.935086999999999</v>
      </c>
      <c r="I326">
        <v>21.406275000000001</v>
      </c>
      <c r="J326">
        <v>24.715567</v>
      </c>
      <c r="K326">
        <v>23.436050000000002</v>
      </c>
      <c r="L326">
        <v>24.310500000000001</v>
      </c>
      <c r="M326">
        <v>21.816683000000001</v>
      </c>
      <c r="N326">
        <v>22.135985999999999</v>
      </c>
      <c r="O326">
        <v>24.002731000000001</v>
      </c>
      <c r="P326">
        <v>23.103807</v>
      </c>
      <c r="Q326">
        <v>21.83886</v>
      </c>
      <c r="R326">
        <v>23.860817000000001</v>
      </c>
      <c r="S326">
        <v>21.711884000000001</v>
      </c>
      <c r="T326">
        <v>22.936152</v>
      </c>
      <c r="U326">
        <v>25.018823999999999</v>
      </c>
      <c r="V326">
        <v>23.667891999999998</v>
      </c>
      <c r="W326">
        <v>24.804037000000001</v>
      </c>
      <c r="X326">
        <v>24.305886999999998</v>
      </c>
      <c r="Y326">
        <v>24.262848000000002</v>
      </c>
      <c r="Z326">
        <v>24.958517000000001</v>
      </c>
      <c r="AA326">
        <v>26.853998000000001</v>
      </c>
      <c r="AB326">
        <v>24.646334</v>
      </c>
      <c r="AC326">
        <v>23.973236</v>
      </c>
      <c r="AD326">
        <v>24.547546000000001</v>
      </c>
      <c r="AE326">
        <v>19.793721999999999</v>
      </c>
      <c r="AF326">
        <v>25.694288</v>
      </c>
      <c r="AG326">
        <v>25.587004</v>
      </c>
    </row>
    <row r="327" spans="1:33" x14ac:dyDescent="0.25">
      <c r="A327" s="1">
        <v>44378</v>
      </c>
      <c r="B327">
        <v>21.601412</v>
      </c>
      <c r="C327">
        <v>22.246103000000002</v>
      </c>
      <c r="D327">
        <v>20.993834</v>
      </c>
      <c r="E327">
        <v>21.270534999999999</v>
      </c>
      <c r="F327">
        <v>21.600646999999999</v>
      </c>
      <c r="G327">
        <v>21.77826</v>
      </c>
      <c r="H327">
        <v>21.012411</v>
      </c>
      <c r="I327">
        <v>21.194856999999999</v>
      </c>
      <c r="J327">
        <v>24.854932999999999</v>
      </c>
      <c r="K327">
        <v>23.662749999999999</v>
      </c>
      <c r="L327">
        <v>24.581720000000001</v>
      </c>
      <c r="M327">
        <v>21.933416000000001</v>
      </c>
      <c r="N327">
        <v>22.353203000000001</v>
      </c>
      <c r="O327">
        <v>24.245836000000001</v>
      </c>
      <c r="P327">
        <v>23.297350000000002</v>
      </c>
      <c r="Q327">
        <v>22.010206</v>
      </c>
      <c r="R327">
        <v>24.109064</v>
      </c>
      <c r="S327">
        <v>21.266355999999998</v>
      </c>
      <c r="T327">
        <v>23.164840000000002</v>
      </c>
      <c r="U327">
        <v>25.039686</v>
      </c>
      <c r="V327">
        <v>23.998519999999999</v>
      </c>
      <c r="W327">
        <v>24.648657</v>
      </c>
      <c r="X327">
        <v>24.441116000000001</v>
      </c>
      <c r="Y327">
        <v>24.349133999999999</v>
      </c>
      <c r="Z327">
        <v>25.197664</v>
      </c>
      <c r="AA327">
        <v>27.102302999999999</v>
      </c>
      <c r="AB327">
        <v>24.837738000000002</v>
      </c>
      <c r="AC327">
        <v>24.561920000000001</v>
      </c>
      <c r="AD327">
        <v>24.829789999999999</v>
      </c>
      <c r="AE327">
        <v>19.616108000000001</v>
      </c>
      <c r="AF327">
        <v>25.662210000000002</v>
      </c>
      <c r="AG327">
        <v>25.783476</v>
      </c>
    </row>
    <row r="328" spans="1:33" x14ac:dyDescent="0.25">
      <c r="A328" s="1">
        <v>44379</v>
      </c>
      <c r="B328">
        <v>21.833015</v>
      </c>
      <c r="C328">
        <v>22.312712000000001</v>
      </c>
      <c r="D328">
        <v>21.123937999999999</v>
      </c>
      <c r="E328">
        <v>21.40558</v>
      </c>
      <c r="F328">
        <v>21.727432</v>
      </c>
      <c r="G328">
        <v>21.802813</v>
      </c>
      <c r="H328">
        <v>21.059103</v>
      </c>
      <c r="I328">
        <v>21.074400000000001</v>
      </c>
      <c r="J328">
        <v>24.733025000000001</v>
      </c>
      <c r="K328">
        <v>23.808298000000001</v>
      </c>
      <c r="L328">
        <v>24.705045999999999</v>
      </c>
      <c r="M328">
        <v>22.023430000000001</v>
      </c>
      <c r="N328">
        <v>22.513437</v>
      </c>
      <c r="O328">
        <v>24.397756999999999</v>
      </c>
      <c r="P328">
        <v>23.457312000000002</v>
      </c>
      <c r="Q328">
        <v>22.102264000000002</v>
      </c>
      <c r="R328">
        <v>24.258568</v>
      </c>
      <c r="S328">
        <v>21.121770000000001</v>
      </c>
      <c r="T328">
        <v>23.325369999999999</v>
      </c>
      <c r="U328">
        <v>24.779083</v>
      </c>
      <c r="V328">
        <v>24.191704000000001</v>
      </c>
      <c r="W328">
        <v>24.668510000000001</v>
      </c>
      <c r="X328">
        <v>24.482796</v>
      </c>
      <c r="Y328">
        <v>24.693429999999999</v>
      </c>
      <c r="Z328">
        <v>25.261986</v>
      </c>
      <c r="AA328">
        <v>27.203707000000001</v>
      </c>
      <c r="AB328">
        <v>25.210782999999999</v>
      </c>
      <c r="AC328">
        <v>24.733643000000001</v>
      </c>
      <c r="AD328">
        <v>24.996397000000002</v>
      </c>
      <c r="AE328">
        <v>19.791746</v>
      </c>
      <c r="AF328">
        <v>25.684736000000001</v>
      </c>
      <c r="AG328">
        <v>26.234529999999999</v>
      </c>
    </row>
    <row r="329" spans="1:33" x14ac:dyDescent="0.25">
      <c r="A329" s="1">
        <v>44380</v>
      </c>
      <c r="B329">
        <v>21.734161</v>
      </c>
      <c r="C329">
        <v>22.195081999999999</v>
      </c>
      <c r="D329">
        <v>21.130393999999999</v>
      </c>
      <c r="E329">
        <v>21.370702999999999</v>
      </c>
      <c r="F329">
        <v>21.658860000000001</v>
      </c>
      <c r="G329">
        <v>21.715140000000002</v>
      </c>
      <c r="H329">
        <v>20.962586999999999</v>
      </c>
      <c r="I329">
        <v>20.634406999999999</v>
      </c>
      <c r="J329">
        <v>24.292546999999999</v>
      </c>
      <c r="K329">
        <v>23.789490000000001</v>
      </c>
      <c r="L329">
        <v>24.535318</v>
      </c>
      <c r="M329">
        <v>21.958394999999999</v>
      </c>
      <c r="N329">
        <v>22.383763999999999</v>
      </c>
      <c r="O329">
        <v>24.30311</v>
      </c>
      <c r="P329">
        <v>23.436022000000001</v>
      </c>
      <c r="Q329">
        <v>22.043320000000001</v>
      </c>
      <c r="R329">
        <v>24.162085000000001</v>
      </c>
      <c r="S329">
        <v>20.863337000000001</v>
      </c>
      <c r="T329">
        <v>23.153846999999999</v>
      </c>
      <c r="U329">
        <v>24.504163999999999</v>
      </c>
      <c r="V329">
        <v>23.722518999999998</v>
      </c>
      <c r="W329">
        <v>24.551545999999998</v>
      </c>
      <c r="X329">
        <v>24.155570999999998</v>
      </c>
      <c r="Y329">
        <v>25.010244</v>
      </c>
      <c r="Z329">
        <v>25.105153999999999</v>
      </c>
      <c r="AA329">
        <v>27.215052</v>
      </c>
      <c r="AB329">
        <v>25.768239999999999</v>
      </c>
      <c r="AC329">
        <v>24.851251999999999</v>
      </c>
      <c r="AD329">
        <v>24.941538000000001</v>
      </c>
      <c r="AE329">
        <v>19.679247</v>
      </c>
      <c r="AF329">
        <v>25.759530000000002</v>
      </c>
      <c r="AG329">
        <v>26.655190000000001</v>
      </c>
    </row>
    <row r="330" spans="1:33" x14ac:dyDescent="0.25">
      <c r="A330" s="1">
        <v>44381</v>
      </c>
      <c r="B330">
        <v>21.601662000000001</v>
      </c>
      <c r="C330">
        <v>22.017182999999999</v>
      </c>
      <c r="D330">
        <v>21.090890000000002</v>
      </c>
      <c r="E330">
        <v>21.289717</v>
      </c>
      <c r="F330">
        <v>21.534614999999999</v>
      </c>
      <c r="G330">
        <v>21.594103</v>
      </c>
      <c r="H330">
        <v>20.782109999999999</v>
      </c>
      <c r="I330">
        <v>20.250693999999999</v>
      </c>
      <c r="J330">
        <v>23.770766999999999</v>
      </c>
      <c r="K330">
        <v>23.674294</v>
      </c>
      <c r="L330">
        <v>24.265722</v>
      </c>
      <c r="M330">
        <v>21.862031999999999</v>
      </c>
      <c r="N330">
        <v>22.169896999999999</v>
      </c>
      <c r="O330">
        <v>24.083738</v>
      </c>
      <c r="P330">
        <v>23.302744000000001</v>
      </c>
      <c r="Q330">
        <v>21.900857999999999</v>
      </c>
      <c r="R330">
        <v>23.925146000000002</v>
      </c>
      <c r="S330">
        <v>20.6356</v>
      </c>
      <c r="T330">
        <v>22.836416</v>
      </c>
      <c r="U330">
        <v>24.353629999999999</v>
      </c>
      <c r="V330">
        <v>23.375976999999999</v>
      </c>
      <c r="W330">
        <v>24.387053999999999</v>
      </c>
      <c r="X330">
        <v>23.866156</v>
      </c>
      <c r="Y330">
        <v>25.410720000000001</v>
      </c>
      <c r="Z330">
        <v>24.8826</v>
      </c>
      <c r="AA330">
        <v>27.147307999999999</v>
      </c>
      <c r="AB330">
        <v>25.982506000000001</v>
      </c>
      <c r="AC330">
        <v>25.167777999999998</v>
      </c>
      <c r="AD330">
        <v>24.737953000000001</v>
      </c>
      <c r="AE330">
        <v>19.754664999999999</v>
      </c>
      <c r="AF330">
        <v>25.841612000000001</v>
      </c>
      <c r="AG330">
        <v>26.959655999999999</v>
      </c>
    </row>
    <row r="331" spans="1:33" x14ac:dyDescent="0.25">
      <c r="A331" s="1">
        <v>44382</v>
      </c>
      <c r="B331">
        <v>21.501028000000002</v>
      </c>
      <c r="C331">
        <v>21.862314000000001</v>
      </c>
      <c r="D331">
        <v>20.994817999999999</v>
      </c>
      <c r="E331">
        <v>21.151865000000001</v>
      </c>
      <c r="F331">
        <v>21.419650000000001</v>
      </c>
      <c r="G331">
        <v>21.485963999999999</v>
      </c>
      <c r="H331">
        <v>20.605398000000001</v>
      </c>
      <c r="I331">
        <v>20.016226</v>
      </c>
      <c r="J331">
        <v>23.305506000000001</v>
      </c>
      <c r="K331">
        <v>23.516580000000001</v>
      </c>
      <c r="L331">
        <v>23.883879</v>
      </c>
      <c r="M331">
        <v>21.687162000000001</v>
      </c>
      <c r="N331">
        <v>21.945098999999999</v>
      </c>
      <c r="O331">
        <v>23.757795000000002</v>
      </c>
      <c r="P331">
        <v>23.115075999999998</v>
      </c>
      <c r="Q331">
        <v>21.720829999999999</v>
      </c>
      <c r="R331">
        <v>23.625864</v>
      </c>
      <c r="S331">
        <v>20.412286999999999</v>
      </c>
      <c r="T331">
        <v>22.493888999999999</v>
      </c>
      <c r="U331">
        <v>24.172765999999999</v>
      </c>
      <c r="V331">
        <v>23.028002000000001</v>
      </c>
      <c r="W331">
        <v>24.334444000000001</v>
      </c>
      <c r="X331">
        <v>23.496813</v>
      </c>
      <c r="Y331">
        <v>25.484907</v>
      </c>
      <c r="Z331">
        <v>24.626272</v>
      </c>
      <c r="AA331">
        <v>27.009115000000001</v>
      </c>
      <c r="AB331">
        <v>26.014531999999999</v>
      </c>
      <c r="AC331">
        <v>24.859200000000001</v>
      </c>
      <c r="AD331">
        <v>24.436682000000001</v>
      </c>
      <c r="AE331">
        <v>19.887789000000001</v>
      </c>
      <c r="AF331">
        <v>25.924835000000002</v>
      </c>
      <c r="AG331">
        <v>26.886268999999999</v>
      </c>
    </row>
    <row r="332" spans="1:33" x14ac:dyDescent="0.25">
      <c r="A332" s="1">
        <v>44383</v>
      </c>
      <c r="B332">
        <v>21.204908</v>
      </c>
      <c r="C332">
        <v>21.632769</v>
      </c>
      <c r="D332">
        <v>20.724947</v>
      </c>
      <c r="E332">
        <v>20.828538999999999</v>
      </c>
      <c r="F332">
        <v>21.172678000000001</v>
      </c>
      <c r="G332">
        <v>21.349450000000001</v>
      </c>
      <c r="H332">
        <v>20.422585999999999</v>
      </c>
      <c r="I332">
        <v>19.702722999999999</v>
      </c>
      <c r="J332">
        <v>23.110900000000001</v>
      </c>
      <c r="K332">
        <v>23.356809999999999</v>
      </c>
      <c r="L332">
        <v>23.628267000000001</v>
      </c>
      <c r="M332">
        <v>21.525169999999999</v>
      </c>
      <c r="N332">
        <v>21.704979000000002</v>
      </c>
      <c r="O332">
        <v>23.491491</v>
      </c>
      <c r="P332">
        <v>22.915900000000001</v>
      </c>
      <c r="Q332">
        <v>21.520921999999999</v>
      </c>
      <c r="R332">
        <v>23.358820000000001</v>
      </c>
      <c r="S332">
        <v>20.012364999999999</v>
      </c>
      <c r="T332">
        <v>22.125655999999999</v>
      </c>
      <c r="U332">
        <v>24.151705</v>
      </c>
      <c r="V332">
        <v>22.712859999999999</v>
      </c>
      <c r="W332">
        <v>24.394591999999999</v>
      </c>
      <c r="X332">
        <v>23.182780000000001</v>
      </c>
      <c r="Y332">
        <v>25.080544</v>
      </c>
      <c r="Z332">
        <v>24.356141999999998</v>
      </c>
      <c r="AA332">
        <v>26.872869999999999</v>
      </c>
      <c r="AB332">
        <v>25.575087</v>
      </c>
      <c r="AC332">
        <v>23.900701999999999</v>
      </c>
      <c r="AD332">
        <v>24.208931</v>
      </c>
      <c r="AE332">
        <v>19.591737999999999</v>
      </c>
      <c r="AF332">
        <v>25.981120000000001</v>
      </c>
      <c r="AG332">
        <v>26.386403999999999</v>
      </c>
    </row>
    <row r="333" spans="1:33" x14ac:dyDescent="0.25">
      <c r="A333" s="1">
        <v>44384</v>
      </c>
      <c r="B333">
        <v>21.122900000000001</v>
      </c>
      <c r="C333">
        <v>21.503140999999999</v>
      </c>
      <c r="D333">
        <v>20.511759000000001</v>
      </c>
      <c r="E333">
        <v>20.60079</v>
      </c>
      <c r="F333">
        <v>21.016131999999999</v>
      </c>
      <c r="G333">
        <v>21.228684999999999</v>
      </c>
      <c r="H333">
        <v>20.332304000000001</v>
      </c>
      <c r="I333">
        <v>19.751294999999999</v>
      </c>
      <c r="J333">
        <v>23.401253000000001</v>
      </c>
      <c r="K333">
        <v>23.358357999999999</v>
      </c>
      <c r="L333">
        <v>23.609712999999999</v>
      </c>
      <c r="M333">
        <v>21.405934999999999</v>
      </c>
      <c r="N333">
        <v>21.575271999999998</v>
      </c>
      <c r="O333">
        <v>23.437777000000001</v>
      </c>
      <c r="P333">
        <v>22.859283000000001</v>
      </c>
      <c r="Q333">
        <v>21.358706000000002</v>
      </c>
      <c r="R333">
        <v>23.301833999999999</v>
      </c>
      <c r="S333">
        <v>19.840712</v>
      </c>
      <c r="T333">
        <v>21.925699999999999</v>
      </c>
      <c r="U333">
        <v>24.324465</v>
      </c>
      <c r="V333">
        <v>22.611526000000001</v>
      </c>
      <c r="W333">
        <v>24.514220000000002</v>
      </c>
      <c r="X333">
        <v>23.056635</v>
      </c>
      <c r="Y333">
        <v>24.085999000000001</v>
      </c>
      <c r="Z333">
        <v>24.228662</v>
      </c>
      <c r="AA333">
        <v>26.659859999999998</v>
      </c>
      <c r="AB333">
        <v>24.578980999999999</v>
      </c>
      <c r="AC333">
        <v>22.710197000000001</v>
      </c>
      <c r="AD333">
        <v>24.110251999999999</v>
      </c>
      <c r="AE333">
        <v>19.24962</v>
      </c>
      <c r="AF333">
        <v>25.798126</v>
      </c>
      <c r="AG333">
        <v>25.363942999999999</v>
      </c>
    </row>
    <row r="334" spans="1:33" x14ac:dyDescent="0.25">
      <c r="A334" s="1">
        <v>44385</v>
      </c>
      <c r="B334">
        <v>21.357254000000001</v>
      </c>
      <c r="C334">
        <v>21.711058000000001</v>
      </c>
      <c r="D334">
        <v>20.547564000000001</v>
      </c>
      <c r="E334">
        <v>20.661591999999999</v>
      </c>
      <c r="F334">
        <v>21.264517000000001</v>
      </c>
      <c r="G334">
        <v>21.309391000000002</v>
      </c>
      <c r="H334">
        <v>20.364332000000001</v>
      </c>
      <c r="I334">
        <v>20.275658</v>
      </c>
      <c r="J334">
        <v>23.930800000000001</v>
      </c>
      <c r="K334">
        <v>23.517073</v>
      </c>
      <c r="L334">
        <v>23.78782</v>
      </c>
      <c r="M334">
        <v>21.512944999999998</v>
      </c>
      <c r="N334">
        <v>21.719614</v>
      </c>
      <c r="O334">
        <v>23.631516000000001</v>
      </c>
      <c r="P334">
        <v>22.980919</v>
      </c>
      <c r="Q334">
        <v>21.418099999999999</v>
      </c>
      <c r="R334">
        <v>23.469698000000001</v>
      </c>
      <c r="S334">
        <v>20.062636999999999</v>
      </c>
      <c r="T334">
        <v>22.103394999999999</v>
      </c>
      <c r="U334">
        <v>24.546202000000001</v>
      </c>
      <c r="V334">
        <v>22.868079999999999</v>
      </c>
      <c r="W334">
        <v>24.690794</v>
      </c>
      <c r="X334">
        <v>23.332208999999999</v>
      </c>
      <c r="Y334">
        <v>23.887509999999999</v>
      </c>
      <c r="Z334">
        <v>24.428553000000001</v>
      </c>
      <c r="AA334">
        <v>26.813352999999999</v>
      </c>
      <c r="AB334">
        <v>24.375640000000001</v>
      </c>
      <c r="AC334">
        <v>22.598526</v>
      </c>
      <c r="AD334">
        <v>24.205828</v>
      </c>
      <c r="AE334">
        <v>19.293009999999999</v>
      </c>
      <c r="AF334">
        <v>25.823145</v>
      </c>
      <c r="AG334">
        <v>25.390528</v>
      </c>
    </row>
    <row r="335" spans="1:33" x14ac:dyDescent="0.25">
      <c r="A335" s="1">
        <v>44386</v>
      </c>
      <c r="B335">
        <v>21.763809999999999</v>
      </c>
      <c r="C335">
        <v>22.337523999999998</v>
      </c>
      <c r="D335">
        <v>20.956316000000001</v>
      </c>
      <c r="E335">
        <v>21.070833</v>
      </c>
      <c r="F335">
        <v>21.888159000000002</v>
      </c>
      <c r="G335">
        <v>21.654442</v>
      </c>
      <c r="H335">
        <v>20.68308</v>
      </c>
      <c r="I335">
        <v>21.449781000000002</v>
      </c>
      <c r="J335">
        <v>24.729265000000002</v>
      </c>
      <c r="K335">
        <v>23.881482999999999</v>
      </c>
      <c r="L335">
        <v>24.273420000000002</v>
      </c>
      <c r="M335">
        <v>21.884933</v>
      </c>
      <c r="N335">
        <v>22.170593</v>
      </c>
      <c r="O335">
        <v>24.106583000000001</v>
      </c>
      <c r="P335">
        <v>23.362100000000002</v>
      </c>
      <c r="Q335">
        <v>21.783280999999999</v>
      </c>
      <c r="R335">
        <v>23.898363</v>
      </c>
      <c r="S335">
        <v>21.311453</v>
      </c>
      <c r="T335">
        <v>22.717383999999999</v>
      </c>
      <c r="U335">
        <v>24.976748000000001</v>
      </c>
      <c r="V335">
        <v>23.522158000000001</v>
      </c>
      <c r="W335">
        <v>25.038460000000001</v>
      </c>
      <c r="X335">
        <v>23.930298000000001</v>
      </c>
      <c r="Y335">
        <v>24.738690999999999</v>
      </c>
      <c r="Z335">
        <v>24.999886</v>
      </c>
      <c r="AA335">
        <v>27.210298999999999</v>
      </c>
      <c r="AB335">
        <v>25.162545999999999</v>
      </c>
      <c r="AC335">
        <v>23.417733999999999</v>
      </c>
      <c r="AD335">
        <v>24.578512</v>
      </c>
      <c r="AE335">
        <v>19.589093999999999</v>
      </c>
      <c r="AF335">
        <v>26.035146999999998</v>
      </c>
      <c r="AG335">
        <v>26.230944000000001</v>
      </c>
    </row>
    <row r="336" spans="1:33" x14ac:dyDescent="0.25">
      <c r="A336" s="1">
        <v>44387</v>
      </c>
      <c r="B336">
        <v>22.273146000000001</v>
      </c>
      <c r="C336">
        <v>22.870453000000001</v>
      </c>
      <c r="D336">
        <v>21.366682000000001</v>
      </c>
      <c r="E336">
        <v>21.587987999999999</v>
      </c>
      <c r="F336">
        <v>22.284866000000001</v>
      </c>
      <c r="G336">
        <v>22.002303999999999</v>
      </c>
      <c r="H336">
        <v>20.997897999999999</v>
      </c>
      <c r="I336">
        <v>22.091805999999998</v>
      </c>
      <c r="J336">
        <v>25.484235999999999</v>
      </c>
      <c r="K336">
        <v>24.202013000000001</v>
      </c>
      <c r="L336">
        <v>24.768518</v>
      </c>
      <c r="M336">
        <v>22.239979999999999</v>
      </c>
      <c r="N336">
        <v>22.506357000000001</v>
      </c>
      <c r="O336">
        <v>24.561233999999999</v>
      </c>
      <c r="P336">
        <v>23.736076000000001</v>
      </c>
      <c r="Q336">
        <v>22.130714000000001</v>
      </c>
      <c r="R336">
        <v>24.328375000000001</v>
      </c>
      <c r="S336">
        <v>22.584413999999999</v>
      </c>
      <c r="T336">
        <v>23.309206</v>
      </c>
      <c r="U336">
        <v>25.335218000000001</v>
      </c>
      <c r="V336">
        <v>24.015599999999999</v>
      </c>
      <c r="W336">
        <v>25.309453999999999</v>
      </c>
      <c r="X336">
        <v>24.451699999999999</v>
      </c>
      <c r="Y336">
        <v>25.659223999999998</v>
      </c>
      <c r="Z336">
        <v>25.601288</v>
      </c>
      <c r="AA336">
        <v>27.670387000000002</v>
      </c>
      <c r="AB336">
        <v>26.043489999999998</v>
      </c>
      <c r="AC336">
        <v>24.408128999999999</v>
      </c>
      <c r="AD336">
        <v>25.005264</v>
      </c>
      <c r="AE336">
        <v>20.112646000000002</v>
      </c>
      <c r="AF336">
        <v>26.29608</v>
      </c>
      <c r="AG336">
        <v>26.979303000000002</v>
      </c>
    </row>
    <row r="337" spans="1:33" x14ac:dyDescent="0.25">
      <c r="A337" s="1">
        <v>44388</v>
      </c>
      <c r="B337">
        <v>22.372454000000001</v>
      </c>
      <c r="C337">
        <v>23.193982999999999</v>
      </c>
      <c r="D337">
        <v>21.645703999999999</v>
      </c>
      <c r="E337">
        <v>21.850104999999999</v>
      </c>
      <c r="F337">
        <v>22.465021</v>
      </c>
      <c r="G337">
        <v>22.358637000000002</v>
      </c>
      <c r="H337">
        <v>21.227647999999999</v>
      </c>
      <c r="I337">
        <v>22.300298999999999</v>
      </c>
      <c r="J337">
        <v>25.823167999999999</v>
      </c>
      <c r="K337">
        <v>24.467839999999999</v>
      </c>
      <c r="L337">
        <v>25.118164</v>
      </c>
      <c r="M337">
        <v>22.573319999999999</v>
      </c>
      <c r="N337">
        <v>22.81307</v>
      </c>
      <c r="O337">
        <v>24.85894</v>
      </c>
      <c r="P337">
        <v>24.036158</v>
      </c>
      <c r="Q337">
        <v>22.481923999999999</v>
      </c>
      <c r="R337">
        <v>24.607506000000001</v>
      </c>
      <c r="S337">
        <v>23.183983000000001</v>
      </c>
      <c r="T337">
        <v>23.696463000000001</v>
      </c>
      <c r="U337">
        <v>25.549424999999999</v>
      </c>
      <c r="V337">
        <v>24.25788</v>
      </c>
      <c r="W337">
        <v>25.723542999999999</v>
      </c>
      <c r="X337">
        <v>24.736588000000001</v>
      </c>
      <c r="Y337">
        <v>26.121115</v>
      </c>
      <c r="Z337">
        <v>26.084485999999998</v>
      </c>
      <c r="AA337">
        <v>28.036211000000002</v>
      </c>
      <c r="AB337">
        <v>26.491250000000001</v>
      </c>
      <c r="AC337">
        <v>25.033949</v>
      </c>
      <c r="AD337">
        <v>25.375710000000002</v>
      </c>
      <c r="AE337">
        <v>20.346713999999999</v>
      </c>
      <c r="AF337">
        <v>26.526886000000001</v>
      </c>
      <c r="AG337">
        <v>27.296372999999999</v>
      </c>
    </row>
    <row r="338" spans="1:33" x14ac:dyDescent="0.25">
      <c r="A338" s="1">
        <v>44389</v>
      </c>
      <c r="B338">
        <v>21.828811999999999</v>
      </c>
      <c r="C338">
        <v>23.015090000000001</v>
      </c>
      <c r="D338">
        <v>21.443899999999999</v>
      </c>
      <c r="E338">
        <v>21.540814999999998</v>
      </c>
      <c r="F338">
        <v>22.098665</v>
      </c>
      <c r="G338">
        <v>22.367495000000002</v>
      </c>
      <c r="H338">
        <v>21.051874000000002</v>
      </c>
      <c r="I338">
        <v>21.616488</v>
      </c>
      <c r="J338">
        <v>25.668303999999999</v>
      </c>
      <c r="K338">
        <v>24.502030000000001</v>
      </c>
      <c r="L338">
        <v>25.171232</v>
      </c>
      <c r="M338">
        <v>22.522210000000001</v>
      </c>
      <c r="N338">
        <v>22.705742000000001</v>
      </c>
      <c r="O338">
        <v>24.858582999999999</v>
      </c>
      <c r="P338">
        <v>24.081105999999998</v>
      </c>
      <c r="Q338">
        <v>22.487729999999999</v>
      </c>
      <c r="R338">
        <v>24.644472</v>
      </c>
      <c r="S338">
        <v>22.143217</v>
      </c>
      <c r="T338">
        <v>23.48968</v>
      </c>
      <c r="U338">
        <v>25.531739999999999</v>
      </c>
      <c r="V338">
        <v>23.949670000000001</v>
      </c>
      <c r="W338">
        <v>25.889600000000002</v>
      </c>
      <c r="X338">
        <v>24.402891</v>
      </c>
      <c r="Y338">
        <v>26.063683000000001</v>
      </c>
      <c r="Z338">
        <v>26.137475999999999</v>
      </c>
      <c r="AA338">
        <v>28.168832999999999</v>
      </c>
      <c r="AB338">
        <v>26.483725</v>
      </c>
      <c r="AC338">
        <v>24.69042</v>
      </c>
      <c r="AD338">
        <v>25.499379999999999</v>
      </c>
      <c r="AE338">
        <v>20.069514999999999</v>
      </c>
      <c r="AF338">
        <v>26.606560000000002</v>
      </c>
      <c r="AG338">
        <v>27.130849999999999</v>
      </c>
    </row>
    <row r="339" spans="1:33" x14ac:dyDescent="0.25">
      <c r="A339" s="1">
        <v>44390</v>
      </c>
      <c r="B339">
        <v>21.460075</v>
      </c>
      <c r="C339">
        <v>22.612691999999999</v>
      </c>
      <c r="D339">
        <v>21.107043999999998</v>
      </c>
      <c r="E339">
        <v>21.323754999999998</v>
      </c>
      <c r="F339">
        <v>21.717005</v>
      </c>
      <c r="G339">
        <v>22.212060000000001</v>
      </c>
      <c r="H339">
        <v>20.757836999999999</v>
      </c>
      <c r="I339">
        <v>20.880261999999998</v>
      </c>
      <c r="J339">
        <v>25.18985</v>
      </c>
      <c r="K339">
        <v>24.389558999999998</v>
      </c>
      <c r="L339">
        <v>25.054174</v>
      </c>
      <c r="M339">
        <v>22.329619999999998</v>
      </c>
      <c r="N339">
        <v>22.521771999999999</v>
      </c>
      <c r="O339">
        <v>24.744233999999999</v>
      </c>
      <c r="P339">
        <v>23.931345</v>
      </c>
      <c r="Q339">
        <v>22.325533</v>
      </c>
      <c r="R339">
        <v>24.561699000000001</v>
      </c>
      <c r="S339">
        <v>20.944427000000001</v>
      </c>
      <c r="T339">
        <v>23.115134999999999</v>
      </c>
      <c r="U339">
        <v>25.544128000000001</v>
      </c>
      <c r="V339">
        <v>23.597394999999999</v>
      </c>
      <c r="W339">
        <v>25.549713000000001</v>
      </c>
      <c r="X339">
        <v>24.064285000000002</v>
      </c>
      <c r="Y339">
        <v>25.782755000000002</v>
      </c>
      <c r="Z339">
        <v>25.878762999999999</v>
      </c>
      <c r="AA339">
        <v>28.166989999999998</v>
      </c>
      <c r="AB339">
        <v>26.24981</v>
      </c>
      <c r="AC339">
        <v>24.248456999999998</v>
      </c>
      <c r="AD339">
        <v>25.496012</v>
      </c>
      <c r="AE339">
        <v>19.664522000000002</v>
      </c>
      <c r="AF339">
        <v>26.572685</v>
      </c>
      <c r="AG339">
        <v>26.949076000000002</v>
      </c>
    </row>
    <row r="340" spans="1:33" x14ac:dyDescent="0.25">
      <c r="A340" s="1">
        <v>44391</v>
      </c>
      <c r="B340">
        <v>21.030778999999999</v>
      </c>
      <c r="C340">
        <v>22.270485000000001</v>
      </c>
      <c r="D340">
        <v>20.827794999999998</v>
      </c>
      <c r="E340">
        <v>21.011279999999999</v>
      </c>
      <c r="F340">
        <v>21.526755999999999</v>
      </c>
      <c r="G340">
        <v>22.000212000000001</v>
      </c>
      <c r="H340">
        <v>20.470638000000001</v>
      </c>
      <c r="I340">
        <v>20.290914999999998</v>
      </c>
      <c r="J340">
        <v>24.467558</v>
      </c>
      <c r="K340">
        <v>24.237172999999999</v>
      </c>
      <c r="L340">
        <v>24.811734999999999</v>
      </c>
      <c r="M340">
        <v>22.11138</v>
      </c>
      <c r="N340">
        <v>22.339300000000001</v>
      </c>
      <c r="O340">
        <v>24.552689000000001</v>
      </c>
      <c r="P340">
        <v>23.721489999999999</v>
      </c>
      <c r="Q340">
        <v>22.13325</v>
      </c>
      <c r="R340">
        <v>24.436744999999998</v>
      </c>
      <c r="S340">
        <v>20.132960000000001</v>
      </c>
      <c r="T340">
        <v>22.836561</v>
      </c>
      <c r="U340">
        <v>25.180212000000001</v>
      </c>
      <c r="V340">
        <v>23.363398</v>
      </c>
      <c r="W340">
        <v>24.925545</v>
      </c>
      <c r="X340">
        <v>23.821878000000002</v>
      </c>
      <c r="Y340">
        <v>25.700018</v>
      </c>
      <c r="Z340">
        <v>25.532655999999999</v>
      </c>
      <c r="AA340">
        <v>27.979914000000001</v>
      </c>
      <c r="AB340">
        <v>26.173850999999999</v>
      </c>
      <c r="AC340">
        <v>24.217880000000001</v>
      </c>
      <c r="AD340">
        <v>25.363771</v>
      </c>
      <c r="AE340">
        <v>19.432863000000001</v>
      </c>
      <c r="AF340">
        <v>26.486094000000001</v>
      </c>
      <c r="AG340">
        <v>26.958909999999999</v>
      </c>
    </row>
    <row r="341" spans="1:33" x14ac:dyDescent="0.25">
      <c r="A341" s="1">
        <v>44392</v>
      </c>
      <c r="B341">
        <v>20.953717999999999</v>
      </c>
      <c r="C341">
        <v>22.067029999999999</v>
      </c>
      <c r="D341">
        <v>20.656116000000001</v>
      </c>
      <c r="E341">
        <v>20.875055</v>
      </c>
      <c r="F341">
        <v>21.411318000000001</v>
      </c>
      <c r="G341">
        <v>21.857061000000002</v>
      </c>
      <c r="H341">
        <v>20.293112000000001</v>
      </c>
      <c r="I341">
        <v>20.180685</v>
      </c>
      <c r="J341">
        <v>24.134867</v>
      </c>
      <c r="K341">
        <v>24.151693000000002</v>
      </c>
      <c r="L341">
        <v>24.771788000000001</v>
      </c>
      <c r="M341">
        <v>21.960329999999999</v>
      </c>
      <c r="N341">
        <v>22.210419000000002</v>
      </c>
      <c r="O341">
        <v>24.552040000000002</v>
      </c>
      <c r="P341">
        <v>23.615933999999999</v>
      </c>
      <c r="Q341">
        <v>22.018515000000001</v>
      </c>
      <c r="R341">
        <v>24.452836999999999</v>
      </c>
      <c r="S341">
        <v>19.861525</v>
      </c>
      <c r="T341">
        <v>22.654678000000001</v>
      </c>
      <c r="U341">
        <v>24.727561999999999</v>
      </c>
      <c r="V341">
        <v>23.244354000000001</v>
      </c>
      <c r="W341">
        <v>24.215021</v>
      </c>
      <c r="X341">
        <v>23.751566</v>
      </c>
      <c r="Y341">
        <v>25.4924</v>
      </c>
      <c r="Z341">
        <v>25.308824999999999</v>
      </c>
      <c r="AA341">
        <v>27.652082</v>
      </c>
      <c r="AB341">
        <v>26.010897</v>
      </c>
      <c r="AC341">
        <v>24.364504</v>
      </c>
      <c r="AD341">
        <v>25.294906999999998</v>
      </c>
      <c r="AE341">
        <v>19.142842999999999</v>
      </c>
      <c r="AF341">
        <v>26.383972</v>
      </c>
      <c r="AG341">
        <v>26.693650999999999</v>
      </c>
    </row>
    <row r="342" spans="1:33" x14ac:dyDescent="0.25">
      <c r="A342" s="1">
        <v>44393</v>
      </c>
      <c r="B342">
        <v>21.058153000000001</v>
      </c>
      <c r="C342">
        <v>21.974699999999999</v>
      </c>
      <c r="D342">
        <v>20.586224000000001</v>
      </c>
      <c r="E342">
        <v>20.824835</v>
      </c>
      <c r="F342">
        <v>21.310675</v>
      </c>
      <c r="G342">
        <v>21.702759</v>
      </c>
      <c r="H342">
        <v>20.317778000000001</v>
      </c>
      <c r="I342">
        <v>20.189741000000001</v>
      </c>
      <c r="J342">
        <v>24.046232</v>
      </c>
      <c r="K342">
        <v>24.123442000000001</v>
      </c>
      <c r="L342">
        <v>24.780211999999999</v>
      </c>
      <c r="M342">
        <v>21.861657999999998</v>
      </c>
      <c r="N342">
        <v>22.178906999999999</v>
      </c>
      <c r="O342">
        <v>24.565093999999998</v>
      </c>
      <c r="P342">
        <v>23.601112000000001</v>
      </c>
      <c r="Q342">
        <v>21.966380000000001</v>
      </c>
      <c r="R342">
        <v>24.503428</v>
      </c>
      <c r="S342">
        <v>19.538789999999999</v>
      </c>
      <c r="T342">
        <v>22.581133000000001</v>
      </c>
      <c r="U342">
        <v>24.066994000000001</v>
      </c>
      <c r="V342">
        <v>23.383652000000001</v>
      </c>
      <c r="W342">
        <v>23.679320000000001</v>
      </c>
      <c r="X342">
        <v>23.967455000000001</v>
      </c>
      <c r="Y342">
        <v>25.009422000000001</v>
      </c>
      <c r="Z342">
        <v>25.061879999999999</v>
      </c>
      <c r="AA342">
        <v>27.407347000000001</v>
      </c>
      <c r="AB342">
        <v>25.621458000000001</v>
      </c>
      <c r="AC342">
        <v>23.828880000000002</v>
      </c>
      <c r="AD342">
        <v>25.275138999999999</v>
      </c>
      <c r="AE342">
        <v>18.98556</v>
      </c>
      <c r="AF342">
        <v>26.212630999999998</v>
      </c>
      <c r="AG342">
        <v>26.360085999999999</v>
      </c>
    </row>
    <row r="343" spans="1:33" x14ac:dyDescent="0.25">
      <c r="A343" s="1">
        <v>44394</v>
      </c>
      <c r="B343">
        <v>21.549012999999999</v>
      </c>
      <c r="C343">
        <v>22.313099999999999</v>
      </c>
      <c r="D343">
        <v>20.783808000000001</v>
      </c>
      <c r="E343">
        <v>21.082689999999999</v>
      </c>
      <c r="F343">
        <v>21.708867999999999</v>
      </c>
      <c r="G343">
        <v>21.749334000000001</v>
      </c>
      <c r="H343">
        <v>20.493379999999998</v>
      </c>
      <c r="I343">
        <v>20.896877</v>
      </c>
      <c r="J343">
        <v>24.379213</v>
      </c>
      <c r="K343">
        <v>24.314385999999999</v>
      </c>
      <c r="L343">
        <v>25.015129999999999</v>
      </c>
      <c r="M343">
        <v>22.035527999999999</v>
      </c>
      <c r="N343">
        <v>22.479706</v>
      </c>
      <c r="O343">
        <v>24.815335999999999</v>
      </c>
      <c r="P343">
        <v>23.795797</v>
      </c>
      <c r="Q343">
        <v>22.105314</v>
      </c>
      <c r="R343">
        <v>24.716042000000002</v>
      </c>
      <c r="S343">
        <v>20.04053</v>
      </c>
      <c r="T343">
        <v>22.898947</v>
      </c>
      <c r="U343">
        <v>23.841550000000002</v>
      </c>
      <c r="V343">
        <v>23.685189999999999</v>
      </c>
      <c r="W343">
        <v>23.615389</v>
      </c>
      <c r="X343">
        <v>24.212350000000001</v>
      </c>
      <c r="Y343">
        <v>25.024816999999999</v>
      </c>
      <c r="Z343">
        <v>25.209778</v>
      </c>
      <c r="AA343">
        <v>27.336487000000002</v>
      </c>
      <c r="AB343">
        <v>25.661293000000001</v>
      </c>
      <c r="AC343">
        <v>23.796776000000001</v>
      </c>
      <c r="AD343">
        <v>25.411669</v>
      </c>
      <c r="AE343">
        <v>19.183503999999999</v>
      </c>
      <c r="AF343">
        <v>26.121689</v>
      </c>
      <c r="AG343">
        <v>26.521916999999998</v>
      </c>
    </row>
    <row r="344" spans="1:33" x14ac:dyDescent="0.25">
      <c r="A344" s="1">
        <v>44395</v>
      </c>
      <c r="B344">
        <v>21.891656999999999</v>
      </c>
      <c r="C344">
        <v>22.599785000000001</v>
      </c>
      <c r="D344">
        <v>21.0379</v>
      </c>
      <c r="E344">
        <v>21.321974000000001</v>
      </c>
      <c r="F344">
        <v>21.898668000000001</v>
      </c>
      <c r="G344">
        <v>21.807462999999998</v>
      </c>
      <c r="H344">
        <v>20.611113</v>
      </c>
      <c r="I344">
        <v>21.191828000000001</v>
      </c>
      <c r="J344">
        <v>24.57498</v>
      </c>
      <c r="K344">
        <v>24.468741999999999</v>
      </c>
      <c r="L344">
        <v>25.16095</v>
      </c>
      <c r="M344">
        <v>22.151779999999999</v>
      </c>
      <c r="N344">
        <v>22.675726000000001</v>
      </c>
      <c r="O344">
        <v>24.961569000000001</v>
      </c>
      <c r="P344">
        <v>23.973897999999998</v>
      </c>
      <c r="Q344">
        <v>22.223219</v>
      </c>
      <c r="R344">
        <v>24.824922999999998</v>
      </c>
      <c r="S344">
        <v>20.612822000000001</v>
      </c>
      <c r="T344">
        <v>23.180917999999998</v>
      </c>
      <c r="U344">
        <v>23.834099999999999</v>
      </c>
      <c r="V344">
        <v>23.844238000000001</v>
      </c>
      <c r="W344">
        <v>23.838101999999999</v>
      </c>
      <c r="X344">
        <v>24.284212</v>
      </c>
      <c r="Y344">
        <v>25.47101</v>
      </c>
      <c r="Z344">
        <v>25.423051999999998</v>
      </c>
      <c r="AA344">
        <v>27.347770000000001</v>
      </c>
      <c r="AB344">
        <v>26.175567999999998</v>
      </c>
      <c r="AC344">
        <v>23.81269</v>
      </c>
      <c r="AD344">
        <v>25.513739999999999</v>
      </c>
      <c r="AE344">
        <v>19.227395999999999</v>
      </c>
      <c r="AF344">
        <v>26.125876999999999</v>
      </c>
      <c r="AG344">
        <v>26.885683</v>
      </c>
    </row>
    <row r="345" spans="1:33" x14ac:dyDescent="0.25">
      <c r="A345" s="1">
        <v>44396</v>
      </c>
      <c r="B345">
        <v>22.097920999999999</v>
      </c>
      <c r="C345">
        <v>22.785843</v>
      </c>
      <c r="D345">
        <v>21.291018000000001</v>
      </c>
      <c r="E345">
        <v>21.464711999999999</v>
      </c>
      <c r="F345">
        <v>22.059889999999999</v>
      </c>
      <c r="G345">
        <v>21.878889999999998</v>
      </c>
      <c r="H345">
        <v>20.660758999999999</v>
      </c>
      <c r="I345">
        <v>21.23631</v>
      </c>
      <c r="J345">
        <v>24.802358999999999</v>
      </c>
      <c r="K345">
        <v>24.578320999999999</v>
      </c>
      <c r="L345">
        <v>25.288267000000001</v>
      </c>
      <c r="M345">
        <v>22.227135000000001</v>
      </c>
      <c r="N345">
        <v>22.765481999999999</v>
      </c>
      <c r="O345">
        <v>25.152428</v>
      </c>
      <c r="P345">
        <v>24.129332000000002</v>
      </c>
      <c r="Q345">
        <v>22.276479999999999</v>
      </c>
      <c r="R345">
        <v>24.977775999999999</v>
      </c>
      <c r="S345">
        <v>21.185210000000001</v>
      </c>
      <c r="T345">
        <v>23.37369</v>
      </c>
      <c r="U345">
        <v>24.104185000000001</v>
      </c>
      <c r="V345">
        <v>23.980187999999998</v>
      </c>
      <c r="W345">
        <v>24.298334000000001</v>
      </c>
      <c r="X345">
        <v>24.363287</v>
      </c>
      <c r="Y345">
        <v>25.997454000000001</v>
      </c>
      <c r="Z345">
        <v>25.722190000000001</v>
      </c>
      <c r="AA345">
        <v>27.504524</v>
      </c>
      <c r="AB345">
        <v>26.59966</v>
      </c>
      <c r="AC345">
        <v>24.812184999999999</v>
      </c>
      <c r="AD345">
        <v>25.633177</v>
      </c>
      <c r="AE345">
        <v>19.463284999999999</v>
      </c>
      <c r="AF345">
        <v>26.198532</v>
      </c>
      <c r="AG345">
        <v>27.253504</v>
      </c>
    </row>
    <row r="346" spans="1:33" x14ac:dyDescent="0.25">
      <c r="A346" s="1">
        <v>44397</v>
      </c>
      <c r="B346">
        <v>22.062909999999999</v>
      </c>
      <c r="C346">
        <v>22.773346</v>
      </c>
      <c r="D346">
        <v>21.375135</v>
      </c>
      <c r="E346">
        <v>21.408218000000002</v>
      </c>
      <c r="F346">
        <v>22.051836000000002</v>
      </c>
      <c r="G346">
        <v>21.970572000000001</v>
      </c>
      <c r="H346">
        <v>20.706655999999999</v>
      </c>
      <c r="I346">
        <v>21.334309999999999</v>
      </c>
      <c r="J346">
        <v>25.103698999999999</v>
      </c>
      <c r="K346">
        <v>24.712827999999998</v>
      </c>
      <c r="L346">
        <v>25.385351</v>
      </c>
      <c r="M346">
        <v>22.260572</v>
      </c>
      <c r="N346">
        <v>22.835906999999999</v>
      </c>
      <c r="O346">
        <v>25.187752</v>
      </c>
      <c r="P346">
        <v>24.252413000000001</v>
      </c>
      <c r="Q346">
        <v>22.329943</v>
      </c>
      <c r="R346">
        <v>25.014132</v>
      </c>
      <c r="S346">
        <v>21.314859999999999</v>
      </c>
      <c r="T346">
        <v>23.392365000000002</v>
      </c>
      <c r="U346">
        <v>24.413924999999999</v>
      </c>
      <c r="V346">
        <v>23.938203999999999</v>
      </c>
      <c r="W346">
        <v>24.500616000000001</v>
      </c>
      <c r="X346">
        <v>24.276812</v>
      </c>
      <c r="Y346">
        <v>26.096503999999999</v>
      </c>
      <c r="Z346">
        <v>25.940436999999999</v>
      </c>
      <c r="AA346">
        <v>27.639928999999999</v>
      </c>
      <c r="AB346">
        <v>26.579397</v>
      </c>
      <c r="AC346">
        <v>25.012824999999999</v>
      </c>
      <c r="AD346">
        <v>25.718359</v>
      </c>
      <c r="AE346">
        <v>19.38738</v>
      </c>
      <c r="AF346">
        <v>26.238111</v>
      </c>
      <c r="AG346">
        <v>27.054468</v>
      </c>
    </row>
    <row r="347" spans="1:33" x14ac:dyDescent="0.25">
      <c r="A347" s="1">
        <v>44398</v>
      </c>
      <c r="B347">
        <v>21.854040000000001</v>
      </c>
      <c r="C347">
        <v>22.691751</v>
      </c>
      <c r="D347">
        <v>21.258541000000001</v>
      </c>
      <c r="E347">
        <v>21.228643000000002</v>
      </c>
      <c r="F347">
        <v>21.880372999999999</v>
      </c>
      <c r="G347">
        <v>21.957901</v>
      </c>
      <c r="H347">
        <v>20.590242</v>
      </c>
      <c r="I347">
        <v>21.073359</v>
      </c>
      <c r="J347">
        <v>25.025563999999999</v>
      </c>
      <c r="K347">
        <v>24.700005000000001</v>
      </c>
      <c r="L347">
        <v>25.224011999999998</v>
      </c>
      <c r="M347">
        <v>22.211387999999999</v>
      </c>
      <c r="N347">
        <v>22.721712</v>
      </c>
      <c r="O347">
        <v>24.996870000000001</v>
      </c>
      <c r="P347">
        <v>24.209838999999999</v>
      </c>
      <c r="Q347">
        <v>22.255258999999999</v>
      </c>
      <c r="R347">
        <v>24.848312</v>
      </c>
      <c r="S347">
        <v>21.099653</v>
      </c>
      <c r="T347">
        <v>23.207000000000001</v>
      </c>
      <c r="U347">
        <v>24.470037000000001</v>
      </c>
      <c r="V347">
        <v>23.710169</v>
      </c>
      <c r="W347">
        <v>24.622420000000002</v>
      </c>
      <c r="X347">
        <v>24.038881</v>
      </c>
      <c r="Y347">
        <v>25.330873</v>
      </c>
      <c r="Z347">
        <v>25.842682</v>
      </c>
      <c r="AA347">
        <v>27.489342000000001</v>
      </c>
      <c r="AB347">
        <v>25.757950000000001</v>
      </c>
      <c r="AC347">
        <v>24.189430000000002</v>
      </c>
      <c r="AD347">
        <v>25.592725999999999</v>
      </c>
      <c r="AE347">
        <v>19.120531</v>
      </c>
      <c r="AF347">
        <v>26.082792000000001</v>
      </c>
      <c r="AG347">
        <v>26.145354999999999</v>
      </c>
    </row>
    <row r="348" spans="1:33" x14ac:dyDescent="0.25">
      <c r="A348" s="1">
        <v>44399</v>
      </c>
      <c r="B348">
        <v>21.620595999999999</v>
      </c>
      <c r="C348">
        <v>22.724588000000001</v>
      </c>
      <c r="D348">
        <v>21.186841999999999</v>
      </c>
      <c r="E348">
        <v>21.07114</v>
      </c>
      <c r="F348">
        <v>21.917259999999999</v>
      </c>
      <c r="G348">
        <v>21.970316</v>
      </c>
      <c r="H348">
        <v>20.574451</v>
      </c>
      <c r="I348">
        <v>21.145779999999998</v>
      </c>
      <c r="J348">
        <v>24.977255</v>
      </c>
      <c r="K348">
        <v>24.741419</v>
      </c>
      <c r="L348">
        <v>25.154938000000001</v>
      </c>
      <c r="M348">
        <v>22.226095000000001</v>
      </c>
      <c r="N348">
        <v>22.713118000000001</v>
      </c>
      <c r="O348">
        <v>24.911504999999998</v>
      </c>
      <c r="P348">
        <v>24.166626000000001</v>
      </c>
      <c r="Q348">
        <v>22.235811000000002</v>
      </c>
      <c r="R348">
        <v>24.782791</v>
      </c>
      <c r="S348">
        <v>21.058713999999998</v>
      </c>
      <c r="T348">
        <v>23.161429999999999</v>
      </c>
      <c r="U348">
        <v>24.583086000000002</v>
      </c>
      <c r="V348">
        <v>23.694714999999999</v>
      </c>
      <c r="W348">
        <v>24.529478000000001</v>
      </c>
      <c r="X348">
        <v>24.027771000000001</v>
      </c>
      <c r="Y348">
        <v>24.995142000000001</v>
      </c>
      <c r="Z348">
        <v>25.756865000000001</v>
      </c>
      <c r="AA348">
        <v>27.473092999999999</v>
      </c>
      <c r="AB348">
        <v>25.381826</v>
      </c>
      <c r="AC348">
        <v>23.522397999999999</v>
      </c>
      <c r="AD348">
        <v>25.509160999999999</v>
      </c>
      <c r="AE348">
        <v>18.922046999999999</v>
      </c>
      <c r="AF348">
        <v>26.034987999999998</v>
      </c>
      <c r="AG348">
        <v>26.032952999999999</v>
      </c>
    </row>
    <row r="349" spans="1:33" x14ac:dyDescent="0.25">
      <c r="A349" s="1">
        <v>44400</v>
      </c>
      <c r="B349">
        <v>21.34646</v>
      </c>
      <c r="C349">
        <v>22.747426999999998</v>
      </c>
      <c r="D349">
        <v>21.103487000000001</v>
      </c>
      <c r="E349">
        <v>20.984210000000001</v>
      </c>
      <c r="F349">
        <v>21.940414000000001</v>
      </c>
      <c r="G349">
        <v>22.010390000000001</v>
      </c>
      <c r="H349">
        <v>20.583867999999999</v>
      </c>
      <c r="I349">
        <v>21.343755999999999</v>
      </c>
      <c r="J349">
        <v>24.934128000000001</v>
      </c>
      <c r="K349">
        <v>24.810189999999999</v>
      </c>
      <c r="L349">
        <v>25.144556000000001</v>
      </c>
      <c r="M349">
        <v>22.261130000000001</v>
      </c>
      <c r="N349">
        <v>22.757843000000001</v>
      </c>
      <c r="O349">
        <v>24.927924999999998</v>
      </c>
      <c r="P349">
        <v>24.202992999999999</v>
      </c>
      <c r="Q349">
        <v>22.261710000000001</v>
      </c>
      <c r="R349">
        <v>24.815657000000002</v>
      </c>
      <c r="S349">
        <v>20.968119000000002</v>
      </c>
      <c r="T349">
        <v>23.172003</v>
      </c>
      <c r="U349">
        <v>24.566025</v>
      </c>
      <c r="V349">
        <v>23.773878</v>
      </c>
      <c r="W349">
        <v>24.286728</v>
      </c>
      <c r="X349">
        <v>24.101922999999999</v>
      </c>
      <c r="Y349">
        <v>25.076917999999999</v>
      </c>
      <c r="Z349">
        <v>25.73535</v>
      </c>
      <c r="AA349">
        <v>27.460241</v>
      </c>
      <c r="AB349">
        <v>25.490373999999999</v>
      </c>
      <c r="AC349">
        <v>23.289906999999999</v>
      </c>
      <c r="AD349">
        <v>25.491769999999999</v>
      </c>
      <c r="AE349">
        <v>18.987943999999999</v>
      </c>
      <c r="AF349">
        <v>26.028815999999999</v>
      </c>
      <c r="AG349">
        <v>26.267831999999999</v>
      </c>
    </row>
    <row r="350" spans="1:33" x14ac:dyDescent="0.25">
      <c r="A350" s="1">
        <v>44401</v>
      </c>
      <c r="B350">
        <v>21.136870999999999</v>
      </c>
      <c r="C350">
        <v>22.706177</v>
      </c>
      <c r="D350">
        <v>20.993345000000001</v>
      </c>
      <c r="E350">
        <v>20.912172000000002</v>
      </c>
      <c r="F350">
        <v>21.859242999999999</v>
      </c>
      <c r="G350">
        <v>22.000541999999999</v>
      </c>
      <c r="H350">
        <v>20.429303999999998</v>
      </c>
      <c r="I350">
        <v>21.103853000000001</v>
      </c>
      <c r="J350">
        <v>24.901772999999999</v>
      </c>
      <c r="K350">
        <v>24.804703</v>
      </c>
      <c r="L350">
        <v>25.124777000000002</v>
      </c>
      <c r="M350">
        <v>22.219581999999999</v>
      </c>
      <c r="N350">
        <v>22.648904999999999</v>
      </c>
      <c r="O350">
        <v>24.898541999999999</v>
      </c>
      <c r="P350">
        <v>24.161873</v>
      </c>
      <c r="Q350">
        <v>22.233374000000001</v>
      </c>
      <c r="R350">
        <v>24.800765999999999</v>
      </c>
      <c r="S350">
        <v>20.941248000000002</v>
      </c>
      <c r="T350">
        <v>23.112200000000001</v>
      </c>
      <c r="U350">
        <v>24.339216</v>
      </c>
      <c r="V350">
        <v>23.709119999999999</v>
      </c>
      <c r="W350">
        <v>24.093988</v>
      </c>
      <c r="X350">
        <v>24.082888000000001</v>
      </c>
      <c r="Y350">
        <v>25.550287000000001</v>
      </c>
      <c r="Z350">
        <v>25.684888999999998</v>
      </c>
      <c r="AA350">
        <v>27.494257000000001</v>
      </c>
      <c r="AB350">
        <v>25.979828000000001</v>
      </c>
      <c r="AC350">
        <v>23.56634</v>
      </c>
      <c r="AD350">
        <v>25.444161999999999</v>
      </c>
      <c r="AE350">
        <v>19.219024999999998</v>
      </c>
      <c r="AF350">
        <v>26.088213</v>
      </c>
      <c r="AG350">
        <v>26.713902999999998</v>
      </c>
    </row>
    <row r="351" spans="1:33" x14ac:dyDescent="0.25">
      <c r="A351" s="1">
        <v>44402</v>
      </c>
      <c r="B351">
        <v>20.900133</v>
      </c>
      <c r="C351">
        <v>22.391119</v>
      </c>
      <c r="D351">
        <v>20.787023999999999</v>
      </c>
      <c r="E351">
        <v>20.751481999999999</v>
      </c>
      <c r="F351">
        <v>21.561326999999999</v>
      </c>
      <c r="G351">
        <v>21.844733999999999</v>
      </c>
      <c r="H351">
        <v>20.235800000000001</v>
      </c>
      <c r="I351">
        <v>20.638956</v>
      </c>
      <c r="J351">
        <v>24.337557</v>
      </c>
      <c r="K351">
        <v>24.591072</v>
      </c>
      <c r="L351">
        <v>24.803281999999999</v>
      </c>
      <c r="M351">
        <v>22.012346000000001</v>
      </c>
      <c r="N351">
        <v>22.380731999999998</v>
      </c>
      <c r="O351">
        <v>24.605329999999999</v>
      </c>
      <c r="P351">
        <v>23.910920000000001</v>
      </c>
      <c r="Q351">
        <v>22.047674000000001</v>
      </c>
      <c r="R351">
        <v>24.535166</v>
      </c>
      <c r="S351">
        <v>20.702193999999999</v>
      </c>
      <c r="T351">
        <v>22.828773000000002</v>
      </c>
      <c r="U351">
        <v>24.012426000000001</v>
      </c>
      <c r="V351">
        <v>23.338004999999999</v>
      </c>
      <c r="W351">
        <v>24.057013000000001</v>
      </c>
      <c r="X351">
        <v>23.726493999999999</v>
      </c>
      <c r="Y351">
        <v>25.869935999999999</v>
      </c>
      <c r="Z351">
        <v>25.3552</v>
      </c>
      <c r="AA351">
        <v>27.464808000000001</v>
      </c>
      <c r="AB351">
        <v>26.279599999999999</v>
      </c>
      <c r="AC351">
        <v>23.884682000000002</v>
      </c>
      <c r="AD351">
        <v>25.209586999999999</v>
      </c>
      <c r="AE351">
        <v>19.421506999999998</v>
      </c>
      <c r="AF351">
        <v>26.146654000000002</v>
      </c>
      <c r="AG351">
        <v>27.056732</v>
      </c>
    </row>
    <row r="352" spans="1:33" x14ac:dyDescent="0.25">
      <c r="A352" s="1">
        <v>44403</v>
      </c>
      <c r="B352">
        <v>20.388376000000001</v>
      </c>
      <c r="C352">
        <v>22.035316000000002</v>
      </c>
      <c r="D352">
        <v>20.438649999999999</v>
      </c>
      <c r="E352">
        <v>20.419577</v>
      </c>
      <c r="F352">
        <v>21.314423000000001</v>
      </c>
      <c r="G352">
        <v>21.651886000000001</v>
      </c>
      <c r="H352">
        <v>20.012336999999999</v>
      </c>
      <c r="I352">
        <v>20.248415000000001</v>
      </c>
      <c r="J352">
        <v>23.922889999999999</v>
      </c>
      <c r="K352">
        <v>24.31391</v>
      </c>
      <c r="L352">
        <v>24.478902999999999</v>
      </c>
      <c r="M352">
        <v>21.797089</v>
      </c>
      <c r="N352">
        <v>22.114815</v>
      </c>
      <c r="O352">
        <v>24.290907000000001</v>
      </c>
      <c r="P352">
        <v>23.632431</v>
      </c>
      <c r="Q352">
        <v>21.841550000000002</v>
      </c>
      <c r="R352">
        <v>24.252244999999998</v>
      </c>
      <c r="S352">
        <v>20.193922000000001</v>
      </c>
      <c r="T352">
        <v>22.462617999999999</v>
      </c>
      <c r="U352">
        <v>23.794654999999999</v>
      </c>
      <c r="V352">
        <v>22.923973</v>
      </c>
      <c r="W352">
        <v>23.906707999999998</v>
      </c>
      <c r="X352">
        <v>23.275116000000001</v>
      </c>
      <c r="Y352">
        <v>25.917572</v>
      </c>
      <c r="Z352">
        <v>24.906829999999999</v>
      </c>
      <c r="AA352">
        <v>27.292059999999999</v>
      </c>
      <c r="AB352">
        <v>26.340337999999999</v>
      </c>
      <c r="AC352">
        <v>23.881509999999999</v>
      </c>
      <c r="AD352">
        <v>24.946037</v>
      </c>
      <c r="AE352">
        <v>19.345918999999999</v>
      </c>
      <c r="AF352">
        <v>26.117415999999999</v>
      </c>
      <c r="AG352">
        <v>27.118020999999999</v>
      </c>
    </row>
    <row r="353" spans="1:33" x14ac:dyDescent="0.25">
      <c r="A353" s="1">
        <v>44404</v>
      </c>
      <c r="B353">
        <v>20.444310000000002</v>
      </c>
      <c r="C353">
        <v>22.043089999999999</v>
      </c>
      <c r="D353">
        <v>20.273427999999999</v>
      </c>
      <c r="E353">
        <v>20.293617000000001</v>
      </c>
      <c r="F353">
        <v>21.390716999999999</v>
      </c>
      <c r="G353">
        <v>21.619928000000002</v>
      </c>
      <c r="H353">
        <v>20.034012000000001</v>
      </c>
      <c r="I353">
        <v>20.355587</v>
      </c>
      <c r="J353">
        <v>23.891884000000001</v>
      </c>
      <c r="K353">
        <v>24.232880000000002</v>
      </c>
      <c r="L353">
        <v>24.539643999999999</v>
      </c>
      <c r="M353">
        <v>21.797201000000001</v>
      </c>
      <c r="N353">
        <v>22.129518999999998</v>
      </c>
      <c r="O353">
        <v>24.418710000000001</v>
      </c>
      <c r="P353">
        <v>23.596388000000001</v>
      </c>
      <c r="Q353">
        <v>21.801607000000001</v>
      </c>
      <c r="R353">
        <v>24.349806000000001</v>
      </c>
      <c r="S353">
        <v>20.287600000000001</v>
      </c>
      <c r="T353">
        <v>22.490320000000001</v>
      </c>
      <c r="U353">
        <v>23.964376000000001</v>
      </c>
      <c r="V353">
        <v>23.114538</v>
      </c>
      <c r="W353">
        <v>24.029036000000001</v>
      </c>
      <c r="X353">
        <v>23.427025</v>
      </c>
      <c r="Y353">
        <v>26.038665999999999</v>
      </c>
      <c r="Z353">
        <v>24.856188</v>
      </c>
      <c r="AA353">
        <v>27.157758999999999</v>
      </c>
      <c r="AB353">
        <v>26.470379999999999</v>
      </c>
      <c r="AC353">
        <v>24.004460999999999</v>
      </c>
      <c r="AD353">
        <v>24.996248000000001</v>
      </c>
      <c r="AE353">
        <v>19.139064999999999</v>
      </c>
      <c r="AF353">
        <v>26.037946999999999</v>
      </c>
      <c r="AG353">
        <v>27.075430000000001</v>
      </c>
    </row>
    <row r="354" spans="1:33" x14ac:dyDescent="0.25">
      <c r="A354" s="1">
        <v>44405</v>
      </c>
      <c r="B354">
        <v>21.025320000000001</v>
      </c>
      <c r="C354">
        <v>22.334633</v>
      </c>
      <c r="D354">
        <v>20.612269999999999</v>
      </c>
      <c r="E354">
        <v>20.749314999999999</v>
      </c>
      <c r="F354">
        <v>21.753159</v>
      </c>
      <c r="G354">
        <v>21.755766000000001</v>
      </c>
      <c r="H354">
        <v>20.215440000000001</v>
      </c>
      <c r="I354">
        <v>21.128080000000001</v>
      </c>
      <c r="J354">
        <v>24.146736000000001</v>
      </c>
      <c r="K354">
        <v>24.279264000000001</v>
      </c>
      <c r="L354">
        <v>24.67623</v>
      </c>
      <c r="M354">
        <v>21.952508999999999</v>
      </c>
      <c r="N354">
        <v>22.330324000000001</v>
      </c>
      <c r="O354">
        <v>24.522977999999998</v>
      </c>
      <c r="P354">
        <v>23.729322</v>
      </c>
      <c r="Q354">
        <v>21.988282999999999</v>
      </c>
      <c r="R354">
        <v>24.455366000000001</v>
      </c>
      <c r="S354">
        <v>21.185392</v>
      </c>
      <c r="T354">
        <v>22.837202000000001</v>
      </c>
      <c r="U354">
        <v>24.265017</v>
      </c>
      <c r="V354">
        <v>23.359030000000001</v>
      </c>
      <c r="W354">
        <v>24.085685999999999</v>
      </c>
      <c r="X354">
        <v>23.716056999999999</v>
      </c>
      <c r="Y354">
        <v>26.309464999999999</v>
      </c>
      <c r="Z354">
        <v>24.952608000000001</v>
      </c>
      <c r="AA354">
        <v>27.097109</v>
      </c>
      <c r="AB354">
        <v>26.749770999999999</v>
      </c>
      <c r="AC354">
        <v>24.614232999999999</v>
      </c>
      <c r="AD354">
        <v>25.063645999999999</v>
      </c>
      <c r="AE354">
        <v>19.228985000000002</v>
      </c>
      <c r="AF354">
        <v>26.005495</v>
      </c>
      <c r="AG354">
        <v>27.096632</v>
      </c>
    </row>
    <row r="355" spans="1:33" x14ac:dyDescent="0.25">
      <c r="A355" s="1">
        <v>44406</v>
      </c>
      <c r="B355">
        <v>21.363302000000001</v>
      </c>
      <c r="C355">
        <v>22.411221999999999</v>
      </c>
      <c r="D355">
        <v>20.918213000000002</v>
      </c>
      <c r="E355">
        <v>21.153120000000001</v>
      </c>
      <c r="F355">
        <v>21.806135000000001</v>
      </c>
      <c r="G355">
        <v>21.853425999999999</v>
      </c>
      <c r="H355">
        <v>20.328341999999999</v>
      </c>
      <c r="I355">
        <v>21.199712999999999</v>
      </c>
      <c r="J355">
        <v>24.303003</v>
      </c>
      <c r="K355">
        <v>24.236666</v>
      </c>
      <c r="L355">
        <v>24.666687</v>
      </c>
      <c r="M355">
        <v>22.030021999999999</v>
      </c>
      <c r="N355">
        <v>22.316189999999999</v>
      </c>
      <c r="O355">
        <v>24.505828999999999</v>
      </c>
      <c r="P355">
        <v>23.678083000000001</v>
      </c>
      <c r="Q355">
        <v>22.079165</v>
      </c>
      <c r="R355">
        <v>24.447873999999999</v>
      </c>
      <c r="S355">
        <v>21.536386</v>
      </c>
      <c r="T355">
        <v>22.934555</v>
      </c>
      <c r="U355">
        <v>24.373816999999999</v>
      </c>
      <c r="V355">
        <v>23.408110000000001</v>
      </c>
      <c r="W355">
        <v>24.034331999999999</v>
      </c>
      <c r="X355">
        <v>23.835899999999999</v>
      </c>
      <c r="Y355">
        <v>26.384336000000001</v>
      </c>
      <c r="Z355">
        <v>25.043096999999999</v>
      </c>
      <c r="AA355">
        <v>27.250788</v>
      </c>
      <c r="AB355">
        <v>26.894393999999998</v>
      </c>
      <c r="AC355">
        <v>25.231382</v>
      </c>
      <c r="AD355">
        <v>25.060113999999999</v>
      </c>
      <c r="AE355">
        <v>19.617407</v>
      </c>
      <c r="AF355">
        <v>26.157875000000001</v>
      </c>
      <c r="AG355">
        <v>27.307894000000001</v>
      </c>
    </row>
    <row r="356" spans="1:33" x14ac:dyDescent="0.25">
      <c r="A356" s="1">
        <v>44407</v>
      </c>
      <c r="B356">
        <v>21.930382000000002</v>
      </c>
      <c r="C356">
        <v>22.580843000000002</v>
      </c>
      <c r="D356">
        <v>21.214843999999999</v>
      </c>
      <c r="E356">
        <v>21.498664999999999</v>
      </c>
      <c r="F356">
        <v>21.936743</v>
      </c>
      <c r="G356">
        <v>21.951547999999999</v>
      </c>
      <c r="H356">
        <v>20.527906000000002</v>
      </c>
      <c r="I356">
        <v>21.325824999999998</v>
      </c>
      <c r="J356">
        <v>24.562215999999999</v>
      </c>
      <c r="K356">
        <v>24.239145000000001</v>
      </c>
      <c r="L356">
        <v>24.784738999999998</v>
      </c>
      <c r="M356">
        <v>22.172668000000002</v>
      </c>
      <c r="N356">
        <v>22.433669999999999</v>
      </c>
      <c r="O356">
        <v>24.599167000000001</v>
      </c>
      <c r="P356">
        <v>23.715149</v>
      </c>
      <c r="Q356">
        <v>22.212297</v>
      </c>
      <c r="R356">
        <v>24.520440000000001</v>
      </c>
      <c r="S356">
        <v>21.94293</v>
      </c>
      <c r="T356">
        <v>23.158594000000001</v>
      </c>
      <c r="U356">
        <v>24.318586</v>
      </c>
      <c r="V356">
        <v>23.715197</v>
      </c>
      <c r="W356">
        <v>23.829032999999999</v>
      </c>
      <c r="X356">
        <v>24.254961000000002</v>
      </c>
      <c r="Y356">
        <v>26.421299999999999</v>
      </c>
      <c r="Z356">
        <v>25.206883999999999</v>
      </c>
      <c r="AA356">
        <v>27.457079</v>
      </c>
      <c r="AB356">
        <v>27.016638</v>
      </c>
      <c r="AC356">
        <v>25.810479999999998</v>
      </c>
      <c r="AD356">
        <v>25.161718</v>
      </c>
      <c r="AE356">
        <v>19.728437</v>
      </c>
      <c r="AF356">
        <v>26.364671999999999</v>
      </c>
      <c r="AG356">
        <v>27.601976000000001</v>
      </c>
    </row>
    <row r="357" spans="1:33" x14ac:dyDescent="0.25">
      <c r="A357" s="1">
        <v>44408</v>
      </c>
      <c r="B357">
        <v>21.847594999999998</v>
      </c>
      <c r="C357">
        <v>22.437822000000001</v>
      </c>
      <c r="D357">
        <v>21.25273</v>
      </c>
      <c r="E357">
        <v>21.504867999999998</v>
      </c>
      <c r="F357">
        <v>21.765332999999998</v>
      </c>
      <c r="G357">
        <v>21.928975999999999</v>
      </c>
      <c r="H357">
        <v>20.549885</v>
      </c>
      <c r="I357">
        <v>20.885622000000001</v>
      </c>
      <c r="J357">
        <v>24.318579</v>
      </c>
      <c r="K357">
        <v>24.14123</v>
      </c>
      <c r="L357">
        <v>24.672646</v>
      </c>
      <c r="M357">
        <v>22.146093</v>
      </c>
      <c r="N357">
        <v>22.348310000000001</v>
      </c>
      <c r="O357">
        <v>24.456339</v>
      </c>
      <c r="P357">
        <v>23.612725999999999</v>
      </c>
      <c r="Q357">
        <v>22.215235</v>
      </c>
      <c r="R357">
        <v>24.386253</v>
      </c>
      <c r="S357">
        <v>21.326920999999999</v>
      </c>
      <c r="T357">
        <v>23.046517999999999</v>
      </c>
      <c r="U357">
        <v>23.866147999999999</v>
      </c>
      <c r="V357">
        <v>23.638757999999999</v>
      </c>
      <c r="W357">
        <v>23.820404</v>
      </c>
      <c r="X357">
        <v>24.152327</v>
      </c>
      <c r="Y357">
        <v>26.415946999999999</v>
      </c>
      <c r="Z357">
        <v>25.061662999999999</v>
      </c>
      <c r="AA357">
        <v>27.509232999999998</v>
      </c>
      <c r="AB357">
        <v>27.132543999999999</v>
      </c>
      <c r="AC357">
        <v>26.013359999999999</v>
      </c>
      <c r="AD357">
        <v>25.132597000000001</v>
      </c>
      <c r="AE357">
        <v>19.684605000000001</v>
      </c>
      <c r="AF357">
        <v>26.535547000000001</v>
      </c>
      <c r="AG357">
        <v>27.754453999999999</v>
      </c>
    </row>
    <row r="358" spans="1:33" x14ac:dyDescent="0.25">
      <c r="A358" s="1">
        <v>44409</v>
      </c>
      <c r="B358">
        <v>21.749960000000002</v>
      </c>
      <c r="C358">
        <v>22.24954</v>
      </c>
      <c r="D358">
        <v>21.191603000000001</v>
      </c>
      <c r="E358">
        <v>21.420067</v>
      </c>
      <c r="F358">
        <v>21.624818999999999</v>
      </c>
      <c r="G358">
        <v>21.790552000000002</v>
      </c>
      <c r="H358">
        <v>20.599412999999998</v>
      </c>
      <c r="I358">
        <v>20.492574999999999</v>
      </c>
      <c r="J358">
        <v>23.599878</v>
      </c>
      <c r="K358">
        <v>23.917940000000002</v>
      </c>
      <c r="L358">
        <v>24.328844</v>
      </c>
      <c r="M358">
        <v>22.047280000000001</v>
      </c>
      <c r="N358">
        <v>22.190674000000001</v>
      </c>
      <c r="O358">
        <v>24.177316999999999</v>
      </c>
      <c r="P358">
        <v>23.445892000000001</v>
      </c>
      <c r="Q358">
        <v>22.106141999999998</v>
      </c>
      <c r="R358">
        <v>24.102042999999998</v>
      </c>
      <c r="S358">
        <v>20.781168000000001</v>
      </c>
      <c r="T358">
        <v>22.797561999999999</v>
      </c>
      <c r="U358">
        <v>23.741972000000001</v>
      </c>
      <c r="V358">
        <v>23.381834000000001</v>
      </c>
      <c r="W358">
        <v>23.849423999999999</v>
      </c>
      <c r="X358">
        <v>23.765684</v>
      </c>
      <c r="Y358">
        <v>26.443829999999998</v>
      </c>
      <c r="Z358">
        <v>24.715384</v>
      </c>
      <c r="AA358">
        <v>27.326875999999999</v>
      </c>
      <c r="AB358">
        <v>27.18685</v>
      </c>
      <c r="AC358">
        <v>25.66516</v>
      </c>
      <c r="AD358">
        <v>24.872498</v>
      </c>
      <c r="AE358">
        <v>19.757062999999999</v>
      </c>
      <c r="AF358">
        <v>26.556227</v>
      </c>
      <c r="AG358">
        <v>27.79194</v>
      </c>
    </row>
    <row r="359" spans="1:33" x14ac:dyDescent="0.25">
      <c r="A359" s="1">
        <v>44410</v>
      </c>
      <c r="B359">
        <v>21.548784000000001</v>
      </c>
      <c r="C359">
        <v>22.037254000000001</v>
      </c>
      <c r="D359">
        <v>21.053812000000001</v>
      </c>
      <c r="E359">
        <v>21.263058000000001</v>
      </c>
      <c r="F359">
        <v>21.494682000000001</v>
      </c>
      <c r="G359">
        <v>21.582811</v>
      </c>
      <c r="H359">
        <v>20.546475999999998</v>
      </c>
      <c r="I359">
        <v>20.241678</v>
      </c>
      <c r="J359">
        <v>22.964987000000001</v>
      </c>
      <c r="K359">
        <v>23.672685999999999</v>
      </c>
      <c r="L359">
        <v>23.91797</v>
      </c>
      <c r="M359">
        <v>21.837769000000002</v>
      </c>
      <c r="N359">
        <v>21.967058000000002</v>
      </c>
      <c r="O359">
        <v>23.884691</v>
      </c>
      <c r="P359">
        <v>23.201920000000001</v>
      </c>
      <c r="Q359">
        <v>21.83727</v>
      </c>
      <c r="R359">
        <v>23.802423000000001</v>
      </c>
      <c r="S359">
        <v>20.253588000000001</v>
      </c>
      <c r="T359">
        <v>22.500686999999999</v>
      </c>
      <c r="U359">
        <v>23.781341999999999</v>
      </c>
      <c r="V359">
        <v>23.051850999999999</v>
      </c>
      <c r="W359">
        <v>23.823847000000001</v>
      </c>
      <c r="X359">
        <v>23.408346000000002</v>
      </c>
      <c r="Y359">
        <v>26.341835</v>
      </c>
      <c r="Z359">
        <v>24.3477</v>
      </c>
      <c r="AA359">
        <v>27.021208000000001</v>
      </c>
      <c r="AB359">
        <v>27.033142000000002</v>
      </c>
      <c r="AC359">
        <v>24.790268000000001</v>
      </c>
      <c r="AD359">
        <v>24.520256</v>
      </c>
      <c r="AE359">
        <v>19.445377000000001</v>
      </c>
      <c r="AF359">
        <v>26.512207</v>
      </c>
      <c r="AG359">
        <v>27.509844000000001</v>
      </c>
    </row>
    <row r="360" spans="1:33" x14ac:dyDescent="0.25">
      <c r="A360" s="1">
        <v>44411</v>
      </c>
      <c r="B360">
        <v>21.75055</v>
      </c>
      <c r="C360">
        <v>21.967072999999999</v>
      </c>
      <c r="D360">
        <v>21.099104000000001</v>
      </c>
      <c r="E360">
        <v>21.292482</v>
      </c>
      <c r="F360">
        <v>21.510062999999999</v>
      </c>
      <c r="G360">
        <v>21.502737</v>
      </c>
      <c r="H360">
        <v>20.514116000000001</v>
      </c>
      <c r="I360">
        <v>20.225603</v>
      </c>
      <c r="J360">
        <v>22.941790000000001</v>
      </c>
      <c r="K360">
        <v>23.555413999999999</v>
      </c>
      <c r="L360">
        <v>23.784689</v>
      </c>
      <c r="M360">
        <v>21.703890000000001</v>
      </c>
      <c r="N360">
        <v>21.826550999999998</v>
      </c>
      <c r="O360">
        <v>23.75093</v>
      </c>
      <c r="P360">
        <v>23.063500999999999</v>
      </c>
      <c r="Q360">
        <v>21.666739</v>
      </c>
      <c r="R360">
        <v>23.650155999999999</v>
      </c>
      <c r="S360">
        <v>20.083977000000001</v>
      </c>
      <c r="T360">
        <v>22.375135</v>
      </c>
      <c r="U360">
        <v>23.863679999999999</v>
      </c>
      <c r="V360">
        <v>22.924676999999999</v>
      </c>
      <c r="W360">
        <v>23.734995000000001</v>
      </c>
      <c r="X360">
        <v>23.279340000000001</v>
      </c>
      <c r="Y360">
        <v>26.336545999999998</v>
      </c>
      <c r="Z360">
        <v>24.282945999999999</v>
      </c>
      <c r="AA360">
        <v>26.839632000000002</v>
      </c>
      <c r="AB360">
        <v>26.922502999999999</v>
      </c>
      <c r="AC360">
        <v>24.006903000000001</v>
      </c>
      <c r="AD360">
        <v>24.315826000000001</v>
      </c>
      <c r="AE360">
        <v>19.048462000000001</v>
      </c>
      <c r="AF360">
        <v>26.514917000000001</v>
      </c>
      <c r="AG360">
        <v>27.12942</v>
      </c>
    </row>
    <row r="361" spans="1:33" x14ac:dyDescent="0.25">
      <c r="A361" s="1">
        <v>44412</v>
      </c>
      <c r="B361">
        <v>21.536026</v>
      </c>
      <c r="C361">
        <v>21.723434000000001</v>
      </c>
      <c r="D361">
        <v>21.003101000000001</v>
      </c>
      <c r="E361">
        <v>21.131661999999999</v>
      </c>
      <c r="F361">
        <v>21.223185000000001</v>
      </c>
      <c r="G361">
        <v>21.415220000000001</v>
      </c>
      <c r="H361">
        <v>20.354298</v>
      </c>
      <c r="I361">
        <v>19.887893999999999</v>
      </c>
      <c r="J361">
        <v>23.043818000000002</v>
      </c>
      <c r="K361">
        <v>23.452359999999999</v>
      </c>
      <c r="L361">
        <v>23.668478</v>
      </c>
      <c r="M361">
        <v>21.564267999999998</v>
      </c>
      <c r="N361">
        <v>21.642212000000001</v>
      </c>
      <c r="O361">
        <v>23.560251000000001</v>
      </c>
      <c r="P361">
        <v>22.925470000000001</v>
      </c>
      <c r="Q361">
        <v>21.524965000000002</v>
      </c>
      <c r="R361">
        <v>23.453896</v>
      </c>
      <c r="S361">
        <v>19.934795000000001</v>
      </c>
      <c r="T361">
        <v>22.134588000000001</v>
      </c>
      <c r="U361">
        <v>23.727537000000002</v>
      </c>
      <c r="V361">
        <v>22.694769999999998</v>
      </c>
      <c r="W361">
        <v>23.780927999999999</v>
      </c>
      <c r="X361">
        <v>23.03734</v>
      </c>
      <c r="Y361">
        <v>25.837447999999998</v>
      </c>
      <c r="Z361">
        <v>24.195086</v>
      </c>
      <c r="AA361">
        <v>26.72589</v>
      </c>
      <c r="AB361">
        <v>26.325966000000001</v>
      </c>
      <c r="AC361">
        <v>23.415624999999999</v>
      </c>
      <c r="AD361">
        <v>24.115815999999999</v>
      </c>
      <c r="AE361">
        <v>18.722626000000002</v>
      </c>
      <c r="AF361">
        <v>26.489763</v>
      </c>
      <c r="AG361">
        <v>26.627106000000001</v>
      </c>
    </row>
    <row r="362" spans="1:33" x14ac:dyDescent="0.25">
      <c r="A362" s="1">
        <v>44413</v>
      </c>
      <c r="B362">
        <v>21.180342</v>
      </c>
      <c r="C362">
        <v>21.41039</v>
      </c>
      <c r="D362">
        <v>20.739301999999999</v>
      </c>
      <c r="E362">
        <v>20.820425</v>
      </c>
      <c r="F362">
        <v>20.963975999999999</v>
      </c>
      <c r="G362">
        <v>21.154692000000001</v>
      </c>
      <c r="H362">
        <v>20.291792000000001</v>
      </c>
      <c r="I362">
        <v>19.686644000000001</v>
      </c>
      <c r="J362">
        <v>22.831388</v>
      </c>
      <c r="K362">
        <v>23.229821999999999</v>
      </c>
      <c r="L362">
        <v>23.368347</v>
      </c>
      <c r="M362">
        <v>21.310547</v>
      </c>
      <c r="N362">
        <v>21.429404999999999</v>
      </c>
      <c r="O362">
        <v>23.290215</v>
      </c>
      <c r="P362">
        <v>22.68027</v>
      </c>
      <c r="Q362">
        <v>21.262395999999999</v>
      </c>
      <c r="R362">
        <v>23.191839999999999</v>
      </c>
      <c r="S362">
        <v>19.547104000000001</v>
      </c>
      <c r="T362">
        <v>21.868539999999999</v>
      </c>
      <c r="U362">
        <v>23.520952000000001</v>
      </c>
      <c r="V362">
        <v>22.423698000000002</v>
      </c>
      <c r="W362">
        <v>23.638763000000001</v>
      </c>
      <c r="X362">
        <v>22.816590999999999</v>
      </c>
      <c r="Y362">
        <v>24.936979999999998</v>
      </c>
      <c r="Z362">
        <v>23.893419999999999</v>
      </c>
      <c r="AA362">
        <v>26.52534</v>
      </c>
      <c r="AB362">
        <v>25.524281999999999</v>
      </c>
      <c r="AC362">
        <v>22.441815999999999</v>
      </c>
      <c r="AD362">
        <v>23.893999999999998</v>
      </c>
      <c r="AE362">
        <v>18.774366000000001</v>
      </c>
      <c r="AF362">
        <v>26.350145000000001</v>
      </c>
      <c r="AG362">
        <v>25.948877</v>
      </c>
    </row>
    <row r="363" spans="1:33" x14ac:dyDescent="0.25">
      <c r="A363" s="1">
        <v>44414</v>
      </c>
      <c r="B363">
        <v>21.062670000000001</v>
      </c>
      <c r="C363">
        <v>21.424253</v>
      </c>
      <c r="D363">
        <v>20.619799</v>
      </c>
      <c r="E363">
        <v>20.673041999999999</v>
      </c>
      <c r="F363">
        <v>21.011118</v>
      </c>
      <c r="G363">
        <v>21.117563000000001</v>
      </c>
      <c r="H363">
        <v>20.33606</v>
      </c>
      <c r="I363">
        <v>19.922799999999999</v>
      </c>
      <c r="J363">
        <v>22.860925999999999</v>
      </c>
      <c r="K363">
        <v>23.122772000000001</v>
      </c>
      <c r="L363">
        <v>23.320986000000001</v>
      </c>
      <c r="M363">
        <v>21.27017</v>
      </c>
      <c r="N363">
        <v>21.428583</v>
      </c>
      <c r="O363">
        <v>23.255869000000001</v>
      </c>
      <c r="P363">
        <v>22.616533</v>
      </c>
      <c r="Q363">
        <v>21.189367000000001</v>
      </c>
      <c r="R363">
        <v>23.163553</v>
      </c>
      <c r="S363">
        <v>19.617609999999999</v>
      </c>
      <c r="T363">
        <v>21.835619000000001</v>
      </c>
      <c r="U363">
        <v>23.637283</v>
      </c>
      <c r="V363">
        <v>22.508738000000001</v>
      </c>
      <c r="W363">
        <v>23.720231999999999</v>
      </c>
      <c r="X363">
        <v>22.864252</v>
      </c>
      <c r="Y363">
        <v>24.338342999999998</v>
      </c>
      <c r="Z363">
        <v>23.788419999999999</v>
      </c>
      <c r="AA363">
        <v>26.236792000000001</v>
      </c>
      <c r="AB363">
        <v>24.960868999999999</v>
      </c>
      <c r="AC363">
        <v>21.382210000000001</v>
      </c>
      <c r="AD363">
        <v>23.799543</v>
      </c>
      <c r="AE363">
        <v>18.472113</v>
      </c>
      <c r="AF363">
        <v>25.9621</v>
      </c>
      <c r="AG363">
        <v>25.545385</v>
      </c>
    </row>
    <row r="364" spans="1:33" x14ac:dyDescent="0.25">
      <c r="A364" s="1">
        <v>44415</v>
      </c>
      <c r="B364">
        <v>21.071960000000001</v>
      </c>
      <c r="C364">
        <v>21.609299</v>
      </c>
      <c r="D364">
        <v>20.687607</v>
      </c>
      <c r="E364">
        <v>20.703274</v>
      </c>
      <c r="F364">
        <v>21.188292000000001</v>
      </c>
      <c r="G364">
        <v>21.184609999999999</v>
      </c>
      <c r="H364">
        <v>20.384755999999999</v>
      </c>
      <c r="I364">
        <v>20.429276000000002</v>
      </c>
      <c r="J364">
        <v>23.168495</v>
      </c>
      <c r="K364">
        <v>23.236581999999999</v>
      </c>
      <c r="L364">
        <v>23.432756000000001</v>
      </c>
      <c r="M364">
        <v>21.332373</v>
      </c>
      <c r="N364">
        <v>21.536428000000001</v>
      </c>
      <c r="O364">
        <v>23.335135999999999</v>
      </c>
      <c r="P364">
        <v>22.654083</v>
      </c>
      <c r="Q364">
        <v>21.287312</v>
      </c>
      <c r="R364">
        <v>23.225905999999998</v>
      </c>
      <c r="S364">
        <v>19.987992999999999</v>
      </c>
      <c r="T364">
        <v>21.977974</v>
      </c>
      <c r="U364">
        <v>23.718233000000001</v>
      </c>
      <c r="V364">
        <v>22.572935000000001</v>
      </c>
      <c r="W364">
        <v>23.54167</v>
      </c>
      <c r="X364">
        <v>22.897957000000002</v>
      </c>
      <c r="Y364">
        <v>24.495142000000001</v>
      </c>
      <c r="Z364">
        <v>23.849534999999999</v>
      </c>
      <c r="AA364">
        <v>26.087858000000001</v>
      </c>
      <c r="AB364">
        <v>25.065722000000001</v>
      </c>
      <c r="AC364">
        <v>21.124575</v>
      </c>
      <c r="AD364">
        <v>23.771965000000002</v>
      </c>
      <c r="AE364">
        <v>17.807528000000001</v>
      </c>
      <c r="AF364">
        <v>25.619757</v>
      </c>
      <c r="AG364">
        <v>25.482313000000001</v>
      </c>
    </row>
    <row r="365" spans="1:33" x14ac:dyDescent="0.25">
      <c r="A365" s="1">
        <v>44416</v>
      </c>
      <c r="B365">
        <v>20.973658</v>
      </c>
      <c r="C365">
        <v>21.657071999999999</v>
      </c>
      <c r="D365">
        <v>20.622879999999999</v>
      </c>
      <c r="E365">
        <v>20.690023</v>
      </c>
      <c r="F365">
        <v>21.181566</v>
      </c>
      <c r="G365">
        <v>21.208335999999999</v>
      </c>
      <c r="H365">
        <v>20.356252999999999</v>
      </c>
      <c r="I365">
        <v>20.422781000000001</v>
      </c>
      <c r="J365">
        <v>23.391279999999998</v>
      </c>
      <c r="K365">
        <v>23.284690000000001</v>
      </c>
      <c r="L365">
        <v>23.516760000000001</v>
      </c>
      <c r="M365">
        <v>21.342203000000001</v>
      </c>
      <c r="N365">
        <v>21.54468</v>
      </c>
      <c r="O365">
        <v>23.398721999999999</v>
      </c>
      <c r="P365">
        <v>22.68807</v>
      </c>
      <c r="Q365">
        <v>21.301748</v>
      </c>
      <c r="R365">
        <v>23.267042</v>
      </c>
      <c r="S365">
        <v>20.195537999999999</v>
      </c>
      <c r="T365">
        <v>22.022675</v>
      </c>
      <c r="U365">
        <v>23.577138999999999</v>
      </c>
      <c r="V365">
        <v>22.591116</v>
      </c>
      <c r="W365">
        <v>23.253029000000002</v>
      </c>
      <c r="X365">
        <v>22.966111999999999</v>
      </c>
      <c r="Y365">
        <v>24.8752</v>
      </c>
      <c r="Z365">
        <v>24.040392000000001</v>
      </c>
      <c r="AA365">
        <v>26.166452</v>
      </c>
      <c r="AB365">
        <v>25.406476999999999</v>
      </c>
      <c r="AC365">
        <v>21.645696999999998</v>
      </c>
      <c r="AD365">
        <v>23.827383000000001</v>
      </c>
      <c r="AE365">
        <v>18.168645999999999</v>
      </c>
      <c r="AF365">
        <v>25.485361000000001</v>
      </c>
      <c r="AG365">
        <v>25.741934000000001</v>
      </c>
    </row>
    <row r="366" spans="1:33" x14ac:dyDescent="0.25">
      <c r="A366" s="1">
        <v>44417</v>
      </c>
      <c r="B366">
        <v>21.156147000000001</v>
      </c>
      <c r="C366">
        <v>21.802195000000001</v>
      </c>
      <c r="D366">
        <v>20.636620000000001</v>
      </c>
      <c r="E366">
        <v>20.748783</v>
      </c>
      <c r="F366">
        <v>21.265053000000002</v>
      </c>
      <c r="G366">
        <v>21.294060000000002</v>
      </c>
      <c r="H366">
        <v>20.361350000000002</v>
      </c>
      <c r="I366">
        <v>20.606085</v>
      </c>
      <c r="J366">
        <v>23.737755</v>
      </c>
      <c r="K366">
        <v>23.410789999999999</v>
      </c>
      <c r="L366">
        <v>23.743749999999999</v>
      </c>
      <c r="M366">
        <v>21.436347999999999</v>
      </c>
      <c r="N366">
        <v>21.676012</v>
      </c>
      <c r="O366">
        <v>23.595984999999999</v>
      </c>
      <c r="P366">
        <v>22.841608000000001</v>
      </c>
      <c r="Q366">
        <v>21.392593000000002</v>
      </c>
      <c r="R366">
        <v>23.444631999999999</v>
      </c>
      <c r="S366">
        <v>20.438880000000001</v>
      </c>
      <c r="T366">
        <v>22.162203000000002</v>
      </c>
      <c r="U366">
        <v>23.424192000000001</v>
      </c>
      <c r="V366">
        <v>22.790237000000001</v>
      </c>
      <c r="W366">
        <v>23.119505</v>
      </c>
      <c r="X366">
        <v>23.217473999999999</v>
      </c>
      <c r="Y366">
        <v>25.159357</v>
      </c>
      <c r="Z366">
        <v>24.362648</v>
      </c>
      <c r="AA366">
        <v>26.349167000000001</v>
      </c>
      <c r="AB366">
        <v>25.66169</v>
      </c>
      <c r="AC366">
        <v>22.4269</v>
      </c>
      <c r="AD366">
        <v>24.035591</v>
      </c>
      <c r="AE366">
        <v>18.788591</v>
      </c>
      <c r="AF366">
        <v>25.359311999999999</v>
      </c>
      <c r="AG366">
        <v>26.085989999999999</v>
      </c>
    </row>
    <row r="367" spans="1:33" x14ac:dyDescent="0.25">
      <c r="A367" s="1">
        <v>44418</v>
      </c>
      <c r="B367">
        <v>21.235668</v>
      </c>
      <c r="C367">
        <v>21.917349000000002</v>
      </c>
      <c r="D367">
        <v>20.711179999999999</v>
      </c>
      <c r="E367">
        <v>20.851960999999999</v>
      </c>
      <c r="F367">
        <v>21.307403999999998</v>
      </c>
      <c r="G367">
        <v>21.347916000000001</v>
      </c>
      <c r="H367">
        <v>20.381495000000001</v>
      </c>
      <c r="I367">
        <v>20.692796999999999</v>
      </c>
      <c r="J367">
        <v>23.666043999999999</v>
      </c>
      <c r="K367">
        <v>23.451903999999999</v>
      </c>
      <c r="L367">
        <v>23.805793999999999</v>
      </c>
      <c r="M367">
        <v>21.473692</v>
      </c>
      <c r="N367">
        <v>21.701445</v>
      </c>
      <c r="O367">
        <v>23.672262</v>
      </c>
      <c r="P367">
        <v>22.915521999999999</v>
      </c>
      <c r="Q367">
        <v>21.442564000000001</v>
      </c>
      <c r="R367">
        <v>23.538682999999999</v>
      </c>
      <c r="S367">
        <v>20.650414000000001</v>
      </c>
      <c r="T367">
        <v>22.286158</v>
      </c>
      <c r="U367">
        <v>23.283480000000001</v>
      </c>
      <c r="V367">
        <v>22.887121</v>
      </c>
      <c r="W367">
        <v>23.237406</v>
      </c>
      <c r="X367">
        <v>23.304321000000002</v>
      </c>
      <c r="Y367">
        <v>25.537185999999998</v>
      </c>
      <c r="Z367">
        <v>24.503319000000001</v>
      </c>
      <c r="AA367">
        <v>26.400601999999999</v>
      </c>
      <c r="AB367">
        <v>25.97786</v>
      </c>
      <c r="AC367">
        <v>23.107613000000001</v>
      </c>
      <c r="AD367">
        <v>24.142385000000001</v>
      </c>
      <c r="AE367">
        <v>18.895233000000001</v>
      </c>
      <c r="AF367">
        <v>25.203572999999999</v>
      </c>
      <c r="AG367">
        <v>26.276786999999999</v>
      </c>
    </row>
    <row r="368" spans="1:33" x14ac:dyDescent="0.25">
      <c r="A368" s="1">
        <v>44419</v>
      </c>
      <c r="B368">
        <v>21.456686000000001</v>
      </c>
      <c r="C368">
        <v>22.075780000000002</v>
      </c>
      <c r="D368">
        <v>20.889085999999999</v>
      </c>
      <c r="E368">
        <v>21.068731</v>
      </c>
      <c r="F368">
        <v>21.447893000000001</v>
      </c>
      <c r="G368">
        <v>21.451941999999999</v>
      </c>
      <c r="H368">
        <v>20.472860000000001</v>
      </c>
      <c r="I368">
        <v>21.010850000000001</v>
      </c>
      <c r="J368">
        <v>23.622301</v>
      </c>
      <c r="K368">
        <v>23.462430999999999</v>
      </c>
      <c r="L368">
        <v>23.894456999999999</v>
      </c>
      <c r="M368">
        <v>21.576027</v>
      </c>
      <c r="N368">
        <v>21.798500000000001</v>
      </c>
      <c r="O368">
        <v>23.751852</v>
      </c>
      <c r="P368">
        <v>22.992643000000001</v>
      </c>
      <c r="Q368">
        <v>21.543282999999999</v>
      </c>
      <c r="R368">
        <v>23.622786999999999</v>
      </c>
      <c r="S368">
        <v>21.085021999999999</v>
      </c>
      <c r="T368">
        <v>22.485282999999999</v>
      </c>
      <c r="U368">
        <v>23.463357999999999</v>
      </c>
      <c r="V368">
        <v>23.012298999999999</v>
      </c>
      <c r="W368">
        <v>23.354980000000001</v>
      </c>
      <c r="X368">
        <v>23.397836999999999</v>
      </c>
      <c r="Y368">
        <v>25.870460000000001</v>
      </c>
      <c r="Z368">
        <v>24.608484000000001</v>
      </c>
      <c r="AA368">
        <v>26.440899999999999</v>
      </c>
      <c r="AB368">
        <v>26.269518000000001</v>
      </c>
      <c r="AC368">
        <v>23.865500000000001</v>
      </c>
      <c r="AD368">
        <v>24.219711</v>
      </c>
      <c r="AE368">
        <v>19.024229999999999</v>
      </c>
      <c r="AF368">
        <v>25.097615999999999</v>
      </c>
      <c r="AG368">
        <v>26.451301999999998</v>
      </c>
    </row>
    <row r="369" spans="1:33" x14ac:dyDescent="0.25">
      <c r="A369" s="1">
        <v>44420</v>
      </c>
      <c r="B369">
        <v>21.497848999999999</v>
      </c>
      <c r="C369">
        <v>22.030182</v>
      </c>
      <c r="D369">
        <v>20.945208000000001</v>
      </c>
      <c r="E369">
        <v>21.154062</v>
      </c>
      <c r="F369">
        <v>21.44557</v>
      </c>
      <c r="G369">
        <v>21.537528999999999</v>
      </c>
      <c r="H369">
        <v>20.563261000000001</v>
      </c>
      <c r="I369">
        <v>20.982990000000001</v>
      </c>
      <c r="J369">
        <v>23.648865000000001</v>
      </c>
      <c r="K369">
        <v>23.407091000000001</v>
      </c>
      <c r="L369">
        <v>23.852678000000001</v>
      </c>
      <c r="M369">
        <v>21.645689000000001</v>
      </c>
      <c r="N369">
        <v>21.825073</v>
      </c>
      <c r="O369">
        <v>23.671188000000001</v>
      </c>
      <c r="P369">
        <v>23.012568000000002</v>
      </c>
      <c r="Q369">
        <v>21.613993000000001</v>
      </c>
      <c r="R369">
        <v>23.573736</v>
      </c>
      <c r="S369">
        <v>21.092058000000002</v>
      </c>
      <c r="T369">
        <v>22.521996999999999</v>
      </c>
      <c r="U369">
        <v>23.434525000000001</v>
      </c>
      <c r="V369">
        <v>22.959548999999999</v>
      </c>
      <c r="W369">
        <v>23.291418</v>
      </c>
      <c r="X369">
        <v>23.296033999999999</v>
      </c>
      <c r="Y369">
        <v>25.678984</v>
      </c>
      <c r="Z369">
        <v>24.497479999999999</v>
      </c>
      <c r="AA369">
        <v>26.472807</v>
      </c>
      <c r="AB369">
        <v>26.15136</v>
      </c>
      <c r="AC369">
        <v>24.253744000000001</v>
      </c>
      <c r="AD369">
        <v>24.209700000000002</v>
      </c>
      <c r="AE369">
        <v>19.027844999999999</v>
      </c>
      <c r="AF369">
        <v>25.048120000000001</v>
      </c>
      <c r="AG369">
        <v>26.464124999999999</v>
      </c>
    </row>
    <row r="370" spans="1:33" x14ac:dyDescent="0.25">
      <c r="A370" s="1">
        <v>44421</v>
      </c>
      <c r="B370">
        <v>21.535995</v>
      </c>
      <c r="C370">
        <v>22.021225000000001</v>
      </c>
      <c r="D370">
        <v>20.963788999999998</v>
      </c>
      <c r="E370">
        <v>21.188058999999999</v>
      </c>
      <c r="F370">
        <v>21.483602999999999</v>
      </c>
      <c r="G370">
        <v>21.574677999999999</v>
      </c>
      <c r="H370">
        <v>20.689229999999998</v>
      </c>
      <c r="I370">
        <v>20.95673</v>
      </c>
      <c r="J370">
        <v>23.874590000000001</v>
      </c>
      <c r="K370">
        <v>23.421666999999999</v>
      </c>
      <c r="L370">
        <v>23.937692999999999</v>
      </c>
      <c r="M370">
        <v>21.71171</v>
      </c>
      <c r="N370">
        <v>21.894742999999998</v>
      </c>
      <c r="O370">
        <v>23.742699000000002</v>
      </c>
      <c r="P370">
        <v>23.068335999999999</v>
      </c>
      <c r="Q370">
        <v>21.680724999999999</v>
      </c>
      <c r="R370">
        <v>23.636880000000001</v>
      </c>
      <c r="S370">
        <v>20.8001</v>
      </c>
      <c r="T370">
        <v>22.470146</v>
      </c>
      <c r="U370">
        <v>23.30509</v>
      </c>
      <c r="V370">
        <v>22.884793999999999</v>
      </c>
      <c r="W370">
        <v>23.269651</v>
      </c>
      <c r="X370">
        <v>23.176817</v>
      </c>
      <c r="Y370">
        <v>25.093354999999999</v>
      </c>
      <c r="Z370">
        <v>24.361989999999999</v>
      </c>
      <c r="AA370">
        <v>26.444181</v>
      </c>
      <c r="AB370">
        <v>25.654973999999999</v>
      </c>
      <c r="AC370">
        <v>24.251352000000001</v>
      </c>
      <c r="AD370">
        <v>24.276820000000001</v>
      </c>
      <c r="AE370">
        <v>18.961995999999999</v>
      </c>
      <c r="AF370">
        <v>24.999818999999999</v>
      </c>
      <c r="AG370">
        <v>26.186921999999999</v>
      </c>
    </row>
    <row r="371" spans="1:33" x14ac:dyDescent="0.25">
      <c r="A371" s="1">
        <v>44422</v>
      </c>
      <c r="B371">
        <v>21.817029999999999</v>
      </c>
      <c r="C371">
        <v>22.218648999999999</v>
      </c>
      <c r="D371">
        <v>21.141684000000001</v>
      </c>
      <c r="E371">
        <v>21.363904999999999</v>
      </c>
      <c r="F371">
        <v>21.633545000000002</v>
      </c>
      <c r="G371">
        <v>21.672720000000002</v>
      </c>
      <c r="H371">
        <v>20.897644</v>
      </c>
      <c r="I371">
        <v>21.237590000000001</v>
      </c>
      <c r="J371">
        <v>24.208399</v>
      </c>
      <c r="K371">
        <v>23.501169999999998</v>
      </c>
      <c r="L371">
        <v>24.123037</v>
      </c>
      <c r="M371">
        <v>21.863752000000002</v>
      </c>
      <c r="N371">
        <v>22.066948</v>
      </c>
      <c r="O371">
        <v>23.891335999999999</v>
      </c>
      <c r="P371">
        <v>23.165503000000001</v>
      </c>
      <c r="Q371">
        <v>21.847398999999999</v>
      </c>
      <c r="R371">
        <v>23.786135000000002</v>
      </c>
      <c r="S371">
        <v>20.945581000000001</v>
      </c>
      <c r="T371">
        <v>22.569742000000002</v>
      </c>
      <c r="U371">
        <v>23.48837</v>
      </c>
      <c r="V371">
        <v>23.000921000000002</v>
      </c>
      <c r="W371">
        <v>23.579284999999999</v>
      </c>
      <c r="X371">
        <v>23.334054999999999</v>
      </c>
      <c r="Y371">
        <v>24.774764999999999</v>
      </c>
      <c r="Z371">
        <v>24.454542</v>
      </c>
      <c r="AA371">
        <v>26.489236999999999</v>
      </c>
      <c r="AB371">
        <v>25.423421999999999</v>
      </c>
      <c r="AC371">
        <v>24.303156000000001</v>
      </c>
      <c r="AD371">
        <v>24.42484</v>
      </c>
      <c r="AE371">
        <v>18.97298</v>
      </c>
      <c r="AF371">
        <v>25.171980000000001</v>
      </c>
      <c r="AG371">
        <v>26.236961000000001</v>
      </c>
    </row>
    <row r="372" spans="1:33" x14ac:dyDescent="0.25">
      <c r="A372" s="1">
        <v>44423</v>
      </c>
      <c r="B372">
        <v>22.005452999999999</v>
      </c>
      <c r="C372">
        <v>22.34619</v>
      </c>
      <c r="D372">
        <v>21.300833000000001</v>
      </c>
      <c r="E372">
        <v>21.526776999999999</v>
      </c>
      <c r="F372">
        <v>21.731867000000001</v>
      </c>
      <c r="G372">
        <v>21.735209000000001</v>
      </c>
      <c r="H372">
        <v>20.990743999999999</v>
      </c>
      <c r="I372">
        <v>21.148056</v>
      </c>
      <c r="J372">
        <v>24.404648000000002</v>
      </c>
      <c r="K372">
        <v>23.625091999999999</v>
      </c>
      <c r="L372">
        <v>24.268908</v>
      </c>
      <c r="M372">
        <v>21.979973000000001</v>
      </c>
      <c r="N372">
        <v>22.175545</v>
      </c>
      <c r="O372">
        <v>24.035554999999999</v>
      </c>
      <c r="P372">
        <v>23.261804999999999</v>
      </c>
      <c r="Q372">
        <v>21.963293</v>
      </c>
      <c r="R372">
        <v>23.921983999999998</v>
      </c>
      <c r="S372">
        <v>21.14714</v>
      </c>
      <c r="T372">
        <v>22.676447</v>
      </c>
      <c r="U372">
        <v>23.768135000000001</v>
      </c>
      <c r="V372">
        <v>23.104136</v>
      </c>
      <c r="W372">
        <v>23.638956</v>
      </c>
      <c r="X372">
        <v>23.467168999999998</v>
      </c>
      <c r="Y372">
        <v>24.969728</v>
      </c>
      <c r="Z372">
        <v>24.612639999999999</v>
      </c>
      <c r="AA372">
        <v>26.576460000000001</v>
      </c>
      <c r="AB372">
        <v>25.704993999999999</v>
      </c>
      <c r="AC372">
        <v>24.333939000000001</v>
      </c>
      <c r="AD372">
        <v>24.541236999999999</v>
      </c>
      <c r="AE372">
        <v>20.107593999999999</v>
      </c>
      <c r="AF372">
        <v>25.402574999999999</v>
      </c>
      <c r="AG372">
        <v>26.573270000000001</v>
      </c>
    </row>
    <row r="373" spans="1:33" x14ac:dyDescent="0.25">
      <c r="A373" s="1">
        <v>44424</v>
      </c>
      <c r="B373">
        <v>22.391504000000001</v>
      </c>
      <c r="C373">
        <v>22.623550000000002</v>
      </c>
      <c r="D373">
        <v>21.552996</v>
      </c>
      <c r="E373">
        <v>21.738036999999998</v>
      </c>
      <c r="F373">
        <v>22.058014</v>
      </c>
      <c r="G373">
        <v>21.890775999999999</v>
      </c>
      <c r="H373">
        <v>21.122392999999999</v>
      </c>
      <c r="I373">
        <v>21.506696999999999</v>
      </c>
      <c r="J373">
        <v>24.719512999999999</v>
      </c>
      <c r="K373">
        <v>23.812567000000001</v>
      </c>
      <c r="L373">
        <v>24.481584999999999</v>
      </c>
      <c r="M373">
        <v>22.197668</v>
      </c>
      <c r="N373">
        <v>22.396775999999999</v>
      </c>
      <c r="O373">
        <v>24.271059000000001</v>
      </c>
      <c r="P373">
        <v>23.461881999999999</v>
      </c>
      <c r="Q373">
        <v>22.146415999999999</v>
      </c>
      <c r="R373">
        <v>24.122551000000001</v>
      </c>
      <c r="S373">
        <v>21.698226999999999</v>
      </c>
      <c r="T373">
        <v>22.946366999999999</v>
      </c>
      <c r="U373">
        <v>23.945854000000001</v>
      </c>
      <c r="V373">
        <v>23.398803999999998</v>
      </c>
      <c r="W373">
        <v>23.621523</v>
      </c>
      <c r="X373">
        <v>23.773771</v>
      </c>
      <c r="Y373">
        <v>25.308949999999999</v>
      </c>
      <c r="Z373">
        <v>24.82705</v>
      </c>
      <c r="AA373">
        <v>26.677720999999998</v>
      </c>
      <c r="AB373">
        <v>26.00516</v>
      </c>
      <c r="AC373">
        <v>24.452780000000001</v>
      </c>
      <c r="AD373">
        <v>24.709951</v>
      </c>
      <c r="AE373">
        <v>20.722559</v>
      </c>
      <c r="AF373">
        <v>25.596273</v>
      </c>
      <c r="AG373">
        <v>26.657356</v>
      </c>
    </row>
    <row r="374" spans="1:33" x14ac:dyDescent="0.25">
      <c r="A374" s="1">
        <v>44425</v>
      </c>
      <c r="B374">
        <v>22.291687</v>
      </c>
      <c r="C374">
        <v>22.546831000000001</v>
      </c>
      <c r="D374">
        <v>21.61384</v>
      </c>
      <c r="E374">
        <v>21.753461999999999</v>
      </c>
      <c r="F374">
        <v>21.938265000000001</v>
      </c>
      <c r="G374">
        <v>21.923765</v>
      </c>
      <c r="H374">
        <v>21.167662</v>
      </c>
      <c r="I374">
        <v>21.312270000000002</v>
      </c>
      <c r="J374">
        <v>24.704381999999999</v>
      </c>
      <c r="K374">
        <v>23.936364999999999</v>
      </c>
      <c r="L374">
        <v>24.493248000000001</v>
      </c>
      <c r="M374">
        <v>22.123566</v>
      </c>
      <c r="N374">
        <v>22.387595999999998</v>
      </c>
      <c r="O374">
        <v>24.265152</v>
      </c>
      <c r="P374">
        <v>23.55584</v>
      </c>
      <c r="Q374">
        <v>22.147326</v>
      </c>
      <c r="R374">
        <v>24.124220000000001</v>
      </c>
      <c r="S374">
        <v>21.525037999999999</v>
      </c>
      <c r="T374">
        <v>22.950792</v>
      </c>
      <c r="U374">
        <v>23.77562</v>
      </c>
      <c r="V374">
        <v>23.379304999999999</v>
      </c>
      <c r="W374">
        <v>23.743296000000001</v>
      </c>
      <c r="X374">
        <v>23.771356999999998</v>
      </c>
      <c r="Y374">
        <v>25.005707000000001</v>
      </c>
      <c r="Z374">
        <v>24.879438</v>
      </c>
      <c r="AA374">
        <v>26.420743999999999</v>
      </c>
      <c r="AB374">
        <v>25.572984999999999</v>
      </c>
      <c r="AC374">
        <v>24.246773000000001</v>
      </c>
      <c r="AD374">
        <v>24.729935000000001</v>
      </c>
      <c r="AE374">
        <v>20.534300000000002</v>
      </c>
      <c r="AF374">
        <v>25.466936</v>
      </c>
      <c r="AG374">
        <v>25.825126999999998</v>
      </c>
    </row>
    <row r="375" spans="1:33" x14ac:dyDescent="0.25">
      <c r="A375" s="1">
        <v>44426</v>
      </c>
      <c r="B375">
        <v>21.891173999999999</v>
      </c>
      <c r="C375">
        <v>22.354818000000002</v>
      </c>
      <c r="D375">
        <v>21.446166999999999</v>
      </c>
      <c r="E375">
        <v>21.508614999999999</v>
      </c>
      <c r="F375">
        <v>21.722895000000001</v>
      </c>
      <c r="G375">
        <v>21.856093999999999</v>
      </c>
      <c r="H375">
        <v>21.045598999999999</v>
      </c>
      <c r="I375">
        <v>20.958310999999998</v>
      </c>
      <c r="J375">
        <v>24.006789999999999</v>
      </c>
      <c r="K375">
        <v>23.834526</v>
      </c>
      <c r="L375">
        <v>24.195226999999999</v>
      </c>
      <c r="M375">
        <v>22.031981999999999</v>
      </c>
      <c r="N375">
        <v>22.312370000000001</v>
      </c>
      <c r="O375">
        <v>24.041426000000001</v>
      </c>
      <c r="P375">
        <v>23.430434999999999</v>
      </c>
      <c r="Q375">
        <v>22.047464000000002</v>
      </c>
      <c r="R375">
        <v>23.960747000000001</v>
      </c>
      <c r="S375">
        <v>20.813776000000001</v>
      </c>
      <c r="T375">
        <v>22.779640000000001</v>
      </c>
      <c r="U375">
        <v>23.658080999999999</v>
      </c>
      <c r="V375">
        <v>23.186295999999999</v>
      </c>
      <c r="W375">
        <v>23.732572999999999</v>
      </c>
      <c r="X375">
        <v>23.467490000000002</v>
      </c>
      <c r="Y375">
        <v>24.486457999999999</v>
      </c>
      <c r="Z375">
        <v>24.532693999999999</v>
      </c>
      <c r="AA375">
        <v>25.981428000000001</v>
      </c>
      <c r="AB375">
        <v>24.940279</v>
      </c>
      <c r="AC375">
        <v>23.431335000000001</v>
      </c>
      <c r="AD375">
        <v>24.491935999999999</v>
      </c>
      <c r="AE375">
        <v>20.307628999999999</v>
      </c>
      <c r="AF375">
        <v>25.183754</v>
      </c>
      <c r="AG375">
        <v>25.102796999999999</v>
      </c>
    </row>
    <row r="376" spans="1:33" x14ac:dyDescent="0.25">
      <c r="A376" s="1">
        <v>44427</v>
      </c>
      <c r="B376">
        <v>21.232529</v>
      </c>
      <c r="C376">
        <v>22.012405000000001</v>
      </c>
      <c r="D376">
        <v>21.075212000000001</v>
      </c>
      <c r="E376">
        <v>21.083580000000001</v>
      </c>
      <c r="F376">
        <v>21.387308000000001</v>
      </c>
      <c r="G376">
        <v>21.614965000000002</v>
      </c>
      <c r="H376">
        <v>20.748148</v>
      </c>
      <c r="I376">
        <v>20.301877999999999</v>
      </c>
      <c r="J376">
        <v>23.074724</v>
      </c>
      <c r="K376">
        <v>23.530923999999999</v>
      </c>
      <c r="L376">
        <v>23.672255</v>
      </c>
      <c r="M376">
        <v>21.759422000000001</v>
      </c>
      <c r="N376">
        <v>21.929289000000001</v>
      </c>
      <c r="O376">
        <v>23.590506000000001</v>
      </c>
      <c r="P376">
        <v>23.078028</v>
      </c>
      <c r="Q376">
        <v>21.736328</v>
      </c>
      <c r="R376">
        <v>23.508806</v>
      </c>
      <c r="S376">
        <v>20.059709999999999</v>
      </c>
      <c r="T376">
        <v>22.281721000000001</v>
      </c>
      <c r="U376">
        <v>23.565470000000001</v>
      </c>
      <c r="V376">
        <v>22.690335999999999</v>
      </c>
      <c r="W376">
        <v>23.367056000000002</v>
      </c>
      <c r="X376">
        <v>22.964805999999999</v>
      </c>
      <c r="Y376">
        <v>24.230454999999999</v>
      </c>
      <c r="Z376">
        <v>24.111898</v>
      </c>
      <c r="AA376">
        <v>25.509713999999999</v>
      </c>
      <c r="AB376">
        <v>24.669281000000002</v>
      </c>
      <c r="AC376">
        <v>23.041445</v>
      </c>
      <c r="AD376">
        <v>24.101976000000001</v>
      </c>
      <c r="AE376">
        <v>20.745570000000001</v>
      </c>
      <c r="AF376">
        <v>24.951204000000001</v>
      </c>
      <c r="AG376">
        <v>24.669718</v>
      </c>
    </row>
    <row r="377" spans="1:33" x14ac:dyDescent="0.25">
      <c r="A377" s="1">
        <v>44428</v>
      </c>
      <c r="B377">
        <v>20.863320000000002</v>
      </c>
      <c r="C377">
        <v>21.758780999999999</v>
      </c>
      <c r="D377">
        <v>20.784851</v>
      </c>
      <c r="E377">
        <v>20.734766</v>
      </c>
      <c r="F377">
        <v>21.171496999999999</v>
      </c>
      <c r="G377">
        <v>21.437086000000001</v>
      </c>
      <c r="H377">
        <v>20.510325999999999</v>
      </c>
      <c r="I377">
        <v>19.948902</v>
      </c>
      <c r="J377">
        <v>22.790420000000001</v>
      </c>
      <c r="K377">
        <v>23.387712000000001</v>
      </c>
      <c r="L377">
        <v>23.484354</v>
      </c>
      <c r="M377">
        <v>21.564485999999999</v>
      </c>
      <c r="N377">
        <v>21.744440000000001</v>
      </c>
      <c r="O377">
        <v>23.395980000000002</v>
      </c>
      <c r="P377">
        <v>22.849523999999999</v>
      </c>
      <c r="Q377">
        <v>21.539536999999999</v>
      </c>
      <c r="R377">
        <v>23.325844</v>
      </c>
      <c r="S377">
        <v>19.898586000000002</v>
      </c>
      <c r="T377">
        <v>22.058682999999998</v>
      </c>
      <c r="U377">
        <v>23.279067999999999</v>
      </c>
      <c r="V377">
        <v>22.537217999999999</v>
      </c>
      <c r="W377">
        <v>22.954222000000001</v>
      </c>
      <c r="X377">
        <v>22.850487000000001</v>
      </c>
      <c r="Y377">
        <v>24.224060000000001</v>
      </c>
      <c r="Z377">
        <v>23.930305000000001</v>
      </c>
      <c r="AA377">
        <v>25.25299</v>
      </c>
      <c r="AB377">
        <v>24.599862999999999</v>
      </c>
      <c r="AC377">
        <v>22.795824</v>
      </c>
      <c r="AD377">
        <v>23.859365</v>
      </c>
      <c r="AE377">
        <v>21.25911</v>
      </c>
      <c r="AF377">
        <v>24.819002000000001</v>
      </c>
      <c r="AG377">
        <v>24.546942000000001</v>
      </c>
    </row>
    <row r="378" spans="1:33" x14ac:dyDescent="0.25">
      <c r="A378" s="1">
        <v>44429</v>
      </c>
      <c r="B378">
        <v>20.442862000000002</v>
      </c>
      <c r="C378">
        <v>21.48725</v>
      </c>
      <c r="D378">
        <v>20.433287</v>
      </c>
      <c r="E378">
        <v>20.336193000000002</v>
      </c>
      <c r="F378">
        <v>20.953168999999999</v>
      </c>
      <c r="G378">
        <v>21.202103000000001</v>
      </c>
      <c r="H378">
        <v>20.291789999999999</v>
      </c>
      <c r="I378">
        <v>19.809792999999999</v>
      </c>
      <c r="J378">
        <v>22.525030000000001</v>
      </c>
      <c r="K378">
        <v>23.198568000000002</v>
      </c>
      <c r="L378">
        <v>23.182562000000001</v>
      </c>
      <c r="M378">
        <v>21.313943999999999</v>
      </c>
      <c r="N378">
        <v>21.533411000000001</v>
      </c>
      <c r="O378">
        <v>23.126528</v>
      </c>
      <c r="P378">
        <v>22.624642999999999</v>
      </c>
      <c r="Q378">
        <v>21.316445999999999</v>
      </c>
      <c r="R378">
        <v>23.055916</v>
      </c>
      <c r="S378">
        <v>19.646125999999999</v>
      </c>
      <c r="T378">
        <v>21.805541999999999</v>
      </c>
      <c r="U378">
        <v>22.767899</v>
      </c>
      <c r="V378">
        <v>22.340826</v>
      </c>
      <c r="W378">
        <v>22.318086999999998</v>
      </c>
      <c r="X378">
        <v>22.633058999999999</v>
      </c>
      <c r="Y378">
        <v>24.294466</v>
      </c>
      <c r="Z378">
        <v>23.728110999999998</v>
      </c>
      <c r="AA378">
        <v>25.059763</v>
      </c>
      <c r="AB378">
        <v>24.566818000000001</v>
      </c>
      <c r="AC378">
        <v>22.693062000000001</v>
      </c>
      <c r="AD378">
        <v>23.607233000000001</v>
      </c>
      <c r="AE378">
        <v>21.238606999999998</v>
      </c>
      <c r="AF378">
        <v>24.706858</v>
      </c>
      <c r="AG378">
        <v>24.500252</v>
      </c>
    </row>
    <row r="379" spans="1:33" x14ac:dyDescent="0.25">
      <c r="A379" s="1">
        <v>44430</v>
      </c>
      <c r="B379">
        <v>20.219479</v>
      </c>
      <c r="C379">
        <v>21.309125999999999</v>
      </c>
      <c r="D379">
        <v>20.136759999999999</v>
      </c>
      <c r="E379">
        <v>20.096305999999998</v>
      </c>
      <c r="F379">
        <v>20.747119999999999</v>
      </c>
      <c r="G379">
        <v>20.989532000000001</v>
      </c>
      <c r="H379">
        <v>20.096722</v>
      </c>
      <c r="I379">
        <v>19.676537</v>
      </c>
      <c r="J379">
        <v>22.372755000000002</v>
      </c>
      <c r="K379">
        <v>23.066088000000001</v>
      </c>
      <c r="L379">
        <v>23.043444000000001</v>
      </c>
      <c r="M379">
        <v>21.112879</v>
      </c>
      <c r="N379">
        <v>21.321280999999999</v>
      </c>
      <c r="O379">
        <v>22.989698000000001</v>
      </c>
      <c r="P379">
        <v>22.444254000000001</v>
      </c>
      <c r="Q379">
        <v>21.117301999999999</v>
      </c>
      <c r="R379">
        <v>22.914346999999999</v>
      </c>
      <c r="S379">
        <v>19.291155</v>
      </c>
      <c r="T379">
        <v>21.587975</v>
      </c>
      <c r="U379">
        <v>22.233962999999999</v>
      </c>
      <c r="V379">
        <v>22.16301</v>
      </c>
      <c r="W379">
        <v>21.619834999999998</v>
      </c>
      <c r="X379">
        <v>22.447310000000002</v>
      </c>
      <c r="Y379">
        <v>24.155828</v>
      </c>
      <c r="Z379">
        <v>23.540379999999999</v>
      </c>
      <c r="AA379">
        <v>24.907957</v>
      </c>
      <c r="AB379">
        <v>24.407743</v>
      </c>
      <c r="AC379">
        <v>22.64359</v>
      </c>
      <c r="AD379">
        <v>23.418678</v>
      </c>
      <c r="AE379">
        <v>21.329557000000001</v>
      </c>
      <c r="AF379">
        <v>24.628283</v>
      </c>
      <c r="AG379">
        <v>24.403786</v>
      </c>
    </row>
    <row r="380" spans="1:33" x14ac:dyDescent="0.25">
      <c r="A380" s="1">
        <v>44431</v>
      </c>
      <c r="B380">
        <v>20.123508000000001</v>
      </c>
      <c r="C380">
        <v>21.159310000000001</v>
      </c>
      <c r="D380">
        <v>19.967549999999999</v>
      </c>
      <c r="E380">
        <v>19.955169999999999</v>
      </c>
      <c r="F380">
        <v>20.632504000000001</v>
      </c>
      <c r="G380">
        <v>20.855222999999999</v>
      </c>
      <c r="H380">
        <v>19.941212</v>
      </c>
      <c r="I380">
        <v>19.564249</v>
      </c>
      <c r="J380">
        <v>22.217478</v>
      </c>
      <c r="K380">
        <v>22.899007999999998</v>
      </c>
      <c r="L380">
        <v>22.904313999999999</v>
      </c>
      <c r="M380">
        <v>20.963374999999999</v>
      </c>
      <c r="N380">
        <v>21.168725999999999</v>
      </c>
      <c r="O380">
        <v>22.861930000000001</v>
      </c>
      <c r="P380">
        <v>22.304178</v>
      </c>
      <c r="Q380">
        <v>20.973593000000001</v>
      </c>
      <c r="R380">
        <v>22.78116</v>
      </c>
      <c r="S380">
        <v>19.180838000000001</v>
      </c>
      <c r="T380">
        <v>21.432793</v>
      </c>
      <c r="U380">
        <v>21.637003</v>
      </c>
      <c r="V380">
        <v>21.956593999999999</v>
      </c>
      <c r="W380">
        <v>21.078921999999999</v>
      </c>
      <c r="X380">
        <v>22.236328</v>
      </c>
      <c r="Y380">
        <v>24.115670000000001</v>
      </c>
      <c r="Z380">
        <v>23.398175999999999</v>
      </c>
      <c r="AA380">
        <v>24.809678999999999</v>
      </c>
      <c r="AB380">
        <v>24.324622999999999</v>
      </c>
      <c r="AC380">
        <v>22.573270000000001</v>
      </c>
      <c r="AD380">
        <v>23.280832</v>
      </c>
      <c r="AE380">
        <v>21.715948000000001</v>
      </c>
      <c r="AF380">
        <v>24.583544</v>
      </c>
      <c r="AG380">
        <v>24.401579000000002</v>
      </c>
    </row>
    <row r="381" spans="1:33" x14ac:dyDescent="0.25">
      <c r="A381" s="1">
        <v>44432</v>
      </c>
      <c r="B381">
        <v>19.773312000000001</v>
      </c>
      <c r="C381">
        <v>20.908650000000002</v>
      </c>
      <c r="D381">
        <v>19.663074000000002</v>
      </c>
      <c r="E381">
        <v>19.672922</v>
      </c>
      <c r="F381">
        <v>20.382711</v>
      </c>
      <c r="G381">
        <v>20.664010999999999</v>
      </c>
      <c r="H381">
        <v>19.733183</v>
      </c>
      <c r="I381">
        <v>19.172916000000001</v>
      </c>
      <c r="J381">
        <v>21.909447</v>
      </c>
      <c r="K381">
        <v>22.666338</v>
      </c>
      <c r="L381">
        <v>22.696418999999999</v>
      </c>
      <c r="M381">
        <v>20.755811999999999</v>
      </c>
      <c r="N381">
        <v>20.931394999999998</v>
      </c>
      <c r="O381">
        <v>22.634481000000001</v>
      </c>
      <c r="P381">
        <v>22.113099999999999</v>
      </c>
      <c r="Q381">
        <v>20.770002000000002</v>
      </c>
      <c r="R381">
        <v>22.567865000000001</v>
      </c>
      <c r="S381">
        <v>18.809868000000002</v>
      </c>
      <c r="T381">
        <v>21.166388000000001</v>
      </c>
      <c r="U381">
        <v>21.077010000000001</v>
      </c>
      <c r="V381">
        <v>21.629227</v>
      </c>
      <c r="W381">
        <v>20.486467000000001</v>
      </c>
      <c r="X381">
        <v>21.861383</v>
      </c>
      <c r="Y381">
        <v>24.111414</v>
      </c>
      <c r="Z381">
        <v>23.176421999999999</v>
      </c>
      <c r="AA381">
        <v>24.706911000000002</v>
      </c>
      <c r="AB381">
        <v>24.307324999999999</v>
      </c>
      <c r="AC381">
        <v>22.467801999999999</v>
      </c>
      <c r="AD381">
        <v>23.113499999999998</v>
      </c>
      <c r="AE381">
        <v>21.833893</v>
      </c>
      <c r="AF381">
        <v>24.522635999999999</v>
      </c>
      <c r="AG381">
        <v>24.418576999999999</v>
      </c>
    </row>
    <row r="382" spans="1:33" x14ac:dyDescent="0.25">
      <c r="A382" s="1">
        <v>44433</v>
      </c>
      <c r="B382">
        <v>19.536995000000001</v>
      </c>
      <c r="C382">
        <v>20.691875</v>
      </c>
      <c r="D382">
        <v>19.401567</v>
      </c>
      <c r="E382">
        <v>19.416119999999999</v>
      </c>
      <c r="F382">
        <v>20.218363</v>
      </c>
      <c r="G382">
        <v>20.473011</v>
      </c>
      <c r="H382">
        <v>19.563268999999998</v>
      </c>
      <c r="I382">
        <v>18.835215000000002</v>
      </c>
      <c r="J382">
        <v>21.676172000000001</v>
      </c>
      <c r="K382">
        <v>22.464323</v>
      </c>
      <c r="L382">
        <v>22.548905999999999</v>
      </c>
      <c r="M382">
        <v>20.57019</v>
      </c>
      <c r="N382">
        <v>20.711185</v>
      </c>
      <c r="O382">
        <v>22.486626000000001</v>
      </c>
      <c r="P382">
        <v>21.931654000000002</v>
      </c>
      <c r="Q382">
        <v>20.57799</v>
      </c>
      <c r="R382">
        <v>22.424337000000001</v>
      </c>
      <c r="S382">
        <v>18.477951000000001</v>
      </c>
      <c r="T382">
        <v>20.896667000000001</v>
      </c>
      <c r="U382">
        <v>20.584323999999999</v>
      </c>
      <c r="V382">
        <v>21.346267999999998</v>
      </c>
      <c r="W382">
        <v>20.514939999999999</v>
      </c>
      <c r="X382">
        <v>21.536657000000002</v>
      </c>
      <c r="Y382">
        <v>24.124673999999999</v>
      </c>
      <c r="Z382">
        <v>23.054682</v>
      </c>
      <c r="AA382">
        <v>24.630006999999999</v>
      </c>
      <c r="AB382">
        <v>24.321937999999999</v>
      </c>
      <c r="AC382">
        <v>22.346909</v>
      </c>
      <c r="AD382">
        <v>22.992186</v>
      </c>
      <c r="AE382">
        <v>22.013017999999999</v>
      </c>
      <c r="AF382">
        <v>24.477315999999998</v>
      </c>
      <c r="AG382">
        <v>24.420137</v>
      </c>
    </row>
    <row r="383" spans="1:33" x14ac:dyDescent="0.25">
      <c r="A383" s="1">
        <v>44434</v>
      </c>
      <c r="B383">
        <v>19.789567999999999</v>
      </c>
      <c r="C383">
        <v>20.816858</v>
      </c>
      <c r="D383">
        <v>19.447151000000002</v>
      </c>
      <c r="E383">
        <v>19.48537</v>
      </c>
      <c r="F383">
        <v>20.345922000000002</v>
      </c>
      <c r="G383">
        <v>20.453977999999999</v>
      </c>
      <c r="H383">
        <v>19.623532999999998</v>
      </c>
      <c r="I383">
        <v>19.339770000000001</v>
      </c>
      <c r="J383">
        <v>21.912329</v>
      </c>
      <c r="K383">
        <v>22.491508</v>
      </c>
      <c r="L383">
        <v>22.619641999999999</v>
      </c>
      <c r="M383">
        <v>20.579049999999999</v>
      </c>
      <c r="N383">
        <v>20.809273000000001</v>
      </c>
      <c r="O383">
        <v>22.501953</v>
      </c>
      <c r="P383">
        <v>22.00329</v>
      </c>
      <c r="Q383">
        <v>20.581251000000002</v>
      </c>
      <c r="R383">
        <v>22.467504999999999</v>
      </c>
      <c r="S383">
        <v>18.659265999999999</v>
      </c>
      <c r="T383">
        <v>20.911138999999999</v>
      </c>
      <c r="U383">
        <v>20.726692</v>
      </c>
      <c r="V383">
        <v>21.309850000000001</v>
      </c>
      <c r="W383">
        <v>20.955772</v>
      </c>
      <c r="X383">
        <v>21.406507000000001</v>
      </c>
      <c r="Y383">
        <v>24.077112</v>
      </c>
      <c r="Z383">
        <v>23.000661999999998</v>
      </c>
      <c r="AA383">
        <v>24.528254</v>
      </c>
      <c r="AB383">
        <v>24.332384000000001</v>
      </c>
      <c r="AC383">
        <v>21.997323999999999</v>
      </c>
      <c r="AD383">
        <v>22.999786</v>
      </c>
      <c r="AE383">
        <v>22.033545</v>
      </c>
      <c r="AF383">
        <v>24.438158000000001</v>
      </c>
      <c r="AG383">
        <v>24.276999</v>
      </c>
    </row>
    <row r="384" spans="1:33" x14ac:dyDescent="0.25">
      <c r="A384" s="1">
        <v>44435</v>
      </c>
      <c r="B384">
        <v>20.410661999999999</v>
      </c>
      <c r="C384">
        <v>21.210450999999999</v>
      </c>
      <c r="D384">
        <v>19.825320999999999</v>
      </c>
      <c r="E384">
        <v>19.911839000000001</v>
      </c>
      <c r="F384">
        <v>20.719297000000001</v>
      </c>
      <c r="G384">
        <v>20.657295000000001</v>
      </c>
      <c r="H384">
        <v>19.906562999999998</v>
      </c>
      <c r="I384">
        <v>20.297326999999999</v>
      </c>
      <c r="J384">
        <v>22.400986</v>
      </c>
      <c r="K384">
        <v>22.636849999999999</v>
      </c>
      <c r="L384">
        <v>22.849039999999999</v>
      </c>
      <c r="M384">
        <v>20.827787000000001</v>
      </c>
      <c r="N384">
        <v>21.093788</v>
      </c>
      <c r="O384">
        <v>22.669105999999999</v>
      </c>
      <c r="P384">
        <v>22.181486</v>
      </c>
      <c r="Q384">
        <v>20.817655999999999</v>
      </c>
      <c r="R384">
        <v>22.649073000000001</v>
      </c>
      <c r="S384">
        <v>19.415151999999999</v>
      </c>
      <c r="T384">
        <v>21.187828</v>
      </c>
      <c r="U384">
        <v>21.269278</v>
      </c>
      <c r="V384">
        <v>21.40709</v>
      </c>
      <c r="W384">
        <v>21.252956000000001</v>
      </c>
      <c r="X384">
        <v>21.446693</v>
      </c>
      <c r="Y384">
        <v>24.251069999999999</v>
      </c>
      <c r="Z384">
        <v>23.121804999999998</v>
      </c>
      <c r="AA384">
        <v>24.584879000000001</v>
      </c>
      <c r="AB384">
        <v>24.455604999999998</v>
      </c>
      <c r="AC384">
        <v>21.985146</v>
      </c>
      <c r="AD384">
        <v>23.122305000000001</v>
      </c>
      <c r="AE384">
        <v>21.937355</v>
      </c>
      <c r="AF384">
        <v>24.493797000000001</v>
      </c>
      <c r="AG384">
        <v>24.308771</v>
      </c>
    </row>
    <row r="385" spans="1:33" x14ac:dyDescent="0.25">
      <c r="A385" s="1">
        <v>44436</v>
      </c>
      <c r="B385">
        <v>21.021550999999999</v>
      </c>
      <c r="C385">
        <v>21.644169999999999</v>
      </c>
      <c r="D385">
        <v>20.28679</v>
      </c>
      <c r="E385">
        <v>20.418285000000001</v>
      </c>
      <c r="F385">
        <v>21.071816999999999</v>
      </c>
      <c r="G385">
        <v>20.909803</v>
      </c>
      <c r="H385">
        <v>20.281552999999999</v>
      </c>
      <c r="I385">
        <v>21.194462000000001</v>
      </c>
      <c r="J385">
        <v>22.888334</v>
      </c>
      <c r="K385">
        <v>22.865552999999998</v>
      </c>
      <c r="L385">
        <v>23.091646000000001</v>
      </c>
      <c r="M385">
        <v>21.123348</v>
      </c>
      <c r="N385">
        <v>21.435362000000001</v>
      </c>
      <c r="O385">
        <v>22.884726000000001</v>
      </c>
      <c r="P385">
        <v>22.387250000000002</v>
      </c>
      <c r="Q385">
        <v>21.098970000000001</v>
      </c>
      <c r="R385">
        <v>22.858643000000001</v>
      </c>
      <c r="S385">
        <v>20.272915000000001</v>
      </c>
      <c r="T385">
        <v>21.546776000000001</v>
      </c>
      <c r="U385">
        <v>21.587122000000001</v>
      </c>
      <c r="V385">
        <v>21.665845999999998</v>
      </c>
      <c r="W385">
        <v>21.68036</v>
      </c>
      <c r="X385">
        <v>21.685479999999998</v>
      </c>
      <c r="Y385">
        <v>24.563475</v>
      </c>
      <c r="Z385">
        <v>23.265844000000001</v>
      </c>
      <c r="AA385">
        <v>24.710314</v>
      </c>
      <c r="AB385">
        <v>24.683062</v>
      </c>
      <c r="AC385">
        <v>22.274836000000001</v>
      </c>
      <c r="AD385">
        <v>23.291183</v>
      </c>
      <c r="AE385">
        <v>22.407373</v>
      </c>
      <c r="AF385">
        <v>24.617287000000001</v>
      </c>
      <c r="AG385">
        <v>24.509104000000001</v>
      </c>
    </row>
    <row r="386" spans="1:33" x14ac:dyDescent="0.25">
      <c r="A386" s="1">
        <v>44437</v>
      </c>
      <c r="B386">
        <v>21.298985999999999</v>
      </c>
      <c r="C386">
        <v>21.840353</v>
      </c>
      <c r="D386">
        <v>20.630835000000001</v>
      </c>
      <c r="E386">
        <v>20.831087</v>
      </c>
      <c r="F386">
        <v>21.13064</v>
      </c>
      <c r="G386">
        <v>21.066386999999999</v>
      </c>
      <c r="H386">
        <v>20.453688</v>
      </c>
      <c r="I386">
        <v>21.193995999999999</v>
      </c>
      <c r="J386">
        <v>23.015656</v>
      </c>
      <c r="K386">
        <v>22.920862</v>
      </c>
      <c r="L386">
        <v>23.221098000000001</v>
      </c>
      <c r="M386">
        <v>21.256986999999999</v>
      </c>
      <c r="N386">
        <v>21.495415000000001</v>
      </c>
      <c r="O386">
        <v>22.98818</v>
      </c>
      <c r="P386">
        <v>22.451779999999999</v>
      </c>
      <c r="Q386">
        <v>21.27647</v>
      </c>
      <c r="R386">
        <v>22.923345999999999</v>
      </c>
      <c r="S386">
        <v>20.753021</v>
      </c>
      <c r="T386">
        <v>21.769795999999999</v>
      </c>
      <c r="U386">
        <v>21.96611</v>
      </c>
      <c r="V386">
        <v>21.864912</v>
      </c>
      <c r="W386">
        <v>22.110786000000001</v>
      </c>
      <c r="X386">
        <v>21.980284000000001</v>
      </c>
      <c r="Y386">
        <v>24.800115999999999</v>
      </c>
      <c r="Z386">
        <v>23.324933999999999</v>
      </c>
      <c r="AA386">
        <v>24.849381999999999</v>
      </c>
      <c r="AB386">
        <v>24.870018000000002</v>
      </c>
      <c r="AC386">
        <v>22.626701000000001</v>
      </c>
      <c r="AD386">
        <v>23.390694</v>
      </c>
      <c r="AE386">
        <v>22.784683000000001</v>
      </c>
      <c r="AF386">
        <v>24.742111000000001</v>
      </c>
      <c r="AG386">
        <v>24.683945000000001</v>
      </c>
    </row>
    <row r="387" spans="1:33" x14ac:dyDescent="0.25">
      <c r="A387" s="1">
        <v>44438</v>
      </c>
      <c r="B387">
        <v>21.381224</v>
      </c>
      <c r="C387">
        <v>21.832415000000001</v>
      </c>
      <c r="D387">
        <v>20.807455000000001</v>
      </c>
      <c r="E387">
        <v>21.017250000000001</v>
      </c>
      <c r="F387">
        <v>21.178491999999999</v>
      </c>
      <c r="G387">
        <v>21.095144000000001</v>
      </c>
      <c r="H387">
        <v>20.495808</v>
      </c>
      <c r="I387">
        <v>20.767828000000002</v>
      </c>
      <c r="J387">
        <v>23.238061999999999</v>
      </c>
      <c r="K387">
        <v>23.007020000000001</v>
      </c>
      <c r="L387">
        <v>23.315909999999999</v>
      </c>
      <c r="M387">
        <v>21.301105</v>
      </c>
      <c r="N387">
        <v>21.540023999999999</v>
      </c>
      <c r="O387">
        <v>23.035751000000001</v>
      </c>
      <c r="P387">
        <v>22.502286999999999</v>
      </c>
      <c r="Q387">
        <v>21.312090000000001</v>
      </c>
      <c r="R387">
        <v>23.010034999999998</v>
      </c>
      <c r="S387">
        <v>20.575426</v>
      </c>
      <c r="T387">
        <v>21.955164</v>
      </c>
      <c r="U387">
        <v>22.343966000000002</v>
      </c>
      <c r="V387">
        <v>22.177114</v>
      </c>
      <c r="W387">
        <v>22.44576</v>
      </c>
      <c r="X387">
        <v>22.284500000000001</v>
      </c>
      <c r="Y387">
        <v>24.931584999999998</v>
      </c>
      <c r="Z387">
        <v>23.405258</v>
      </c>
      <c r="AA387">
        <v>24.996276999999999</v>
      </c>
      <c r="AB387">
        <v>24.996126</v>
      </c>
      <c r="AC387">
        <v>22.981697</v>
      </c>
      <c r="AD387">
        <v>23.482620000000001</v>
      </c>
      <c r="AE387">
        <v>23.134374999999999</v>
      </c>
      <c r="AF387">
        <v>24.878359</v>
      </c>
      <c r="AG387">
        <v>24.886050000000001</v>
      </c>
    </row>
    <row r="388" spans="1:33" x14ac:dyDescent="0.25">
      <c r="A388" s="1">
        <v>44439</v>
      </c>
      <c r="B388">
        <v>21.303039999999999</v>
      </c>
      <c r="C388">
        <v>21.630348000000001</v>
      </c>
      <c r="D388">
        <v>20.810811999999999</v>
      </c>
      <c r="E388">
        <v>20.955893</v>
      </c>
      <c r="F388">
        <v>21.064340000000001</v>
      </c>
      <c r="G388">
        <v>21.084585000000001</v>
      </c>
      <c r="H388">
        <v>20.303744999999999</v>
      </c>
      <c r="I388">
        <v>20.433206999999999</v>
      </c>
      <c r="J388">
        <v>23.297167000000002</v>
      </c>
      <c r="K388">
        <v>23.061129000000001</v>
      </c>
      <c r="L388">
        <v>23.304054000000001</v>
      </c>
      <c r="M388">
        <v>21.236637000000002</v>
      </c>
      <c r="N388">
        <v>21.517578</v>
      </c>
      <c r="O388">
        <v>22.962112000000001</v>
      </c>
      <c r="P388">
        <v>22.526934000000001</v>
      </c>
      <c r="Q388">
        <v>21.270323000000001</v>
      </c>
      <c r="R388">
        <v>22.962157999999999</v>
      </c>
      <c r="S388">
        <v>19.970972</v>
      </c>
      <c r="T388">
        <v>21.916021000000001</v>
      </c>
      <c r="U388">
        <v>22.511991999999999</v>
      </c>
      <c r="V388">
        <v>22.149595000000001</v>
      </c>
      <c r="W388">
        <v>22.515111999999998</v>
      </c>
      <c r="X388">
        <v>22.251609999999999</v>
      </c>
      <c r="Y388">
        <v>24.68411</v>
      </c>
      <c r="Z388">
        <v>23.29336</v>
      </c>
      <c r="AA388">
        <v>25.050851999999999</v>
      </c>
      <c r="AB388">
        <v>24.801085</v>
      </c>
      <c r="AC388">
        <v>22.882529999999999</v>
      </c>
      <c r="AD388">
        <v>23.470009999999998</v>
      </c>
      <c r="AE388">
        <v>22.629170999999999</v>
      </c>
      <c r="AF388">
        <v>24.94398</v>
      </c>
      <c r="AG388">
        <v>24.680702</v>
      </c>
    </row>
    <row r="389" spans="1:33" x14ac:dyDescent="0.25">
      <c r="A389" s="1">
        <v>44440</v>
      </c>
      <c r="B389">
        <v>20.788423999999999</v>
      </c>
      <c r="C389">
        <v>21.278482</v>
      </c>
      <c r="D389">
        <v>20.512229999999999</v>
      </c>
      <c r="E389">
        <v>20.502316</v>
      </c>
      <c r="F389">
        <v>20.567888</v>
      </c>
      <c r="G389">
        <v>20.853577000000001</v>
      </c>
      <c r="H389">
        <v>19.927900000000001</v>
      </c>
      <c r="I389">
        <v>19.466055000000001</v>
      </c>
      <c r="J389">
        <v>23.035478999999999</v>
      </c>
      <c r="K389">
        <v>22.968150000000001</v>
      </c>
      <c r="L389">
        <v>23.070851999999999</v>
      </c>
      <c r="M389">
        <v>20.974557999999998</v>
      </c>
      <c r="N389">
        <v>21.346558000000002</v>
      </c>
      <c r="O389">
        <v>22.788443000000001</v>
      </c>
      <c r="P389">
        <v>22.438497999999999</v>
      </c>
      <c r="Q389">
        <v>21.035858000000001</v>
      </c>
      <c r="R389">
        <v>22.774941999999999</v>
      </c>
      <c r="S389">
        <v>19.060721999999998</v>
      </c>
      <c r="T389">
        <v>21.649198999999999</v>
      </c>
      <c r="U389">
        <v>22.353859</v>
      </c>
      <c r="V389">
        <v>21.888632000000001</v>
      </c>
      <c r="W389">
        <v>22.378550000000001</v>
      </c>
      <c r="X389">
        <v>22.014600000000002</v>
      </c>
      <c r="Y389">
        <v>24.104707999999999</v>
      </c>
      <c r="Z389">
        <v>22.995619999999999</v>
      </c>
      <c r="AA389">
        <v>24.881273</v>
      </c>
      <c r="AB389">
        <v>24.195050999999999</v>
      </c>
      <c r="AC389">
        <v>22.512682000000002</v>
      </c>
      <c r="AD389">
        <v>23.284637</v>
      </c>
      <c r="AE389">
        <v>21.943473999999998</v>
      </c>
      <c r="AF389">
        <v>24.832871999999998</v>
      </c>
      <c r="AG389">
        <v>24.157457000000001</v>
      </c>
    </row>
    <row r="390" spans="1:33" x14ac:dyDescent="0.25">
      <c r="A390" s="1">
        <v>44441</v>
      </c>
      <c r="B390">
        <v>20.010572</v>
      </c>
      <c r="C390">
        <v>20.842009999999998</v>
      </c>
      <c r="D390">
        <v>20.033494999999998</v>
      </c>
      <c r="E390">
        <v>19.855324</v>
      </c>
      <c r="F390">
        <v>20.213345</v>
      </c>
      <c r="G390">
        <v>20.523282999999999</v>
      </c>
      <c r="H390">
        <v>19.643255</v>
      </c>
      <c r="I390">
        <v>18.580663999999999</v>
      </c>
      <c r="J390">
        <v>22.162424000000001</v>
      </c>
      <c r="K390">
        <v>22.674340999999998</v>
      </c>
      <c r="L390">
        <v>22.619344999999999</v>
      </c>
      <c r="M390">
        <v>20.658987</v>
      </c>
      <c r="N390">
        <v>20.994104</v>
      </c>
      <c r="O390">
        <v>22.407515</v>
      </c>
      <c r="P390">
        <v>22.136596999999998</v>
      </c>
      <c r="Q390">
        <v>20.702967000000001</v>
      </c>
      <c r="R390">
        <v>22.437201999999999</v>
      </c>
      <c r="S390">
        <v>18.103172000000001</v>
      </c>
      <c r="T390">
        <v>21.131841999999999</v>
      </c>
      <c r="U390">
        <v>22.205017000000002</v>
      </c>
      <c r="V390">
        <v>21.533873</v>
      </c>
      <c r="W390">
        <v>22.076979000000001</v>
      </c>
      <c r="X390">
        <v>21.751843999999998</v>
      </c>
      <c r="Y390">
        <v>23.783639999999998</v>
      </c>
      <c r="Z390">
        <v>22.626266000000001</v>
      </c>
      <c r="AA390">
        <v>24.622796999999998</v>
      </c>
      <c r="AB390">
        <v>24.008196000000002</v>
      </c>
      <c r="AC390">
        <v>22.236357000000002</v>
      </c>
      <c r="AD390">
        <v>22.997682999999999</v>
      </c>
      <c r="AE390">
        <v>21.246859000000001</v>
      </c>
      <c r="AF390">
        <v>24.624030999999999</v>
      </c>
      <c r="AG390">
        <v>23.939613000000001</v>
      </c>
    </row>
    <row r="391" spans="1:33" x14ac:dyDescent="0.25">
      <c r="A391" s="1">
        <v>44442</v>
      </c>
      <c r="B391">
        <v>19.829923999999998</v>
      </c>
      <c r="C391">
        <v>20.668237999999999</v>
      </c>
      <c r="D391">
        <v>19.856289</v>
      </c>
      <c r="E391">
        <v>19.633676999999999</v>
      </c>
      <c r="F391">
        <v>20.170216</v>
      </c>
      <c r="G391">
        <v>20.333476999999998</v>
      </c>
      <c r="H391">
        <v>19.39864</v>
      </c>
      <c r="I391">
        <v>18.505379000000001</v>
      </c>
      <c r="J391">
        <v>21.665666999999999</v>
      </c>
      <c r="K391">
        <v>22.510605000000002</v>
      </c>
      <c r="L391">
        <v>22.34948</v>
      </c>
      <c r="M391">
        <v>20.486471000000002</v>
      </c>
      <c r="N391">
        <v>20.793800000000001</v>
      </c>
      <c r="O391">
        <v>22.255887999999999</v>
      </c>
      <c r="P391">
        <v>21.931184999999999</v>
      </c>
      <c r="Q391">
        <v>20.487238000000001</v>
      </c>
      <c r="R391">
        <v>22.273268000000002</v>
      </c>
      <c r="S391">
        <v>18.034738999999998</v>
      </c>
      <c r="T391">
        <v>20.890877</v>
      </c>
      <c r="U391">
        <v>22.079637999999999</v>
      </c>
      <c r="V391">
        <v>21.490555000000001</v>
      </c>
      <c r="W391">
        <v>21.793312</v>
      </c>
      <c r="X391">
        <v>21.776610999999999</v>
      </c>
      <c r="Y391">
        <v>23.759264000000002</v>
      </c>
      <c r="Z391">
        <v>22.461319</v>
      </c>
      <c r="AA391">
        <v>24.416788</v>
      </c>
      <c r="AB391">
        <v>23.984400000000001</v>
      </c>
      <c r="AC391">
        <v>22.219193000000001</v>
      </c>
      <c r="AD391">
        <v>22.763152999999999</v>
      </c>
      <c r="AE391">
        <v>21.037825000000002</v>
      </c>
      <c r="AF391">
        <v>24.472259999999999</v>
      </c>
      <c r="AG391">
        <v>23.920273000000002</v>
      </c>
    </row>
    <row r="392" spans="1:33" x14ac:dyDescent="0.25">
      <c r="A392" s="1">
        <v>44443</v>
      </c>
      <c r="B392">
        <v>19.990144999999998</v>
      </c>
      <c r="C392">
        <v>20.530949</v>
      </c>
      <c r="D392">
        <v>19.622875000000001</v>
      </c>
      <c r="E392">
        <v>19.607175999999999</v>
      </c>
      <c r="F392">
        <v>20.24774</v>
      </c>
      <c r="G392">
        <v>20.282238</v>
      </c>
      <c r="H392">
        <v>19.319430000000001</v>
      </c>
      <c r="I392">
        <v>18.922181999999999</v>
      </c>
      <c r="J392">
        <v>21.677361999999999</v>
      </c>
      <c r="K392">
        <v>22.449812000000001</v>
      </c>
      <c r="L392">
        <v>22.288702000000001</v>
      </c>
      <c r="M392">
        <v>20.446566000000001</v>
      </c>
      <c r="N392">
        <v>20.719389</v>
      </c>
      <c r="O392">
        <v>22.247461000000001</v>
      </c>
      <c r="P392">
        <v>21.839403000000001</v>
      </c>
      <c r="Q392">
        <v>20.416360000000001</v>
      </c>
      <c r="R392">
        <v>22.219276000000001</v>
      </c>
      <c r="S392">
        <v>18.3751</v>
      </c>
      <c r="T392">
        <v>20.944949999999999</v>
      </c>
      <c r="U392">
        <v>21.872786000000001</v>
      </c>
      <c r="V392">
        <v>21.656663999999999</v>
      </c>
      <c r="W392">
        <v>21.643429999999999</v>
      </c>
      <c r="X392">
        <v>21.98291</v>
      </c>
      <c r="Y392">
        <v>23.902922</v>
      </c>
      <c r="Z392">
        <v>22.491928000000001</v>
      </c>
      <c r="AA392">
        <v>24.353124999999999</v>
      </c>
      <c r="AB392">
        <v>24.074158000000001</v>
      </c>
      <c r="AC392">
        <v>22.332108000000002</v>
      </c>
      <c r="AD392">
        <v>22.655342000000001</v>
      </c>
      <c r="AE392">
        <v>21.174810000000001</v>
      </c>
      <c r="AF392">
        <v>24.403317999999999</v>
      </c>
      <c r="AG392">
        <v>23.946611000000001</v>
      </c>
    </row>
    <row r="393" spans="1:33" x14ac:dyDescent="0.25">
      <c r="A393" s="1">
        <v>44444</v>
      </c>
      <c r="B393">
        <v>20.144971999999999</v>
      </c>
      <c r="C393">
        <v>20.601586999999999</v>
      </c>
      <c r="D393">
        <v>19.807455000000001</v>
      </c>
      <c r="E393">
        <v>19.668692</v>
      </c>
      <c r="F393">
        <v>20.374131999999999</v>
      </c>
      <c r="G393">
        <v>20.322158999999999</v>
      </c>
      <c r="H393">
        <v>19.359570000000001</v>
      </c>
      <c r="I393">
        <v>19.471496999999999</v>
      </c>
      <c r="J393">
        <v>21.962723</v>
      </c>
      <c r="K393">
        <v>22.476465000000001</v>
      </c>
      <c r="L393">
        <v>22.396104999999999</v>
      </c>
      <c r="M393">
        <v>20.487375</v>
      </c>
      <c r="N393">
        <v>20.754263000000002</v>
      </c>
      <c r="O393">
        <v>22.326430999999999</v>
      </c>
      <c r="P393">
        <v>21.851769999999998</v>
      </c>
      <c r="Q393">
        <v>20.444723</v>
      </c>
      <c r="R393">
        <v>22.259747999999998</v>
      </c>
      <c r="S393">
        <v>18.867747999999999</v>
      </c>
      <c r="T393">
        <v>21.070150000000002</v>
      </c>
      <c r="U393">
        <v>21.782585000000001</v>
      </c>
      <c r="V393">
        <v>21.799990000000001</v>
      </c>
      <c r="W393">
        <v>21.630617000000001</v>
      </c>
      <c r="X393">
        <v>22.081491</v>
      </c>
      <c r="Y393">
        <v>24.051321000000002</v>
      </c>
      <c r="Z393">
        <v>22.685938</v>
      </c>
      <c r="AA393">
        <v>24.399384000000001</v>
      </c>
      <c r="AB393">
        <v>24.136724000000001</v>
      </c>
      <c r="AC393">
        <v>22.512331</v>
      </c>
      <c r="AD393">
        <v>22.688065000000002</v>
      </c>
      <c r="AE393">
        <v>21.573378000000002</v>
      </c>
      <c r="AF393">
        <v>24.385580000000001</v>
      </c>
      <c r="AG393">
        <v>24.032547000000001</v>
      </c>
    </row>
    <row r="394" spans="1:33" x14ac:dyDescent="0.25">
      <c r="A394" s="1">
        <v>44445</v>
      </c>
      <c r="B394">
        <v>20.333136</v>
      </c>
      <c r="C394">
        <v>20.802149</v>
      </c>
      <c r="D394">
        <v>20.027609999999999</v>
      </c>
      <c r="E394">
        <v>19.817131</v>
      </c>
      <c r="F394">
        <v>20.544996000000001</v>
      </c>
      <c r="G394">
        <v>20.431536000000001</v>
      </c>
      <c r="H394">
        <v>19.533214999999998</v>
      </c>
      <c r="I394">
        <v>20.009840000000001</v>
      </c>
      <c r="J394">
        <v>22.298386000000001</v>
      </c>
      <c r="K394">
        <v>22.564710000000002</v>
      </c>
      <c r="L394">
        <v>22.567383</v>
      </c>
      <c r="M394">
        <v>20.602685999999999</v>
      </c>
      <c r="N394">
        <v>20.915873000000001</v>
      </c>
      <c r="O394">
        <v>22.491346</v>
      </c>
      <c r="P394">
        <v>21.941693999999998</v>
      </c>
      <c r="Q394">
        <v>20.565359999999998</v>
      </c>
      <c r="R394">
        <v>22.38777</v>
      </c>
      <c r="S394">
        <v>19.472920999999999</v>
      </c>
      <c r="T394">
        <v>21.302225</v>
      </c>
      <c r="U394">
        <v>21.816977999999999</v>
      </c>
      <c r="V394">
        <v>21.885819999999999</v>
      </c>
      <c r="W394">
        <v>21.730326000000002</v>
      </c>
      <c r="X394">
        <v>22.145413999999999</v>
      </c>
      <c r="Y394">
        <v>24.136724000000001</v>
      </c>
      <c r="Z394">
        <v>22.920006000000001</v>
      </c>
      <c r="AA394">
        <v>24.464009999999998</v>
      </c>
      <c r="AB394">
        <v>24.19004</v>
      </c>
      <c r="AC394">
        <v>22.693467999999999</v>
      </c>
      <c r="AD394">
        <v>22.783812999999999</v>
      </c>
      <c r="AE394">
        <v>21.874891000000002</v>
      </c>
      <c r="AF394">
        <v>24.39479</v>
      </c>
      <c r="AG394">
        <v>24.128140999999999</v>
      </c>
    </row>
    <row r="395" spans="1:33" x14ac:dyDescent="0.25">
      <c r="A395" s="1">
        <v>44446</v>
      </c>
      <c r="B395">
        <v>20.653402</v>
      </c>
      <c r="C395">
        <v>21.047518</v>
      </c>
      <c r="D395">
        <v>20.385528999999998</v>
      </c>
      <c r="E395">
        <v>20.182383000000002</v>
      </c>
      <c r="F395">
        <v>20.750048</v>
      </c>
      <c r="G395">
        <v>20.613634000000001</v>
      </c>
      <c r="H395">
        <v>19.725902999999999</v>
      </c>
      <c r="I395">
        <v>20.538702000000001</v>
      </c>
      <c r="J395">
        <v>22.664688000000002</v>
      </c>
      <c r="K395">
        <v>22.669305999999999</v>
      </c>
      <c r="L395">
        <v>22.763891000000001</v>
      </c>
      <c r="M395">
        <v>20.784996</v>
      </c>
      <c r="N395">
        <v>21.106462000000001</v>
      </c>
      <c r="O395">
        <v>22.666398999999998</v>
      </c>
      <c r="P395">
        <v>22.090699999999998</v>
      </c>
      <c r="Q395">
        <v>20.753050000000002</v>
      </c>
      <c r="R395">
        <v>22.54569</v>
      </c>
      <c r="S395">
        <v>20.366551999999999</v>
      </c>
      <c r="T395">
        <v>21.660043999999999</v>
      </c>
      <c r="U395">
        <v>22.162168999999999</v>
      </c>
      <c r="V395">
        <v>22.137125000000001</v>
      </c>
      <c r="W395">
        <v>22.001830000000002</v>
      </c>
      <c r="X395">
        <v>22.394707</v>
      </c>
      <c r="Y395">
        <v>24.339518000000002</v>
      </c>
      <c r="Z395">
        <v>23.21698</v>
      </c>
      <c r="AA395">
        <v>24.609114000000002</v>
      </c>
      <c r="AB395">
        <v>24.387224</v>
      </c>
      <c r="AC395">
        <v>22.986452</v>
      </c>
      <c r="AD395">
        <v>22.948384999999998</v>
      </c>
      <c r="AE395">
        <v>22.564910000000001</v>
      </c>
      <c r="AF395">
        <v>24.467813</v>
      </c>
      <c r="AG395">
        <v>24.33229</v>
      </c>
    </row>
    <row r="396" spans="1:33" x14ac:dyDescent="0.25">
      <c r="A396" s="1">
        <v>44447</v>
      </c>
      <c r="B396">
        <v>20.911000000000001</v>
      </c>
      <c r="C396">
        <v>21.216206</v>
      </c>
      <c r="D396">
        <v>20.697679999999998</v>
      </c>
      <c r="E396">
        <v>20.577784999999999</v>
      </c>
      <c r="F396">
        <v>20.932272000000001</v>
      </c>
      <c r="G396">
        <v>20.790154000000001</v>
      </c>
      <c r="H396">
        <v>19.942869999999999</v>
      </c>
      <c r="I396">
        <v>20.792534</v>
      </c>
      <c r="J396">
        <v>23.031755</v>
      </c>
      <c r="K396">
        <v>22.780897</v>
      </c>
      <c r="L396">
        <v>22.930319999999998</v>
      </c>
      <c r="M396">
        <v>20.961746000000002</v>
      </c>
      <c r="N396">
        <v>21.29636</v>
      </c>
      <c r="O396">
        <v>22.783833999999999</v>
      </c>
      <c r="P396">
        <v>22.220634</v>
      </c>
      <c r="Q396">
        <v>20.943663000000001</v>
      </c>
      <c r="R396">
        <v>22.682946999999999</v>
      </c>
      <c r="S396">
        <v>21.151243000000001</v>
      </c>
      <c r="T396">
        <v>21.997183</v>
      </c>
      <c r="U396">
        <v>22.675394000000001</v>
      </c>
      <c r="V396">
        <v>22.363253</v>
      </c>
      <c r="W396">
        <v>22.313700000000001</v>
      </c>
      <c r="X396">
        <v>22.584854</v>
      </c>
      <c r="Y396">
        <v>24.479963000000001</v>
      </c>
      <c r="Z396">
        <v>23.499929999999999</v>
      </c>
      <c r="AA396">
        <v>24.800474000000001</v>
      </c>
      <c r="AB396">
        <v>24.545458</v>
      </c>
      <c r="AC396">
        <v>23.364640999999999</v>
      </c>
      <c r="AD396">
        <v>23.102402000000001</v>
      </c>
      <c r="AE396">
        <v>22.987894000000001</v>
      </c>
      <c r="AF396">
        <v>24.608725</v>
      </c>
      <c r="AG396">
        <v>24.595343</v>
      </c>
    </row>
    <row r="397" spans="1:33" x14ac:dyDescent="0.25">
      <c r="A397" s="1">
        <v>44448</v>
      </c>
      <c r="B397">
        <v>21.155532999999998</v>
      </c>
      <c r="C397">
        <v>21.328855999999998</v>
      </c>
      <c r="D397">
        <v>20.88899</v>
      </c>
      <c r="E397">
        <v>20.838941999999999</v>
      </c>
      <c r="F397">
        <v>20.996077</v>
      </c>
      <c r="G397">
        <v>20.961012</v>
      </c>
      <c r="H397">
        <v>20.053664999999999</v>
      </c>
      <c r="I397">
        <v>20.840582000000001</v>
      </c>
      <c r="J397">
        <v>23.419205000000002</v>
      </c>
      <c r="K397">
        <v>22.920752</v>
      </c>
      <c r="L397">
        <v>23.156815000000002</v>
      </c>
      <c r="M397">
        <v>21.131495000000001</v>
      </c>
      <c r="N397">
        <v>21.480608</v>
      </c>
      <c r="O397">
        <v>22.963156000000001</v>
      </c>
      <c r="P397">
        <v>22.395796000000001</v>
      </c>
      <c r="Q397">
        <v>21.137132999999999</v>
      </c>
      <c r="R397">
        <v>22.854628000000002</v>
      </c>
      <c r="S397">
        <v>21.540521999999999</v>
      </c>
      <c r="T397">
        <v>22.190519999999999</v>
      </c>
      <c r="U397">
        <v>23.08859</v>
      </c>
      <c r="V397">
        <v>22.457236999999999</v>
      </c>
      <c r="W397">
        <v>22.672678000000001</v>
      </c>
      <c r="X397">
        <v>22.679887999999998</v>
      </c>
      <c r="Y397">
        <v>24.662742999999999</v>
      </c>
      <c r="Z397">
        <v>23.824562</v>
      </c>
      <c r="AA397">
        <v>25.011140000000001</v>
      </c>
      <c r="AB397">
        <v>24.722258</v>
      </c>
      <c r="AC397">
        <v>23.790747</v>
      </c>
      <c r="AD397">
        <v>23.299589999999998</v>
      </c>
      <c r="AE397">
        <v>23.187653000000001</v>
      </c>
      <c r="AF397">
        <v>24.786417</v>
      </c>
      <c r="AG397">
        <v>24.747703999999999</v>
      </c>
    </row>
    <row r="398" spans="1:33" x14ac:dyDescent="0.25">
      <c r="A398" s="1">
        <v>44449</v>
      </c>
      <c r="B398">
        <v>21.165479999999999</v>
      </c>
      <c r="C398">
        <v>21.318753999999998</v>
      </c>
      <c r="D398">
        <v>20.919401000000001</v>
      </c>
      <c r="E398">
        <v>20.876753000000001</v>
      </c>
      <c r="F398">
        <v>20.970773999999999</v>
      </c>
      <c r="G398">
        <v>21.023916</v>
      </c>
      <c r="H398">
        <v>20.097695999999999</v>
      </c>
      <c r="I398">
        <v>20.719294000000001</v>
      </c>
      <c r="J398">
        <v>23.330300000000001</v>
      </c>
      <c r="K398">
        <v>22.909101</v>
      </c>
      <c r="L398">
        <v>23.109418999999999</v>
      </c>
      <c r="M398">
        <v>21.188112</v>
      </c>
      <c r="N398">
        <v>21.533439999999999</v>
      </c>
      <c r="O398">
        <v>22.883887999999999</v>
      </c>
      <c r="P398">
        <v>22.420453999999999</v>
      </c>
      <c r="Q398">
        <v>21.20833</v>
      </c>
      <c r="R398">
        <v>22.798033</v>
      </c>
      <c r="S398">
        <v>21.159872</v>
      </c>
      <c r="T398">
        <v>22.134156999999998</v>
      </c>
      <c r="U398">
        <v>22.978895000000001</v>
      </c>
      <c r="V398">
        <v>22.354837</v>
      </c>
      <c r="W398">
        <v>22.918330000000001</v>
      </c>
      <c r="X398">
        <v>22.569948</v>
      </c>
      <c r="Y398">
        <v>24.410834999999999</v>
      </c>
      <c r="Z398">
        <v>23.841460999999999</v>
      </c>
      <c r="AA398">
        <v>25.098721999999999</v>
      </c>
      <c r="AB398">
        <v>24.479368000000001</v>
      </c>
      <c r="AC398">
        <v>23.696327</v>
      </c>
      <c r="AD398">
        <v>23.308266</v>
      </c>
      <c r="AE398">
        <v>23.025331000000001</v>
      </c>
      <c r="AF398">
        <v>24.894714</v>
      </c>
      <c r="AG398">
        <v>24.647407999999999</v>
      </c>
    </row>
    <row r="399" spans="1:33" x14ac:dyDescent="0.25">
      <c r="A399" s="1">
        <v>44450</v>
      </c>
      <c r="B399">
        <v>20.950457</v>
      </c>
      <c r="C399">
        <v>21.252748</v>
      </c>
      <c r="D399">
        <v>20.847010000000001</v>
      </c>
      <c r="E399">
        <v>20.746628000000001</v>
      </c>
      <c r="F399">
        <v>20.819738000000001</v>
      </c>
      <c r="G399">
        <v>21.000278000000002</v>
      </c>
      <c r="H399">
        <v>20.163965000000001</v>
      </c>
      <c r="I399">
        <v>20.414885000000002</v>
      </c>
      <c r="J399">
        <v>23.002794000000002</v>
      </c>
      <c r="K399">
        <v>22.844538</v>
      </c>
      <c r="L399">
        <v>23.048365</v>
      </c>
      <c r="M399">
        <v>21.177322</v>
      </c>
      <c r="N399">
        <v>21.504132999999999</v>
      </c>
      <c r="O399">
        <v>22.850066999999999</v>
      </c>
      <c r="P399">
        <v>22.374389999999998</v>
      </c>
      <c r="Q399">
        <v>21.189602000000001</v>
      </c>
      <c r="R399">
        <v>22.784835999999999</v>
      </c>
      <c r="S399">
        <v>20.5566</v>
      </c>
      <c r="T399">
        <v>22.059145000000001</v>
      </c>
      <c r="U399">
        <v>22.943542000000001</v>
      </c>
      <c r="V399">
        <v>22.272857999999999</v>
      </c>
      <c r="W399">
        <v>23.012217</v>
      </c>
      <c r="X399">
        <v>22.486149999999999</v>
      </c>
      <c r="Y399">
        <v>24.036169999999998</v>
      </c>
      <c r="Z399">
        <v>23.568556000000001</v>
      </c>
      <c r="AA399">
        <v>24.853867000000001</v>
      </c>
      <c r="AB399">
        <v>24.205535999999999</v>
      </c>
      <c r="AC399">
        <v>23.130098</v>
      </c>
      <c r="AD399">
        <v>23.26322</v>
      </c>
      <c r="AE399">
        <v>22.177987999999999</v>
      </c>
      <c r="AF399">
        <v>24.827819999999999</v>
      </c>
      <c r="AG399">
        <v>24.52468</v>
      </c>
    </row>
    <row r="400" spans="1:33" x14ac:dyDescent="0.25">
      <c r="A400" s="1">
        <v>44451</v>
      </c>
      <c r="B400">
        <v>20.909678</v>
      </c>
      <c r="C400">
        <v>21.269452999999999</v>
      </c>
      <c r="D400">
        <v>20.815977</v>
      </c>
      <c r="E400">
        <v>20.724385999999999</v>
      </c>
      <c r="F400">
        <v>20.798334000000001</v>
      </c>
      <c r="G400">
        <v>20.931639000000001</v>
      </c>
      <c r="H400">
        <v>20.040306000000001</v>
      </c>
      <c r="I400">
        <v>20.036524</v>
      </c>
      <c r="J400">
        <v>22.826498000000001</v>
      </c>
      <c r="K400">
        <v>22.818804</v>
      </c>
      <c r="L400">
        <v>23.043182000000002</v>
      </c>
      <c r="M400">
        <v>21.132719000000002</v>
      </c>
      <c r="N400">
        <v>21.463797</v>
      </c>
      <c r="O400">
        <v>22.885145000000001</v>
      </c>
      <c r="P400">
        <v>22.333487999999999</v>
      </c>
      <c r="Q400">
        <v>21.150648</v>
      </c>
      <c r="R400">
        <v>22.804224000000001</v>
      </c>
      <c r="S400">
        <v>20.248867000000001</v>
      </c>
      <c r="T400">
        <v>22.055496000000002</v>
      </c>
      <c r="U400">
        <v>23.078028</v>
      </c>
      <c r="V400">
        <v>22.287188</v>
      </c>
      <c r="W400">
        <v>22.976976000000001</v>
      </c>
      <c r="X400">
        <v>22.561147999999999</v>
      </c>
      <c r="Y400">
        <v>24.112938</v>
      </c>
      <c r="Z400">
        <v>23.439070000000001</v>
      </c>
      <c r="AA400">
        <v>24.707795999999998</v>
      </c>
      <c r="AB400">
        <v>24.288689999999999</v>
      </c>
      <c r="AC400">
        <v>22.848894000000001</v>
      </c>
      <c r="AD400">
        <v>23.257586</v>
      </c>
      <c r="AE400">
        <v>22.10642</v>
      </c>
      <c r="AF400">
        <v>24.832854999999999</v>
      </c>
      <c r="AG400">
        <v>24.544207</v>
      </c>
    </row>
    <row r="401" spans="1:33" x14ac:dyDescent="0.25">
      <c r="A401" s="1">
        <v>44452</v>
      </c>
      <c r="B401">
        <v>21.175985000000001</v>
      </c>
      <c r="C401">
        <v>21.389402</v>
      </c>
      <c r="D401">
        <v>20.911203</v>
      </c>
      <c r="E401">
        <v>20.822904999999999</v>
      </c>
      <c r="F401">
        <v>20.993255999999999</v>
      </c>
      <c r="G401">
        <v>20.958577999999999</v>
      </c>
      <c r="H401">
        <v>20.042120000000001</v>
      </c>
      <c r="I401">
        <v>20.238636</v>
      </c>
      <c r="J401">
        <v>22.966581000000001</v>
      </c>
      <c r="K401">
        <v>22.894639999999999</v>
      </c>
      <c r="L401">
        <v>23.148551999999999</v>
      </c>
      <c r="M401">
        <v>21.182027999999999</v>
      </c>
      <c r="N401">
        <v>21.575308</v>
      </c>
      <c r="O401">
        <v>23.012536999999998</v>
      </c>
      <c r="P401">
        <v>22.392378000000001</v>
      </c>
      <c r="Q401">
        <v>21.193480999999998</v>
      </c>
      <c r="R401">
        <v>22.901696999999999</v>
      </c>
      <c r="S401">
        <v>20.457823000000001</v>
      </c>
      <c r="T401">
        <v>22.220497000000002</v>
      </c>
      <c r="U401">
        <v>23.201345</v>
      </c>
      <c r="V401">
        <v>22.563423</v>
      </c>
      <c r="W401">
        <v>22.899319999999999</v>
      </c>
      <c r="X401">
        <v>22.899750000000001</v>
      </c>
      <c r="Y401">
        <v>24.275171</v>
      </c>
      <c r="Z401">
        <v>23.430834000000001</v>
      </c>
      <c r="AA401">
        <v>24.690622000000001</v>
      </c>
      <c r="AB401">
        <v>24.411588999999999</v>
      </c>
      <c r="AC401">
        <v>22.879480000000001</v>
      </c>
      <c r="AD401">
        <v>23.334099999999999</v>
      </c>
      <c r="AE401">
        <v>22.276451000000002</v>
      </c>
      <c r="AF401">
        <v>24.883469000000002</v>
      </c>
      <c r="AG401">
        <v>24.569932999999999</v>
      </c>
    </row>
    <row r="402" spans="1:33" x14ac:dyDescent="0.25">
      <c r="A402" s="1">
        <v>44453</v>
      </c>
      <c r="B402">
        <v>21.123943000000001</v>
      </c>
      <c r="C402">
        <v>21.255678</v>
      </c>
      <c r="D402">
        <v>20.981428000000001</v>
      </c>
      <c r="E402">
        <v>20.809196</v>
      </c>
      <c r="F402">
        <v>20.925129999999999</v>
      </c>
      <c r="G402">
        <v>20.906995999999999</v>
      </c>
      <c r="H402">
        <v>19.851171000000001</v>
      </c>
      <c r="I402">
        <v>20.144503</v>
      </c>
      <c r="J402">
        <v>22.870773</v>
      </c>
      <c r="K402">
        <v>22.932431999999999</v>
      </c>
      <c r="L402">
        <v>23.141266000000002</v>
      </c>
      <c r="M402">
        <v>21.110479999999999</v>
      </c>
      <c r="N402">
        <v>21.557417000000001</v>
      </c>
      <c r="O402">
        <v>22.989677</v>
      </c>
      <c r="P402">
        <v>22.385147</v>
      </c>
      <c r="Q402">
        <v>21.157263</v>
      </c>
      <c r="R402">
        <v>22.879007000000001</v>
      </c>
      <c r="S402">
        <v>20.421513000000001</v>
      </c>
      <c r="T402">
        <v>22.281199000000001</v>
      </c>
      <c r="U402">
        <v>23.328137999999999</v>
      </c>
      <c r="V402">
        <v>22.768643999999998</v>
      </c>
      <c r="W402">
        <v>22.855537000000002</v>
      </c>
      <c r="X402">
        <v>23.155356999999999</v>
      </c>
      <c r="Y402">
        <v>24.334489999999999</v>
      </c>
      <c r="Z402">
        <v>23.503755999999999</v>
      </c>
      <c r="AA402">
        <v>24.660803000000001</v>
      </c>
      <c r="AB402">
        <v>24.418672999999998</v>
      </c>
      <c r="AC402">
        <v>22.885141000000001</v>
      </c>
      <c r="AD402">
        <v>23.324915000000001</v>
      </c>
      <c r="AE402">
        <v>22.071611000000001</v>
      </c>
      <c r="AF402">
        <v>24.891548</v>
      </c>
      <c r="AG402">
        <v>24.488614999999999</v>
      </c>
    </row>
    <row r="403" spans="1:33" x14ac:dyDescent="0.25">
      <c r="A403" s="1">
        <v>44454</v>
      </c>
      <c r="B403">
        <v>20.603601000000001</v>
      </c>
      <c r="C403">
        <v>20.89453</v>
      </c>
      <c r="D403">
        <v>20.703384</v>
      </c>
      <c r="E403">
        <v>20.420938</v>
      </c>
      <c r="F403">
        <v>20.528722999999999</v>
      </c>
      <c r="G403">
        <v>20.696111999999999</v>
      </c>
      <c r="H403">
        <v>19.580563999999999</v>
      </c>
      <c r="I403">
        <v>19.395720000000001</v>
      </c>
      <c r="J403">
        <v>22.259245</v>
      </c>
      <c r="K403">
        <v>22.709493999999999</v>
      </c>
      <c r="L403">
        <v>22.833711999999998</v>
      </c>
      <c r="M403">
        <v>20.847483</v>
      </c>
      <c r="N403">
        <v>21.274868000000001</v>
      </c>
      <c r="O403">
        <v>22.700513999999998</v>
      </c>
      <c r="P403">
        <v>22.148325</v>
      </c>
      <c r="Q403">
        <v>20.922249999999998</v>
      </c>
      <c r="R403">
        <v>22.601165999999999</v>
      </c>
      <c r="S403">
        <v>19.605598000000001</v>
      </c>
      <c r="T403">
        <v>21.942018999999998</v>
      </c>
      <c r="U403">
        <v>23.182693</v>
      </c>
      <c r="V403">
        <v>22.372519</v>
      </c>
      <c r="W403">
        <v>22.818435999999998</v>
      </c>
      <c r="X403">
        <v>22.733343000000001</v>
      </c>
      <c r="Y403">
        <v>24.309100000000001</v>
      </c>
      <c r="Z403">
        <v>23.267927</v>
      </c>
      <c r="AA403">
        <v>24.522725999999999</v>
      </c>
      <c r="AB403">
        <v>24.378176</v>
      </c>
      <c r="AC403">
        <v>22.873654999999999</v>
      </c>
      <c r="AD403">
        <v>23.089141999999999</v>
      </c>
      <c r="AE403">
        <v>22.215879999999999</v>
      </c>
      <c r="AF403">
        <v>24.821287000000002</v>
      </c>
      <c r="AG403">
        <v>24.382895000000001</v>
      </c>
    </row>
    <row r="404" spans="1:33" x14ac:dyDescent="0.25">
      <c r="A404" s="1">
        <v>44455</v>
      </c>
      <c r="B404">
        <v>19.957705000000001</v>
      </c>
      <c r="C404">
        <v>20.466691999999998</v>
      </c>
      <c r="D404">
        <v>20.134314</v>
      </c>
      <c r="E404">
        <v>19.887632</v>
      </c>
      <c r="F404">
        <v>20.099806000000001</v>
      </c>
      <c r="G404">
        <v>20.345780999999999</v>
      </c>
      <c r="H404">
        <v>19.340409999999999</v>
      </c>
      <c r="I404">
        <v>18.757444</v>
      </c>
      <c r="J404">
        <v>21.576744000000001</v>
      </c>
      <c r="K404">
        <v>22.386702</v>
      </c>
      <c r="L404">
        <v>22.344581999999999</v>
      </c>
      <c r="M404">
        <v>20.494661000000001</v>
      </c>
      <c r="N404">
        <v>20.925985000000001</v>
      </c>
      <c r="O404">
        <v>22.303311999999998</v>
      </c>
      <c r="P404">
        <v>21.775320000000001</v>
      </c>
      <c r="Q404">
        <v>20.539856</v>
      </c>
      <c r="R404">
        <v>22.219992000000001</v>
      </c>
      <c r="S404">
        <v>18.649754999999999</v>
      </c>
      <c r="T404">
        <v>21.373692999999999</v>
      </c>
      <c r="U404">
        <v>22.826324</v>
      </c>
      <c r="V404">
        <v>21.849792000000001</v>
      </c>
      <c r="W404">
        <v>22.482721000000002</v>
      </c>
      <c r="X404">
        <v>22.129843000000001</v>
      </c>
      <c r="Y404">
        <v>24.082308000000001</v>
      </c>
      <c r="Z404">
        <v>22.80799</v>
      </c>
      <c r="AA404">
        <v>24.223846000000002</v>
      </c>
      <c r="AB404">
        <v>24.143156000000001</v>
      </c>
      <c r="AC404">
        <v>22.614481000000001</v>
      </c>
      <c r="AD404">
        <v>22.725943000000001</v>
      </c>
      <c r="AE404">
        <v>21.877936999999999</v>
      </c>
      <c r="AF404">
        <v>24.648188000000001</v>
      </c>
      <c r="AG404">
        <v>24.022193999999999</v>
      </c>
    </row>
    <row r="405" spans="1:33" x14ac:dyDescent="0.25">
      <c r="A405" s="1">
        <v>44456</v>
      </c>
      <c r="B405">
        <v>19.637308000000001</v>
      </c>
      <c r="C405">
        <v>20.233238</v>
      </c>
      <c r="D405">
        <v>19.702653999999999</v>
      </c>
      <c r="E405">
        <v>19.5657</v>
      </c>
      <c r="F405">
        <v>19.887915</v>
      </c>
      <c r="G405">
        <v>20.128934999999998</v>
      </c>
      <c r="H405">
        <v>19.074316</v>
      </c>
      <c r="I405">
        <v>18.403600000000001</v>
      </c>
      <c r="J405">
        <v>21.346623999999998</v>
      </c>
      <c r="K405">
        <v>22.219512999999999</v>
      </c>
      <c r="L405">
        <v>22.116479999999999</v>
      </c>
      <c r="M405">
        <v>20.269193999999999</v>
      </c>
      <c r="N405">
        <v>20.729990000000001</v>
      </c>
      <c r="O405">
        <v>22.086870000000001</v>
      </c>
      <c r="P405">
        <v>21.583421999999999</v>
      </c>
      <c r="Q405">
        <v>20.330755</v>
      </c>
      <c r="R405">
        <v>22.030183999999998</v>
      </c>
      <c r="S405">
        <v>18.147604000000001</v>
      </c>
      <c r="T405">
        <v>21.027570000000001</v>
      </c>
      <c r="U405">
        <v>22.386407999999999</v>
      </c>
      <c r="V405">
        <v>21.547975999999998</v>
      </c>
      <c r="W405">
        <v>22.063369999999999</v>
      </c>
      <c r="X405">
        <v>21.816137000000001</v>
      </c>
      <c r="Y405">
        <v>23.838508999999998</v>
      </c>
      <c r="Z405">
        <v>22.527155</v>
      </c>
      <c r="AA405">
        <v>24.017363</v>
      </c>
      <c r="AB405">
        <v>23.913155</v>
      </c>
      <c r="AC405">
        <v>22.308641000000001</v>
      </c>
      <c r="AD405">
        <v>22.475242999999999</v>
      </c>
      <c r="AE405">
        <v>21.569326</v>
      </c>
      <c r="AF405">
        <v>24.483315999999999</v>
      </c>
      <c r="AG405">
        <v>23.742629999999998</v>
      </c>
    </row>
    <row r="406" spans="1:33" x14ac:dyDescent="0.25">
      <c r="A406" s="1">
        <v>44457</v>
      </c>
      <c r="B406">
        <v>19.159079999999999</v>
      </c>
      <c r="C406">
        <v>20.03172</v>
      </c>
      <c r="D406">
        <v>19.310237999999998</v>
      </c>
      <c r="E406">
        <v>19.138663999999999</v>
      </c>
      <c r="F406">
        <v>19.645744000000001</v>
      </c>
      <c r="G406">
        <v>19.912078999999999</v>
      </c>
      <c r="H406">
        <v>18.829623999999999</v>
      </c>
      <c r="I406">
        <v>18.259630000000001</v>
      </c>
      <c r="J406">
        <v>20.991620999999999</v>
      </c>
      <c r="K406">
        <v>21.96576</v>
      </c>
      <c r="L406">
        <v>21.795649000000001</v>
      </c>
      <c r="M406">
        <v>20.061430000000001</v>
      </c>
      <c r="N406">
        <v>20.480177000000001</v>
      </c>
      <c r="O406">
        <v>21.774221000000001</v>
      </c>
      <c r="P406">
        <v>21.374662000000001</v>
      </c>
      <c r="Q406">
        <v>20.110589999999998</v>
      </c>
      <c r="R406">
        <v>21.7133</v>
      </c>
      <c r="S406">
        <v>17.871877999999999</v>
      </c>
      <c r="T406">
        <v>20.647912999999999</v>
      </c>
      <c r="U406">
        <v>21.849478000000001</v>
      </c>
      <c r="V406">
        <v>21.199348000000001</v>
      </c>
      <c r="W406">
        <v>21.486733999999998</v>
      </c>
      <c r="X406">
        <v>21.441378</v>
      </c>
      <c r="Y406">
        <v>23.451578000000001</v>
      </c>
      <c r="Z406">
        <v>22.170725000000001</v>
      </c>
      <c r="AA406">
        <v>23.681894</v>
      </c>
      <c r="AB406">
        <v>23.507239999999999</v>
      </c>
      <c r="AC406">
        <v>21.935777999999999</v>
      </c>
      <c r="AD406">
        <v>22.179214000000002</v>
      </c>
      <c r="AE406">
        <v>21.294118999999998</v>
      </c>
      <c r="AF406">
        <v>24.25939</v>
      </c>
      <c r="AG406">
        <v>23.28013</v>
      </c>
    </row>
    <row r="407" spans="1:33" x14ac:dyDescent="0.25">
      <c r="A407" s="1">
        <v>44458</v>
      </c>
      <c r="B407">
        <v>19.319647</v>
      </c>
      <c r="C407">
        <v>20.229685</v>
      </c>
      <c r="D407">
        <v>19.466173000000001</v>
      </c>
      <c r="E407">
        <v>19.143886999999999</v>
      </c>
      <c r="F407">
        <v>19.854061000000002</v>
      </c>
      <c r="G407">
        <v>19.969260999999999</v>
      </c>
      <c r="H407">
        <v>18.930902</v>
      </c>
      <c r="I407">
        <v>18.847636999999999</v>
      </c>
      <c r="J407">
        <v>21.076709999999999</v>
      </c>
      <c r="K407">
        <v>21.865084</v>
      </c>
      <c r="L407">
        <v>21.802889</v>
      </c>
      <c r="M407">
        <v>20.122209999999999</v>
      </c>
      <c r="N407">
        <v>20.554241000000001</v>
      </c>
      <c r="O407">
        <v>21.803526000000002</v>
      </c>
      <c r="P407">
        <v>21.355855999999999</v>
      </c>
      <c r="Q407">
        <v>20.172087000000001</v>
      </c>
      <c r="R407">
        <v>21.731356000000002</v>
      </c>
      <c r="S407">
        <v>18.445302999999999</v>
      </c>
      <c r="T407">
        <v>20.677969000000001</v>
      </c>
      <c r="U407">
        <v>21.517945999999998</v>
      </c>
      <c r="V407">
        <v>21.337782000000001</v>
      </c>
      <c r="W407">
        <v>21.126013</v>
      </c>
      <c r="X407">
        <v>21.577276000000001</v>
      </c>
      <c r="Y407">
        <v>23.108187000000001</v>
      </c>
      <c r="Z407">
        <v>22.133496999999998</v>
      </c>
      <c r="AA407">
        <v>23.435236</v>
      </c>
      <c r="AB407">
        <v>23.197420000000001</v>
      </c>
      <c r="AC407">
        <v>21.505053</v>
      </c>
      <c r="AD407">
        <v>22.109251</v>
      </c>
      <c r="AE407">
        <v>21.380747</v>
      </c>
      <c r="AF407">
        <v>24.05808</v>
      </c>
      <c r="AG407">
        <v>23.041457999999999</v>
      </c>
    </row>
    <row r="408" spans="1:33" x14ac:dyDescent="0.25">
      <c r="A408" s="1">
        <v>44459</v>
      </c>
      <c r="B408">
        <v>19.375554999999999</v>
      </c>
      <c r="C408">
        <v>20.281317000000001</v>
      </c>
      <c r="D408">
        <v>19.684426999999999</v>
      </c>
      <c r="E408">
        <v>19.220189999999999</v>
      </c>
      <c r="F408">
        <v>19.931612000000001</v>
      </c>
      <c r="G408">
        <v>19.979711999999999</v>
      </c>
      <c r="H408">
        <v>19.049702</v>
      </c>
      <c r="I408">
        <v>19.256187000000001</v>
      </c>
      <c r="J408">
        <v>20.796393999999999</v>
      </c>
      <c r="K408">
        <v>21.755296999999999</v>
      </c>
      <c r="L408">
        <v>21.671178999999999</v>
      </c>
      <c r="M408">
        <v>20.128229999999999</v>
      </c>
      <c r="N408">
        <v>20.526154999999999</v>
      </c>
      <c r="O408">
        <v>21.681114000000001</v>
      </c>
      <c r="P408">
        <v>21.286466999999998</v>
      </c>
      <c r="Q408">
        <v>20.188600000000001</v>
      </c>
      <c r="R408">
        <v>21.624403000000001</v>
      </c>
      <c r="S408">
        <v>18.364004000000001</v>
      </c>
      <c r="T408">
        <v>20.631771000000001</v>
      </c>
      <c r="U408">
        <v>21.270772999999998</v>
      </c>
      <c r="V408">
        <v>21.210146000000002</v>
      </c>
      <c r="W408">
        <v>20.735676000000002</v>
      </c>
      <c r="X408">
        <v>21.479803</v>
      </c>
      <c r="Y408">
        <v>22.696390000000001</v>
      </c>
      <c r="Z408">
        <v>21.952658</v>
      </c>
      <c r="AA408">
        <v>23.125222999999998</v>
      </c>
      <c r="AB408">
        <v>22.752593999999998</v>
      </c>
      <c r="AC408">
        <v>20.757591000000001</v>
      </c>
      <c r="AD408">
        <v>21.967963999999998</v>
      </c>
      <c r="AE408">
        <v>20.884824999999999</v>
      </c>
      <c r="AF408">
        <v>23.734983</v>
      </c>
      <c r="AG408">
        <v>22.633721999999999</v>
      </c>
    </row>
    <row r="409" spans="1:33" x14ac:dyDescent="0.25">
      <c r="A409" s="1">
        <v>44460</v>
      </c>
      <c r="B409">
        <v>19.672636000000001</v>
      </c>
      <c r="C409">
        <v>20.496880999999998</v>
      </c>
      <c r="D409">
        <v>19.948616000000001</v>
      </c>
      <c r="E409">
        <v>19.460379</v>
      </c>
      <c r="F409">
        <v>20.181719000000001</v>
      </c>
      <c r="G409">
        <v>20.124559999999999</v>
      </c>
      <c r="H409">
        <v>19.257776</v>
      </c>
      <c r="I409">
        <v>19.835747000000001</v>
      </c>
      <c r="J409">
        <v>21.093142</v>
      </c>
      <c r="K409">
        <v>21.874341999999999</v>
      </c>
      <c r="L409">
        <v>21.757082</v>
      </c>
      <c r="M409">
        <v>20.280564999999999</v>
      </c>
      <c r="N409">
        <v>20.661860000000001</v>
      </c>
      <c r="O409">
        <v>21.723993</v>
      </c>
      <c r="P409">
        <v>21.340630000000001</v>
      </c>
      <c r="Q409">
        <v>20.332713999999999</v>
      </c>
      <c r="R409">
        <v>21.669423999999999</v>
      </c>
      <c r="S409">
        <v>18.538374000000001</v>
      </c>
      <c r="T409">
        <v>20.778759000000001</v>
      </c>
      <c r="U409">
        <v>21.439824999999999</v>
      </c>
      <c r="V409">
        <v>21.223932000000001</v>
      </c>
      <c r="W409">
        <v>20.649730000000002</v>
      </c>
      <c r="X409">
        <v>21.411028000000002</v>
      </c>
      <c r="Y409">
        <v>22.572340000000001</v>
      </c>
      <c r="Z409">
        <v>21.988517999999999</v>
      </c>
      <c r="AA409">
        <v>23.075216000000001</v>
      </c>
      <c r="AB409">
        <v>22.606873</v>
      </c>
      <c r="AC409">
        <v>20.406946000000001</v>
      </c>
      <c r="AD409">
        <v>21.957505999999999</v>
      </c>
      <c r="AE409">
        <v>20.791342</v>
      </c>
      <c r="AF409">
        <v>23.599836</v>
      </c>
      <c r="AG409">
        <v>22.641352000000001</v>
      </c>
    </row>
    <row r="410" spans="1:33" x14ac:dyDescent="0.25">
      <c r="A410" s="1">
        <v>44461</v>
      </c>
      <c r="B410">
        <v>19.820063000000001</v>
      </c>
      <c r="C410">
        <v>20.499853000000002</v>
      </c>
      <c r="D410">
        <v>20.090243999999998</v>
      </c>
      <c r="E410">
        <v>19.716784000000001</v>
      </c>
      <c r="F410">
        <v>20.127613</v>
      </c>
      <c r="G410">
        <v>20.160050999999999</v>
      </c>
      <c r="H410">
        <v>19.269469999999998</v>
      </c>
      <c r="I410">
        <v>19.752179999999999</v>
      </c>
      <c r="J410">
        <v>21.192015000000001</v>
      </c>
      <c r="K410">
        <v>21.813713</v>
      </c>
      <c r="L410">
        <v>21.731524</v>
      </c>
      <c r="M410">
        <v>20.299759999999999</v>
      </c>
      <c r="N410">
        <v>20.604005999999998</v>
      </c>
      <c r="O410">
        <v>21.673774999999999</v>
      </c>
      <c r="P410">
        <v>21.271139999999999</v>
      </c>
      <c r="Q410">
        <v>20.354783999999999</v>
      </c>
      <c r="R410">
        <v>21.615155999999999</v>
      </c>
      <c r="S410">
        <v>18.844598999999999</v>
      </c>
      <c r="T410">
        <v>20.775842999999998</v>
      </c>
      <c r="U410">
        <v>21.622717000000002</v>
      </c>
      <c r="V410">
        <v>21.062242999999999</v>
      </c>
      <c r="W410">
        <v>20.633853999999999</v>
      </c>
      <c r="X410">
        <v>21.218401</v>
      </c>
      <c r="Y410">
        <v>22.685943999999999</v>
      </c>
      <c r="Z410">
        <v>22.105536000000001</v>
      </c>
      <c r="AA410">
        <v>23.146806999999999</v>
      </c>
      <c r="AB410">
        <v>22.706415</v>
      </c>
      <c r="AC410">
        <v>20.578852000000001</v>
      </c>
      <c r="AD410">
        <v>21.9312</v>
      </c>
      <c r="AE410">
        <v>21.54515</v>
      </c>
      <c r="AF410">
        <v>23.640535</v>
      </c>
      <c r="AG410">
        <v>22.866121</v>
      </c>
    </row>
    <row r="411" spans="1:33" x14ac:dyDescent="0.25">
      <c r="A411" s="1">
        <v>44462</v>
      </c>
      <c r="B411">
        <v>19.891107999999999</v>
      </c>
      <c r="C411">
        <v>20.433653</v>
      </c>
      <c r="D411">
        <v>20.17033</v>
      </c>
      <c r="E411">
        <v>19.822924</v>
      </c>
      <c r="F411">
        <v>20.051262000000001</v>
      </c>
      <c r="G411">
        <v>20.122129999999999</v>
      </c>
      <c r="H411">
        <v>19.295211999999999</v>
      </c>
      <c r="I411">
        <v>19.553583</v>
      </c>
      <c r="J411">
        <v>21.149467000000001</v>
      </c>
      <c r="K411">
        <v>21.740746000000001</v>
      </c>
      <c r="L411">
        <v>21.687576</v>
      </c>
      <c r="M411">
        <v>20.252669999999998</v>
      </c>
      <c r="N411">
        <v>20.544951999999999</v>
      </c>
      <c r="O411">
        <v>21.644691000000002</v>
      </c>
      <c r="P411">
        <v>21.198708</v>
      </c>
      <c r="Q411">
        <v>20.3032</v>
      </c>
      <c r="R411">
        <v>21.582031000000001</v>
      </c>
      <c r="S411">
        <v>18.841702999999999</v>
      </c>
      <c r="T411">
        <v>20.711489</v>
      </c>
      <c r="U411">
        <v>21.777674000000001</v>
      </c>
      <c r="V411">
        <v>20.947507999999999</v>
      </c>
      <c r="W411">
        <v>20.540240000000001</v>
      </c>
      <c r="X411">
        <v>21.077621000000001</v>
      </c>
      <c r="Y411">
        <v>22.639305</v>
      </c>
      <c r="Z411">
        <v>22.142610000000001</v>
      </c>
      <c r="AA411">
        <v>23.095184</v>
      </c>
      <c r="AB411">
        <v>22.685234000000001</v>
      </c>
      <c r="AC411">
        <v>20.627527000000001</v>
      </c>
      <c r="AD411">
        <v>21.890238</v>
      </c>
      <c r="AE411">
        <v>21.672706999999999</v>
      </c>
      <c r="AF411">
        <v>23.612974000000001</v>
      </c>
      <c r="AG411">
        <v>22.870557999999999</v>
      </c>
    </row>
    <row r="412" spans="1:33" x14ac:dyDescent="0.25">
      <c r="A412" s="1">
        <v>44463</v>
      </c>
      <c r="B412">
        <v>20.171371000000001</v>
      </c>
      <c r="C412">
        <v>20.469480000000001</v>
      </c>
      <c r="D412">
        <v>20.324434</v>
      </c>
      <c r="E412">
        <v>19.997332</v>
      </c>
      <c r="F412">
        <v>20.113111</v>
      </c>
      <c r="G412">
        <v>20.186496999999999</v>
      </c>
      <c r="H412">
        <v>19.357218</v>
      </c>
      <c r="I412">
        <v>19.735123000000002</v>
      </c>
      <c r="J412">
        <v>21.31146</v>
      </c>
      <c r="K412">
        <v>21.805009999999999</v>
      </c>
      <c r="L412">
        <v>21.757189</v>
      </c>
      <c r="M412">
        <v>20.348310000000001</v>
      </c>
      <c r="N412">
        <v>20.680765000000001</v>
      </c>
      <c r="O412">
        <v>21.683596000000001</v>
      </c>
      <c r="P412">
        <v>21.255178000000001</v>
      </c>
      <c r="Q412">
        <v>20.379705000000001</v>
      </c>
      <c r="R412">
        <v>21.615404000000002</v>
      </c>
      <c r="S412">
        <v>19.187059999999999</v>
      </c>
      <c r="T412">
        <v>20.822779000000001</v>
      </c>
      <c r="U412">
        <v>21.268277999999999</v>
      </c>
      <c r="V412">
        <v>21.002417000000001</v>
      </c>
      <c r="W412">
        <v>20.494230000000002</v>
      </c>
      <c r="X412">
        <v>21.111792000000001</v>
      </c>
      <c r="Y412">
        <v>22.679565</v>
      </c>
      <c r="Z412">
        <v>22.209817999999999</v>
      </c>
      <c r="AA412">
        <v>23.081572000000001</v>
      </c>
      <c r="AB412">
        <v>22.698212000000002</v>
      </c>
      <c r="AC412">
        <v>20.680797999999999</v>
      </c>
      <c r="AD412">
        <v>21.918123000000001</v>
      </c>
      <c r="AE412">
        <v>21.314615</v>
      </c>
      <c r="AF412">
        <v>23.580725000000001</v>
      </c>
      <c r="AG412">
        <v>22.897629999999999</v>
      </c>
    </row>
    <row r="413" spans="1:33" x14ac:dyDescent="0.25">
      <c r="A413" s="1">
        <v>44464</v>
      </c>
      <c r="B413">
        <v>19.761559999999999</v>
      </c>
      <c r="C413">
        <v>20.179013999999999</v>
      </c>
      <c r="D413">
        <v>20.129116</v>
      </c>
      <c r="E413">
        <v>19.806822</v>
      </c>
      <c r="F413">
        <v>19.693342000000001</v>
      </c>
      <c r="G413">
        <v>20.038786000000002</v>
      </c>
      <c r="H413">
        <v>19.220580000000002</v>
      </c>
      <c r="I413">
        <v>18.957118999999999</v>
      </c>
      <c r="J413">
        <v>20.872188999999999</v>
      </c>
      <c r="K413">
        <v>21.611229000000002</v>
      </c>
      <c r="L413">
        <v>21.603186000000001</v>
      </c>
      <c r="M413">
        <v>20.127737</v>
      </c>
      <c r="N413">
        <v>20.420339999999999</v>
      </c>
      <c r="O413">
        <v>21.509888</v>
      </c>
      <c r="P413">
        <v>21.056925</v>
      </c>
      <c r="Q413">
        <v>20.227528</v>
      </c>
      <c r="R413">
        <v>21.449175</v>
      </c>
      <c r="S413">
        <v>18.636547</v>
      </c>
      <c r="T413">
        <v>20.608233999999999</v>
      </c>
      <c r="U413">
        <v>20.520724999999999</v>
      </c>
      <c r="V413">
        <v>20.716187000000001</v>
      </c>
      <c r="W413">
        <v>20.319970999999999</v>
      </c>
      <c r="X413">
        <v>20.836794000000001</v>
      </c>
      <c r="Y413">
        <v>22.627859999999998</v>
      </c>
      <c r="Z413">
        <v>22.033180000000002</v>
      </c>
      <c r="AA413">
        <v>23.001370999999999</v>
      </c>
      <c r="AB413">
        <v>22.636778</v>
      </c>
      <c r="AC413">
        <v>20.681753</v>
      </c>
      <c r="AD413">
        <v>21.792368</v>
      </c>
      <c r="AE413">
        <v>21.361619999999998</v>
      </c>
      <c r="AF413">
        <v>23.500357000000001</v>
      </c>
      <c r="AG413">
        <v>22.816590000000001</v>
      </c>
    </row>
    <row r="414" spans="1:33" x14ac:dyDescent="0.25">
      <c r="A414" s="1">
        <v>44465</v>
      </c>
      <c r="B414">
        <v>19.465824000000001</v>
      </c>
      <c r="C414">
        <v>19.902622000000001</v>
      </c>
      <c r="D414">
        <v>19.792372</v>
      </c>
      <c r="E414">
        <v>19.552893000000001</v>
      </c>
      <c r="F414">
        <v>19.449020000000001</v>
      </c>
      <c r="G414">
        <v>19.777882000000002</v>
      </c>
      <c r="H414">
        <v>19.050039999999999</v>
      </c>
      <c r="I414">
        <v>18.466383</v>
      </c>
      <c r="J414">
        <v>20.264123999999999</v>
      </c>
      <c r="K414">
        <v>21.309664000000001</v>
      </c>
      <c r="L414">
        <v>21.267787999999999</v>
      </c>
      <c r="M414">
        <v>19.871922999999999</v>
      </c>
      <c r="N414">
        <v>20.150476000000001</v>
      </c>
      <c r="O414">
        <v>21.204758000000002</v>
      </c>
      <c r="P414">
        <v>20.787763999999999</v>
      </c>
      <c r="Q414">
        <v>19.948038</v>
      </c>
      <c r="R414">
        <v>21.167538</v>
      </c>
      <c r="S414">
        <v>18.069642999999999</v>
      </c>
      <c r="T414">
        <v>20.264710999999998</v>
      </c>
      <c r="U414">
        <v>20.256029999999999</v>
      </c>
      <c r="V414">
        <v>20.370773</v>
      </c>
      <c r="W414">
        <v>20.137395999999999</v>
      </c>
      <c r="X414">
        <v>20.462900000000001</v>
      </c>
      <c r="Y414">
        <v>22.440259999999999</v>
      </c>
      <c r="Z414">
        <v>21.573532</v>
      </c>
      <c r="AA414">
        <v>22.831800000000001</v>
      </c>
      <c r="AB414">
        <v>22.438275999999998</v>
      </c>
      <c r="AC414">
        <v>20.535139999999998</v>
      </c>
      <c r="AD414">
        <v>21.506180000000001</v>
      </c>
      <c r="AE414">
        <v>21.008333</v>
      </c>
      <c r="AF414">
        <v>23.389547</v>
      </c>
      <c r="AG414">
        <v>22.631506000000002</v>
      </c>
    </row>
    <row r="415" spans="1:33" x14ac:dyDescent="0.25">
      <c r="A415" s="1">
        <v>44466</v>
      </c>
      <c r="B415">
        <v>19.090813000000001</v>
      </c>
      <c r="C415">
        <v>19.728373999999999</v>
      </c>
      <c r="D415">
        <v>19.379684000000001</v>
      </c>
      <c r="E415">
        <v>19.227457000000001</v>
      </c>
      <c r="F415">
        <v>19.273931999999999</v>
      </c>
      <c r="G415">
        <v>19.498031999999998</v>
      </c>
      <c r="H415">
        <v>18.835716000000001</v>
      </c>
      <c r="I415">
        <v>18.041986000000001</v>
      </c>
      <c r="J415">
        <v>19.746804999999998</v>
      </c>
      <c r="K415">
        <v>20.996489</v>
      </c>
      <c r="L415">
        <v>20.907174999999999</v>
      </c>
      <c r="M415">
        <v>19.651582999999999</v>
      </c>
      <c r="N415">
        <v>19.904942999999999</v>
      </c>
      <c r="O415">
        <v>20.875997999999999</v>
      </c>
      <c r="P415">
        <v>20.531748</v>
      </c>
      <c r="Q415">
        <v>19.655294000000001</v>
      </c>
      <c r="R415">
        <v>20.859438000000001</v>
      </c>
      <c r="S415">
        <v>17.376076000000001</v>
      </c>
      <c r="T415">
        <v>19.870927999999999</v>
      </c>
      <c r="U415">
        <v>20.086196999999999</v>
      </c>
      <c r="V415">
        <v>20.051988999999999</v>
      </c>
      <c r="W415">
        <v>20.011488</v>
      </c>
      <c r="X415">
        <v>20.102174999999999</v>
      </c>
      <c r="Y415">
        <v>21.936941000000001</v>
      </c>
      <c r="Z415">
        <v>21.034613</v>
      </c>
      <c r="AA415">
        <v>22.541360000000001</v>
      </c>
      <c r="AB415">
        <v>22.011862000000001</v>
      </c>
      <c r="AC415">
        <v>20.021688000000001</v>
      </c>
      <c r="AD415">
        <v>21.191980000000001</v>
      </c>
      <c r="AE415">
        <v>20.136980000000001</v>
      </c>
      <c r="AF415">
        <v>23.186482999999999</v>
      </c>
      <c r="AG415">
        <v>22.213357999999999</v>
      </c>
    </row>
    <row r="416" spans="1:33" x14ac:dyDescent="0.25">
      <c r="A416" s="1">
        <v>44467</v>
      </c>
      <c r="B416">
        <v>18.791039000000001</v>
      </c>
      <c r="C416">
        <v>19.422646</v>
      </c>
      <c r="D416">
        <v>19.14601</v>
      </c>
      <c r="E416">
        <v>18.980602000000001</v>
      </c>
      <c r="F416">
        <v>19.198269</v>
      </c>
      <c r="G416">
        <v>19.34273</v>
      </c>
      <c r="H416">
        <v>18.839511999999999</v>
      </c>
      <c r="I416">
        <v>17.928861999999999</v>
      </c>
      <c r="J416">
        <v>19.030639999999998</v>
      </c>
      <c r="K416">
        <v>20.688454</v>
      </c>
      <c r="L416">
        <v>20.535630000000001</v>
      </c>
      <c r="M416">
        <v>19.44811</v>
      </c>
      <c r="N416">
        <v>19.735299999999999</v>
      </c>
      <c r="O416">
        <v>20.570481999999998</v>
      </c>
      <c r="P416">
        <v>20.233163999999999</v>
      </c>
      <c r="Q416">
        <v>19.518093</v>
      </c>
      <c r="R416">
        <v>20.564001000000001</v>
      </c>
      <c r="S416">
        <v>17.246030000000001</v>
      </c>
      <c r="T416">
        <v>19.605851999999999</v>
      </c>
      <c r="U416">
        <v>19.878069</v>
      </c>
      <c r="V416">
        <v>19.728762</v>
      </c>
      <c r="W416">
        <v>19.913853</v>
      </c>
      <c r="X416">
        <v>19.847956</v>
      </c>
      <c r="Y416">
        <v>21.386765</v>
      </c>
      <c r="Z416">
        <v>20.642931000000001</v>
      </c>
      <c r="AA416">
        <v>22.005009999999999</v>
      </c>
      <c r="AB416">
        <v>21.537506</v>
      </c>
      <c r="AC416">
        <v>19.253896999999998</v>
      </c>
      <c r="AD416">
        <v>20.8628</v>
      </c>
      <c r="AE416">
        <v>19.422255</v>
      </c>
      <c r="AF416">
        <v>22.739286</v>
      </c>
      <c r="AG416">
        <v>21.517137999999999</v>
      </c>
    </row>
    <row r="417" spans="1:33" x14ac:dyDescent="0.25">
      <c r="A417" s="1">
        <v>44468</v>
      </c>
      <c r="B417">
        <v>18.670736000000002</v>
      </c>
      <c r="C417">
        <v>19.281870000000001</v>
      </c>
      <c r="D417">
        <v>18.970953000000002</v>
      </c>
      <c r="E417">
        <v>18.809657999999999</v>
      </c>
      <c r="F417">
        <v>19.018501000000001</v>
      </c>
      <c r="G417">
        <v>19.108345</v>
      </c>
      <c r="H417">
        <v>18.669884</v>
      </c>
      <c r="I417">
        <v>17.713342999999998</v>
      </c>
      <c r="J417">
        <v>18.418198</v>
      </c>
      <c r="K417">
        <v>20.428049999999999</v>
      </c>
      <c r="L417">
        <v>20.073149000000001</v>
      </c>
      <c r="M417">
        <v>19.182210000000001</v>
      </c>
      <c r="N417">
        <v>19.403378</v>
      </c>
      <c r="O417">
        <v>20.130602</v>
      </c>
      <c r="P417">
        <v>19.847546000000001</v>
      </c>
      <c r="Q417">
        <v>19.238116999999999</v>
      </c>
      <c r="R417">
        <v>20.207224</v>
      </c>
      <c r="S417">
        <v>16.246255999999999</v>
      </c>
      <c r="T417">
        <v>19.160195999999999</v>
      </c>
      <c r="U417">
        <v>19.534189999999999</v>
      </c>
      <c r="V417">
        <v>19.371466000000002</v>
      </c>
      <c r="W417">
        <v>19.437826000000001</v>
      </c>
      <c r="X417">
        <v>19.439838000000002</v>
      </c>
      <c r="Y417">
        <v>20.705454</v>
      </c>
      <c r="Z417">
        <v>20.071128999999999</v>
      </c>
      <c r="AA417">
        <v>21.3627</v>
      </c>
      <c r="AB417">
        <v>20.777564999999999</v>
      </c>
      <c r="AC417">
        <v>18.332201000000001</v>
      </c>
      <c r="AD417">
        <v>20.438386999999999</v>
      </c>
      <c r="AE417">
        <v>18.518381000000002</v>
      </c>
      <c r="AF417">
        <v>22.216597</v>
      </c>
      <c r="AG417">
        <v>20.734406</v>
      </c>
    </row>
    <row r="418" spans="1:33" x14ac:dyDescent="0.25">
      <c r="A418" s="1">
        <v>44469</v>
      </c>
      <c r="B418">
        <v>18.953447000000001</v>
      </c>
      <c r="C418">
        <v>19.280937000000002</v>
      </c>
      <c r="D418">
        <v>18.968464000000001</v>
      </c>
      <c r="E418">
        <v>18.800335</v>
      </c>
      <c r="F418">
        <v>19.120360999999999</v>
      </c>
      <c r="G418">
        <v>19.040365000000001</v>
      </c>
      <c r="H418">
        <v>18.601711000000002</v>
      </c>
      <c r="I418">
        <v>17.989141</v>
      </c>
      <c r="J418">
        <v>18.560997</v>
      </c>
      <c r="K418">
        <v>20.382822000000001</v>
      </c>
      <c r="L418">
        <v>19.995367000000002</v>
      </c>
      <c r="M418">
        <v>19.153147000000001</v>
      </c>
      <c r="N418">
        <v>19.355201999999998</v>
      </c>
      <c r="O418">
        <v>20.060896</v>
      </c>
      <c r="P418">
        <v>19.776306000000002</v>
      </c>
      <c r="Q418">
        <v>19.182043</v>
      </c>
      <c r="R418">
        <v>20.098573999999999</v>
      </c>
      <c r="S418">
        <v>15.971207</v>
      </c>
      <c r="T418">
        <v>19.074041000000001</v>
      </c>
      <c r="U418">
        <v>19.389921000000001</v>
      </c>
      <c r="V418">
        <v>19.409786</v>
      </c>
      <c r="W418">
        <v>19.338217</v>
      </c>
      <c r="X418">
        <v>19.513676</v>
      </c>
      <c r="Y418">
        <v>20.398218</v>
      </c>
      <c r="Z418">
        <v>19.850221999999999</v>
      </c>
      <c r="AA418">
        <v>21.124071000000001</v>
      </c>
      <c r="AB418">
        <v>20.576720000000002</v>
      </c>
      <c r="AC418">
        <v>18.078610999999999</v>
      </c>
      <c r="AD418">
        <v>20.238240000000001</v>
      </c>
      <c r="AE418">
        <v>18.437799999999999</v>
      </c>
      <c r="AF418">
        <v>21.970835000000001</v>
      </c>
      <c r="AG418">
        <v>20.528500000000001</v>
      </c>
    </row>
    <row r="419" spans="1:33" x14ac:dyDescent="0.25">
      <c r="A419" s="1">
        <v>44470</v>
      </c>
      <c r="B419">
        <v>19.297650999999998</v>
      </c>
      <c r="C419">
        <v>19.394736999999999</v>
      </c>
      <c r="D419">
        <v>19.144463999999999</v>
      </c>
      <c r="E419">
        <v>18.953762000000001</v>
      </c>
      <c r="F419">
        <v>19.402529000000001</v>
      </c>
      <c r="G419">
        <v>19.17991</v>
      </c>
      <c r="H419">
        <v>18.687504000000001</v>
      </c>
      <c r="I419">
        <v>18.706900000000001</v>
      </c>
      <c r="J419">
        <v>19.002174</v>
      </c>
      <c r="K419">
        <v>20.446981000000001</v>
      </c>
      <c r="L419">
        <v>20.073639</v>
      </c>
      <c r="M419">
        <v>19.295933000000002</v>
      </c>
      <c r="N419">
        <v>19.459402000000001</v>
      </c>
      <c r="O419">
        <v>20.069105</v>
      </c>
      <c r="P419">
        <v>19.847895000000001</v>
      </c>
      <c r="Q419">
        <v>19.301038999999999</v>
      </c>
      <c r="R419">
        <v>20.106112</v>
      </c>
      <c r="S419">
        <v>16.234452999999998</v>
      </c>
      <c r="T419">
        <v>19.137212999999999</v>
      </c>
      <c r="U419">
        <v>19.405165</v>
      </c>
      <c r="V419">
        <v>19.512513999999999</v>
      </c>
      <c r="W419">
        <v>19.011099000000002</v>
      </c>
      <c r="X419">
        <v>19.593972999999998</v>
      </c>
      <c r="Y419">
        <v>20.359279999999998</v>
      </c>
      <c r="Z419">
        <v>19.862992999999999</v>
      </c>
      <c r="AA419">
        <v>21.115159999999999</v>
      </c>
      <c r="AB419">
        <v>20.36148</v>
      </c>
      <c r="AC419">
        <v>18.045566999999998</v>
      </c>
      <c r="AD419">
        <v>20.231065999999998</v>
      </c>
      <c r="AE419">
        <v>18.501847999999999</v>
      </c>
      <c r="AF419">
        <v>21.854761</v>
      </c>
      <c r="AG419">
        <v>20.51727</v>
      </c>
    </row>
    <row r="420" spans="1:33" x14ac:dyDescent="0.25">
      <c r="A420" s="1">
        <v>44471</v>
      </c>
      <c r="B420">
        <v>19.535034</v>
      </c>
      <c r="C420">
        <v>19.503923</v>
      </c>
      <c r="D420">
        <v>19.383806</v>
      </c>
      <c r="E420">
        <v>19.185099999999998</v>
      </c>
      <c r="F420">
        <v>19.567136999999999</v>
      </c>
      <c r="G420">
        <v>19.341448</v>
      </c>
      <c r="H420">
        <v>18.848897999999998</v>
      </c>
      <c r="I420">
        <v>19.291969999999999</v>
      </c>
      <c r="J420">
        <v>19.487715000000001</v>
      </c>
      <c r="K420">
        <v>20.514900000000001</v>
      </c>
      <c r="L420">
        <v>20.169461999999999</v>
      </c>
      <c r="M420">
        <v>19.448592999999999</v>
      </c>
      <c r="N420">
        <v>19.558771</v>
      </c>
      <c r="O420">
        <v>20.111456</v>
      </c>
      <c r="P420">
        <v>19.945665000000002</v>
      </c>
      <c r="Q420">
        <v>19.432959</v>
      </c>
      <c r="R420">
        <v>20.135874000000001</v>
      </c>
      <c r="S420">
        <v>16.795590000000001</v>
      </c>
      <c r="T420">
        <v>19.274719999999999</v>
      </c>
      <c r="U420">
        <v>19.224969999999999</v>
      </c>
      <c r="V420">
        <v>19.628511</v>
      </c>
      <c r="W420">
        <v>19.028067</v>
      </c>
      <c r="X420">
        <v>19.705348999999998</v>
      </c>
      <c r="Y420">
        <v>20.436458999999999</v>
      </c>
      <c r="Z420">
        <v>20.000944</v>
      </c>
      <c r="AA420">
        <v>21.143567999999998</v>
      </c>
      <c r="AB420">
        <v>20.474266</v>
      </c>
      <c r="AC420">
        <v>18.168344000000001</v>
      </c>
      <c r="AD420">
        <v>20.272020000000001</v>
      </c>
      <c r="AE420">
        <v>19.062913999999999</v>
      </c>
      <c r="AF420">
        <v>21.797308000000001</v>
      </c>
      <c r="AG420">
        <v>20.624807000000001</v>
      </c>
    </row>
    <row r="421" spans="1:33" x14ac:dyDescent="0.25">
      <c r="A421" s="1">
        <v>44472</v>
      </c>
      <c r="B421">
        <v>19.641007999999999</v>
      </c>
      <c r="C421">
        <v>19.620743000000001</v>
      </c>
      <c r="D421">
        <v>19.602022000000002</v>
      </c>
      <c r="E421">
        <v>19.372810000000001</v>
      </c>
      <c r="F421">
        <v>19.677900000000001</v>
      </c>
      <c r="G421">
        <v>19.486796999999999</v>
      </c>
      <c r="H421">
        <v>18.999147000000001</v>
      </c>
      <c r="I421">
        <v>19.648226000000001</v>
      </c>
      <c r="J421">
        <v>19.851603999999998</v>
      </c>
      <c r="K421">
        <v>20.582888000000001</v>
      </c>
      <c r="L421">
        <v>20.235422</v>
      </c>
      <c r="M421">
        <v>19.585432000000001</v>
      </c>
      <c r="N421">
        <v>19.650735999999998</v>
      </c>
      <c r="O421">
        <v>20.152891</v>
      </c>
      <c r="P421">
        <v>20.043478</v>
      </c>
      <c r="Q421">
        <v>19.559615999999998</v>
      </c>
      <c r="R421">
        <v>20.163399999999999</v>
      </c>
      <c r="S421">
        <v>17.326371999999999</v>
      </c>
      <c r="T421">
        <v>19.378212000000001</v>
      </c>
      <c r="U421">
        <v>19.193476</v>
      </c>
      <c r="V421">
        <v>19.701750000000001</v>
      </c>
      <c r="W421">
        <v>18.931625</v>
      </c>
      <c r="X421">
        <v>19.757998000000001</v>
      </c>
      <c r="Y421">
        <v>20.546614000000002</v>
      </c>
      <c r="Z421">
        <v>20.13372</v>
      </c>
      <c r="AA421">
        <v>21.201342</v>
      </c>
      <c r="AB421">
        <v>20.580328000000002</v>
      </c>
      <c r="AC421">
        <v>18.300637999999999</v>
      </c>
      <c r="AD421">
        <v>20.312557000000002</v>
      </c>
      <c r="AE421">
        <v>19.565874000000001</v>
      </c>
      <c r="AF421">
        <v>21.732099999999999</v>
      </c>
      <c r="AG421">
        <v>20.73676</v>
      </c>
    </row>
    <row r="422" spans="1:33" x14ac:dyDescent="0.25">
      <c r="A422" s="1">
        <v>44473</v>
      </c>
      <c r="B422">
        <v>19.686968</v>
      </c>
      <c r="C422">
        <v>19.725107000000001</v>
      </c>
      <c r="D422">
        <v>19.707025999999999</v>
      </c>
      <c r="E422">
        <v>19.494976000000001</v>
      </c>
      <c r="F422">
        <v>19.712430999999999</v>
      </c>
      <c r="G422">
        <v>19.598051000000002</v>
      </c>
      <c r="H422">
        <v>19.099031</v>
      </c>
      <c r="I422">
        <v>19.766096000000001</v>
      </c>
      <c r="J422">
        <v>20.036922000000001</v>
      </c>
      <c r="K422">
        <v>20.617961999999999</v>
      </c>
      <c r="L422">
        <v>20.266553999999999</v>
      </c>
      <c r="M422">
        <v>19.680254000000001</v>
      </c>
      <c r="N422">
        <v>19.685251000000001</v>
      </c>
      <c r="O422">
        <v>20.146868000000001</v>
      </c>
      <c r="P422">
        <v>20.104765</v>
      </c>
      <c r="Q422">
        <v>19.668112000000001</v>
      </c>
      <c r="R422">
        <v>20.161657000000002</v>
      </c>
      <c r="S422">
        <v>17.665323000000001</v>
      </c>
      <c r="T422">
        <v>19.418241999999999</v>
      </c>
      <c r="U422">
        <v>19.284754</v>
      </c>
      <c r="V422">
        <v>19.689897999999999</v>
      </c>
      <c r="W422">
        <v>18.854792</v>
      </c>
      <c r="X422">
        <v>19.715617999999999</v>
      </c>
      <c r="Y422">
        <v>20.633569999999999</v>
      </c>
      <c r="Z422">
        <v>20.196425999999999</v>
      </c>
      <c r="AA422">
        <v>21.258953000000002</v>
      </c>
      <c r="AB422">
        <v>20.676521000000001</v>
      </c>
      <c r="AC422">
        <v>18.333082000000001</v>
      </c>
      <c r="AD422">
        <v>20.322369999999999</v>
      </c>
      <c r="AE422">
        <v>19.695941999999999</v>
      </c>
      <c r="AF422">
        <v>21.646211999999998</v>
      </c>
      <c r="AG422">
        <v>20.785477</v>
      </c>
    </row>
    <row r="423" spans="1:33" x14ac:dyDescent="0.25">
      <c r="A423" s="1">
        <v>44474</v>
      </c>
      <c r="B423">
        <v>19.243849999999998</v>
      </c>
      <c r="C423">
        <v>19.431177000000002</v>
      </c>
      <c r="D423">
        <v>19.389612</v>
      </c>
      <c r="E423">
        <v>19.255938</v>
      </c>
      <c r="F423">
        <v>19.253468000000002</v>
      </c>
      <c r="G423">
        <v>19.452487999999999</v>
      </c>
      <c r="H423">
        <v>18.899183000000001</v>
      </c>
      <c r="I423">
        <v>18.810644</v>
      </c>
      <c r="J423">
        <v>19.812177999999999</v>
      </c>
      <c r="K423">
        <v>20.447780000000002</v>
      </c>
      <c r="L423">
        <v>20.081367</v>
      </c>
      <c r="M423">
        <v>19.483996999999999</v>
      </c>
      <c r="N423">
        <v>19.432417000000001</v>
      </c>
      <c r="O423">
        <v>19.983789999999999</v>
      </c>
      <c r="P423">
        <v>19.953188000000001</v>
      </c>
      <c r="Q423">
        <v>19.515495000000001</v>
      </c>
      <c r="R423">
        <v>19.987822999999999</v>
      </c>
      <c r="S423">
        <v>17.350511999999998</v>
      </c>
      <c r="T423">
        <v>19.182276000000002</v>
      </c>
      <c r="U423">
        <v>19.274837000000002</v>
      </c>
      <c r="V423">
        <v>19.346754000000001</v>
      </c>
      <c r="W423">
        <v>18.790386000000002</v>
      </c>
      <c r="X423">
        <v>19.386980000000001</v>
      </c>
      <c r="Y423">
        <v>20.537476999999999</v>
      </c>
      <c r="Z423">
        <v>20.097069000000001</v>
      </c>
      <c r="AA423">
        <v>21.1997</v>
      </c>
      <c r="AB423">
        <v>20.547332999999998</v>
      </c>
      <c r="AC423">
        <v>18.340437000000001</v>
      </c>
      <c r="AD423">
        <v>20.196580000000001</v>
      </c>
      <c r="AE423">
        <v>19.766698999999999</v>
      </c>
      <c r="AF423">
        <v>21.555800000000001</v>
      </c>
      <c r="AG423">
        <v>20.663694</v>
      </c>
    </row>
    <row r="424" spans="1:33" x14ac:dyDescent="0.25">
      <c r="A424" s="1">
        <v>44475</v>
      </c>
      <c r="B424">
        <v>18.686249</v>
      </c>
      <c r="C424">
        <v>19.072723</v>
      </c>
      <c r="D424">
        <v>18.895682999999998</v>
      </c>
      <c r="E424">
        <v>18.799309999999998</v>
      </c>
      <c r="F424">
        <v>18.798190999999999</v>
      </c>
      <c r="G424">
        <v>19.111882999999999</v>
      </c>
      <c r="H424">
        <v>18.652844999999999</v>
      </c>
      <c r="I424">
        <v>17.888967999999998</v>
      </c>
      <c r="J424">
        <v>19.142199000000002</v>
      </c>
      <c r="K424">
        <v>20.125881</v>
      </c>
      <c r="L424">
        <v>19.750969000000001</v>
      </c>
      <c r="M424">
        <v>19.151859999999999</v>
      </c>
      <c r="N424">
        <v>19.068252999999999</v>
      </c>
      <c r="O424">
        <v>19.695967</v>
      </c>
      <c r="P424">
        <v>19.638914</v>
      </c>
      <c r="Q424">
        <v>19.163284000000001</v>
      </c>
      <c r="R424">
        <v>19.721115000000001</v>
      </c>
      <c r="S424">
        <v>16.694520000000001</v>
      </c>
      <c r="T424">
        <v>18.732503999999999</v>
      </c>
      <c r="U424">
        <v>19.086838</v>
      </c>
      <c r="V424">
        <v>18.881640000000001</v>
      </c>
      <c r="W424">
        <v>18.663754000000001</v>
      </c>
      <c r="X424">
        <v>18.878366</v>
      </c>
      <c r="Y424">
        <v>19.970258999999999</v>
      </c>
      <c r="Z424">
        <v>19.738365000000002</v>
      </c>
      <c r="AA424">
        <v>20.957964</v>
      </c>
      <c r="AB424">
        <v>20.064692000000001</v>
      </c>
      <c r="AC424">
        <v>17.948986000000001</v>
      </c>
      <c r="AD424">
        <v>19.938790999999998</v>
      </c>
      <c r="AE424">
        <v>19.323157999999999</v>
      </c>
      <c r="AF424">
        <v>21.287631999999999</v>
      </c>
      <c r="AG424">
        <v>20.340852999999999</v>
      </c>
    </row>
    <row r="425" spans="1:33" x14ac:dyDescent="0.25">
      <c r="A425" s="1">
        <v>44476</v>
      </c>
      <c r="B425">
        <v>18.168512</v>
      </c>
      <c r="C425">
        <v>18.578123000000001</v>
      </c>
      <c r="D425">
        <v>18.312899999999999</v>
      </c>
      <c r="E425">
        <v>18.301483000000001</v>
      </c>
      <c r="F425">
        <v>18.265234</v>
      </c>
      <c r="G425">
        <v>18.719571999999999</v>
      </c>
      <c r="H425">
        <v>18.344473000000001</v>
      </c>
      <c r="I425">
        <v>17.116575000000001</v>
      </c>
      <c r="J425">
        <v>18.534680999999999</v>
      </c>
      <c r="K425">
        <v>19.812746000000001</v>
      </c>
      <c r="L425">
        <v>19.423030000000001</v>
      </c>
      <c r="M425">
        <v>18.719373999999998</v>
      </c>
      <c r="N425">
        <v>18.661306</v>
      </c>
      <c r="O425">
        <v>19.366339</v>
      </c>
      <c r="P425">
        <v>19.283874999999998</v>
      </c>
      <c r="Q425">
        <v>18.73997</v>
      </c>
      <c r="R425">
        <v>19.410813999999998</v>
      </c>
      <c r="S425">
        <v>16.046925999999999</v>
      </c>
      <c r="T425">
        <v>18.296274</v>
      </c>
      <c r="U425">
        <v>18.830041999999999</v>
      </c>
      <c r="V425">
        <v>18.431322000000002</v>
      </c>
      <c r="W425">
        <v>18.506122999999999</v>
      </c>
      <c r="X425">
        <v>18.446923999999999</v>
      </c>
      <c r="Y425">
        <v>19.334274000000001</v>
      </c>
      <c r="Z425">
        <v>19.336366999999999</v>
      </c>
      <c r="AA425">
        <v>20.470675</v>
      </c>
      <c r="AB425">
        <v>19.494205000000001</v>
      </c>
      <c r="AC425">
        <v>17.009602000000001</v>
      </c>
      <c r="AD425">
        <v>19.63327</v>
      </c>
      <c r="AE425">
        <v>18.359632000000001</v>
      </c>
      <c r="AF425">
        <v>20.869287</v>
      </c>
      <c r="AG425">
        <v>19.692677</v>
      </c>
    </row>
    <row r="426" spans="1:33" x14ac:dyDescent="0.25">
      <c r="A426" s="1">
        <v>44477</v>
      </c>
      <c r="B426">
        <v>17.533912999999998</v>
      </c>
      <c r="C426">
        <v>18.099440000000001</v>
      </c>
      <c r="D426">
        <v>17.667245999999999</v>
      </c>
      <c r="E426">
        <v>17.693505999999999</v>
      </c>
      <c r="F426">
        <v>17.714382000000001</v>
      </c>
      <c r="G426">
        <v>18.220397999999999</v>
      </c>
      <c r="H426">
        <v>17.960156999999999</v>
      </c>
      <c r="I426">
        <v>16.32122</v>
      </c>
      <c r="J426">
        <v>17.881858999999999</v>
      </c>
      <c r="K426">
        <v>19.490780000000001</v>
      </c>
      <c r="L426">
        <v>19.055792</v>
      </c>
      <c r="M426">
        <v>18.222925</v>
      </c>
      <c r="N426">
        <v>18.205269000000001</v>
      </c>
      <c r="O426">
        <v>19.070603999999999</v>
      </c>
      <c r="P426">
        <v>18.852896000000001</v>
      </c>
      <c r="Q426">
        <v>18.232115</v>
      </c>
      <c r="R426">
        <v>19.112031999999999</v>
      </c>
      <c r="S426">
        <v>15.440041000000001</v>
      </c>
      <c r="T426">
        <v>17.916067000000002</v>
      </c>
      <c r="U426">
        <v>18.394873</v>
      </c>
      <c r="V426">
        <v>18.08325</v>
      </c>
      <c r="W426">
        <v>18.107073</v>
      </c>
      <c r="X426">
        <v>18.122586999999999</v>
      </c>
      <c r="Y426">
        <v>18.844687</v>
      </c>
      <c r="Z426">
        <v>18.908415000000002</v>
      </c>
      <c r="AA426">
        <v>19.976353</v>
      </c>
      <c r="AB426">
        <v>18.988947</v>
      </c>
      <c r="AC426">
        <v>16.213895999999998</v>
      </c>
      <c r="AD426">
        <v>19.297084999999999</v>
      </c>
      <c r="AE426">
        <v>17.700586000000001</v>
      </c>
      <c r="AF426">
        <v>20.405819000000001</v>
      </c>
      <c r="AG426">
        <v>19.177316999999999</v>
      </c>
    </row>
    <row r="427" spans="1:33" x14ac:dyDescent="0.25">
      <c r="A427" s="1">
        <v>44478</v>
      </c>
      <c r="B427">
        <v>17.262931999999999</v>
      </c>
      <c r="C427">
        <v>17.909390999999999</v>
      </c>
      <c r="D427">
        <v>17.230732</v>
      </c>
      <c r="E427">
        <v>17.237154</v>
      </c>
      <c r="F427">
        <v>17.586845</v>
      </c>
      <c r="G427">
        <v>17.885995999999999</v>
      </c>
      <c r="H427">
        <v>17.643179</v>
      </c>
      <c r="I427">
        <v>16.178158</v>
      </c>
      <c r="J427">
        <v>17.548607000000001</v>
      </c>
      <c r="K427">
        <v>19.206071999999999</v>
      </c>
      <c r="L427">
        <v>18.773309999999999</v>
      </c>
      <c r="M427">
        <v>17.930250000000001</v>
      </c>
      <c r="N427">
        <v>17.951643000000001</v>
      </c>
      <c r="O427">
        <v>18.74588</v>
      </c>
      <c r="P427">
        <v>18.620937000000001</v>
      </c>
      <c r="Q427">
        <v>17.922875999999999</v>
      </c>
      <c r="R427">
        <v>18.844266999999999</v>
      </c>
      <c r="S427">
        <v>15.009155</v>
      </c>
      <c r="T427">
        <v>17.585688000000001</v>
      </c>
      <c r="U427">
        <v>17.995729999999998</v>
      </c>
      <c r="V427">
        <v>17.848120000000002</v>
      </c>
      <c r="W427">
        <v>17.661318000000001</v>
      </c>
      <c r="X427">
        <v>17.924469999999999</v>
      </c>
      <c r="Y427">
        <v>18.353539000000001</v>
      </c>
      <c r="Z427">
        <v>18.561468000000001</v>
      </c>
      <c r="AA427">
        <v>19.547170000000001</v>
      </c>
      <c r="AB427">
        <v>18.693811</v>
      </c>
      <c r="AC427">
        <v>15.659451000000001</v>
      </c>
      <c r="AD427">
        <v>19.023866999999999</v>
      </c>
      <c r="AE427">
        <v>17.082236999999999</v>
      </c>
      <c r="AF427">
        <v>20.016190000000002</v>
      </c>
      <c r="AG427">
        <v>18.839811000000001</v>
      </c>
    </row>
    <row r="428" spans="1:33" x14ac:dyDescent="0.25">
      <c r="A428" s="1">
        <v>44479</v>
      </c>
      <c r="B428">
        <v>17.173940000000002</v>
      </c>
      <c r="C428">
        <v>17.870047</v>
      </c>
      <c r="D428">
        <v>17.144817</v>
      </c>
      <c r="E428">
        <v>17.074916999999999</v>
      </c>
      <c r="F428">
        <v>17.557321999999999</v>
      </c>
      <c r="G428">
        <v>17.764994000000002</v>
      </c>
      <c r="H428">
        <v>17.636301</v>
      </c>
      <c r="I428">
        <v>16.541077000000001</v>
      </c>
      <c r="J428">
        <v>17.547922</v>
      </c>
      <c r="K428">
        <v>19.086884000000001</v>
      </c>
      <c r="L428">
        <v>18.654050000000002</v>
      </c>
      <c r="M428">
        <v>17.843160000000001</v>
      </c>
      <c r="N428">
        <v>17.870204999999999</v>
      </c>
      <c r="O428">
        <v>18.582955999999999</v>
      </c>
      <c r="P428">
        <v>18.481472</v>
      </c>
      <c r="Q428">
        <v>17.822420000000001</v>
      </c>
      <c r="R428">
        <v>18.6721</v>
      </c>
      <c r="S428">
        <v>14.900166</v>
      </c>
      <c r="T428">
        <v>17.487223</v>
      </c>
      <c r="U428">
        <v>17.615963000000001</v>
      </c>
      <c r="V428">
        <v>17.757807</v>
      </c>
      <c r="W428">
        <v>17.156374</v>
      </c>
      <c r="X428">
        <v>17.855051</v>
      </c>
      <c r="Y428">
        <v>18.217894000000001</v>
      </c>
      <c r="Z428">
        <v>18.359739999999999</v>
      </c>
      <c r="AA428">
        <v>19.306695999999999</v>
      </c>
      <c r="AB428">
        <v>18.491862999999999</v>
      </c>
      <c r="AC428">
        <v>15.216739</v>
      </c>
      <c r="AD428">
        <v>18.851547</v>
      </c>
      <c r="AE428">
        <v>17.292845</v>
      </c>
      <c r="AF428">
        <v>19.722283999999998</v>
      </c>
      <c r="AG428">
        <v>18.695623000000001</v>
      </c>
    </row>
    <row r="429" spans="1:33" x14ac:dyDescent="0.25">
      <c r="A429" s="1">
        <v>44480</v>
      </c>
      <c r="B429">
        <v>16.183043999999999</v>
      </c>
      <c r="C429">
        <v>17.318059999999999</v>
      </c>
      <c r="D429">
        <v>16.765594</v>
      </c>
      <c r="E429">
        <v>16.448370000000001</v>
      </c>
      <c r="F429">
        <v>16.851846999999999</v>
      </c>
      <c r="G429">
        <v>17.487818000000001</v>
      </c>
      <c r="H429">
        <v>17.310659999999999</v>
      </c>
      <c r="I429">
        <v>15.760819</v>
      </c>
      <c r="J429">
        <v>16.239916000000001</v>
      </c>
      <c r="K429">
        <v>18.580214000000002</v>
      </c>
      <c r="L429">
        <v>18.041727000000002</v>
      </c>
      <c r="M429">
        <v>17.417840000000002</v>
      </c>
      <c r="N429">
        <v>17.287783000000001</v>
      </c>
      <c r="O429">
        <v>18.100954000000002</v>
      </c>
      <c r="P429">
        <v>17.936831999999999</v>
      </c>
      <c r="Q429">
        <v>17.529232</v>
      </c>
      <c r="R429">
        <v>18.079744000000002</v>
      </c>
      <c r="S429">
        <v>14.134827</v>
      </c>
      <c r="T429">
        <v>16.890186</v>
      </c>
      <c r="U429">
        <v>16.782865999999999</v>
      </c>
      <c r="V429">
        <v>17.063717</v>
      </c>
      <c r="W429">
        <v>16.414497000000001</v>
      </c>
      <c r="X429">
        <v>17.140566</v>
      </c>
      <c r="Y429">
        <v>17.656037999999999</v>
      </c>
      <c r="Z429">
        <v>17.569486999999999</v>
      </c>
      <c r="AA429">
        <v>18.599228</v>
      </c>
      <c r="AB429">
        <v>17.824059999999999</v>
      </c>
      <c r="AC429">
        <v>14.3643</v>
      </c>
      <c r="AD429">
        <v>18.267583999999999</v>
      </c>
      <c r="AE429">
        <v>16.190183999999999</v>
      </c>
      <c r="AF429">
        <v>19.090585999999998</v>
      </c>
      <c r="AG429">
        <v>17.792124000000001</v>
      </c>
    </row>
    <row r="430" spans="1:33" x14ac:dyDescent="0.25">
      <c r="A430" s="1">
        <v>44481</v>
      </c>
      <c r="B430">
        <v>15.113998</v>
      </c>
      <c r="C430">
        <v>16.375226999999999</v>
      </c>
      <c r="D430">
        <v>15.712596</v>
      </c>
      <c r="E430">
        <v>15.382099999999999</v>
      </c>
      <c r="F430">
        <v>15.818413</v>
      </c>
      <c r="G430">
        <v>16.503218</v>
      </c>
      <c r="H430">
        <v>16.515982000000001</v>
      </c>
      <c r="I430">
        <v>14.507274000000001</v>
      </c>
      <c r="J430">
        <v>14.421296</v>
      </c>
      <c r="K430">
        <v>17.637280000000001</v>
      </c>
      <c r="L430">
        <v>16.843086</v>
      </c>
      <c r="M430">
        <v>16.447970000000002</v>
      </c>
      <c r="N430">
        <v>16.299982</v>
      </c>
      <c r="O430">
        <v>16.953295000000001</v>
      </c>
      <c r="P430">
        <v>16.927153000000001</v>
      </c>
      <c r="Q430">
        <v>16.560320000000001</v>
      </c>
      <c r="R430">
        <v>17.016596</v>
      </c>
      <c r="S430">
        <v>12.375057</v>
      </c>
      <c r="T430">
        <v>15.612128</v>
      </c>
      <c r="U430">
        <v>15.602482999999999</v>
      </c>
      <c r="V430">
        <v>15.694808</v>
      </c>
      <c r="W430">
        <v>15.232892</v>
      </c>
      <c r="X430">
        <v>15.644085</v>
      </c>
      <c r="Y430">
        <v>16.031565000000001</v>
      </c>
      <c r="Z430">
        <v>16.101198</v>
      </c>
      <c r="AA430">
        <v>17.198841000000002</v>
      </c>
      <c r="AB430">
        <v>16.325299999999999</v>
      </c>
      <c r="AC430">
        <v>12.615736999999999</v>
      </c>
      <c r="AD430">
        <v>17.166409999999999</v>
      </c>
      <c r="AE430">
        <v>14.167096000000001</v>
      </c>
      <c r="AF430">
        <v>17.881916</v>
      </c>
      <c r="AG430">
        <v>16.116568000000001</v>
      </c>
    </row>
    <row r="431" spans="1:33" x14ac:dyDescent="0.25">
      <c r="A431" s="1">
        <v>44482</v>
      </c>
      <c r="B431">
        <v>14.997631</v>
      </c>
      <c r="C431">
        <v>16.011102999999999</v>
      </c>
      <c r="D431">
        <v>15.103204</v>
      </c>
      <c r="E431">
        <v>15.012534</v>
      </c>
      <c r="F431">
        <v>15.487125000000001</v>
      </c>
      <c r="G431">
        <v>15.965726</v>
      </c>
      <c r="H431">
        <v>16.223057000000001</v>
      </c>
      <c r="I431">
        <v>14.116389</v>
      </c>
      <c r="J431">
        <v>14.236458000000001</v>
      </c>
      <c r="K431">
        <v>17.212403999999999</v>
      </c>
      <c r="L431">
        <v>16.349557999999998</v>
      </c>
      <c r="M431">
        <v>15.953495999999999</v>
      </c>
      <c r="N431">
        <v>15.874223000000001</v>
      </c>
      <c r="O431">
        <v>16.505030000000001</v>
      </c>
      <c r="P431">
        <v>16.286200000000001</v>
      </c>
      <c r="Q431">
        <v>16.007214000000001</v>
      </c>
      <c r="R431">
        <v>16.621120000000001</v>
      </c>
      <c r="S431">
        <v>11.398288000000001</v>
      </c>
      <c r="T431">
        <v>15.119267000000001</v>
      </c>
      <c r="U431">
        <v>15.095848</v>
      </c>
      <c r="V431">
        <v>15.290742</v>
      </c>
      <c r="W431">
        <v>14.781765</v>
      </c>
      <c r="X431">
        <v>15.170192999999999</v>
      </c>
      <c r="Y431">
        <v>15.383606</v>
      </c>
      <c r="Z431">
        <v>15.457122999999999</v>
      </c>
      <c r="AA431">
        <v>16.534506</v>
      </c>
      <c r="AB431">
        <v>15.487996000000001</v>
      </c>
      <c r="AC431">
        <v>12.000401500000001</v>
      </c>
      <c r="AD431">
        <v>16.605654000000001</v>
      </c>
      <c r="AE431">
        <v>14.145301999999999</v>
      </c>
      <c r="AF431">
        <v>17.269756000000001</v>
      </c>
      <c r="AG431">
        <v>15.630732999999999</v>
      </c>
    </row>
    <row r="432" spans="1:33" x14ac:dyDescent="0.25">
      <c r="A432" s="1">
        <v>44483</v>
      </c>
      <c r="B432">
        <v>15.074254</v>
      </c>
      <c r="C432">
        <v>15.887370000000001</v>
      </c>
      <c r="D432">
        <v>14.9251795</v>
      </c>
      <c r="E432">
        <v>14.923594</v>
      </c>
      <c r="F432">
        <v>15.6537285</v>
      </c>
      <c r="G432">
        <v>15.794644</v>
      </c>
      <c r="H432">
        <v>16.052610000000001</v>
      </c>
      <c r="I432">
        <v>14.621532999999999</v>
      </c>
      <c r="J432">
        <v>14.374795000000001</v>
      </c>
      <c r="K432">
        <v>16.967027999999999</v>
      </c>
      <c r="L432">
        <v>16.174531999999999</v>
      </c>
      <c r="M432">
        <v>15.840507000000001</v>
      </c>
      <c r="N432">
        <v>15.713123</v>
      </c>
      <c r="O432">
        <v>16.304400000000001</v>
      </c>
      <c r="P432">
        <v>16.101189999999999</v>
      </c>
      <c r="Q432">
        <v>15.841586</v>
      </c>
      <c r="R432">
        <v>16.419274999999999</v>
      </c>
      <c r="S432">
        <v>11.242680999999999</v>
      </c>
      <c r="T432">
        <v>14.88181</v>
      </c>
      <c r="U432">
        <v>15.043714</v>
      </c>
      <c r="V432">
        <v>15.110745</v>
      </c>
      <c r="W432">
        <v>14.239053</v>
      </c>
      <c r="X432">
        <v>15.068816999999999</v>
      </c>
      <c r="Y432">
        <v>15.190839</v>
      </c>
      <c r="Z432">
        <v>15.2162895</v>
      </c>
      <c r="AA432">
        <v>16.336162999999999</v>
      </c>
      <c r="AB432">
        <v>15.39893</v>
      </c>
      <c r="AC432">
        <v>11.906903</v>
      </c>
      <c r="AD432">
        <v>16.362065999999999</v>
      </c>
      <c r="AE432">
        <v>14.634169999999999</v>
      </c>
      <c r="AF432">
        <v>16.947683000000001</v>
      </c>
      <c r="AG432">
        <v>15.712268</v>
      </c>
    </row>
    <row r="433" spans="1:33" x14ac:dyDescent="0.25">
      <c r="A433" s="1">
        <v>44484</v>
      </c>
      <c r="B433">
        <v>15.231412000000001</v>
      </c>
      <c r="C433">
        <v>15.934421</v>
      </c>
      <c r="D433">
        <v>15.108542999999999</v>
      </c>
      <c r="E433">
        <v>14.999423999999999</v>
      </c>
      <c r="F433">
        <v>15.884729999999999</v>
      </c>
      <c r="G433">
        <v>15.847668000000001</v>
      </c>
      <c r="H433">
        <v>16.137139999999999</v>
      </c>
      <c r="I433">
        <v>15.217167</v>
      </c>
      <c r="J433">
        <v>14.715827000000001</v>
      </c>
      <c r="K433">
        <v>16.863066</v>
      </c>
      <c r="L433">
        <v>16.112915000000001</v>
      </c>
      <c r="M433">
        <v>15.879127499999999</v>
      </c>
      <c r="N433">
        <v>15.650308000000001</v>
      </c>
      <c r="O433">
        <v>16.160734000000001</v>
      </c>
      <c r="P433">
        <v>16.043887999999999</v>
      </c>
      <c r="Q433">
        <v>15.848022</v>
      </c>
      <c r="R433">
        <v>16.280134</v>
      </c>
      <c r="S433">
        <v>11.476426</v>
      </c>
      <c r="T433">
        <v>14.768245</v>
      </c>
      <c r="U433">
        <v>14.554951000000001</v>
      </c>
      <c r="V433">
        <v>15.036431</v>
      </c>
      <c r="W433">
        <v>14.088260999999999</v>
      </c>
      <c r="X433">
        <v>14.955551</v>
      </c>
      <c r="Y433">
        <v>15.2164</v>
      </c>
      <c r="Z433">
        <v>15.127000000000001</v>
      </c>
      <c r="AA433">
        <v>16.264703999999998</v>
      </c>
      <c r="AB433">
        <v>15.378125000000001</v>
      </c>
      <c r="AC433">
        <v>11.586029</v>
      </c>
      <c r="AD433">
        <v>16.247306999999999</v>
      </c>
      <c r="AE433">
        <v>14.955852999999999</v>
      </c>
      <c r="AF433">
        <v>16.614367000000001</v>
      </c>
      <c r="AG433">
        <v>15.693180999999999</v>
      </c>
    </row>
    <row r="434" spans="1:33" x14ac:dyDescent="0.25">
      <c r="A434" s="1">
        <v>44485</v>
      </c>
      <c r="B434">
        <v>15.310976999999999</v>
      </c>
      <c r="C434">
        <v>15.974209999999999</v>
      </c>
      <c r="D434">
        <v>15.391913000000001</v>
      </c>
      <c r="E434">
        <v>15.163304</v>
      </c>
      <c r="F434">
        <v>16.060790000000001</v>
      </c>
      <c r="G434">
        <v>15.986556999999999</v>
      </c>
      <c r="H434">
        <v>16.339973000000001</v>
      </c>
      <c r="I434">
        <v>15.668087999999999</v>
      </c>
      <c r="J434">
        <v>15.178851999999999</v>
      </c>
      <c r="K434">
        <v>16.855786999999999</v>
      </c>
      <c r="L434">
        <v>16.134197</v>
      </c>
      <c r="M434">
        <v>15.998424999999999</v>
      </c>
      <c r="N434">
        <v>15.709465</v>
      </c>
      <c r="O434">
        <v>16.090440000000001</v>
      </c>
      <c r="P434">
        <v>16.067233999999999</v>
      </c>
      <c r="Q434">
        <v>15.948167</v>
      </c>
      <c r="R434">
        <v>16.222338000000001</v>
      </c>
      <c r="S434">
        <v>11.870941</v>
      </c>
      <c r="T434">
        <v>14.830202999999999</v>
      </c>
      <c r="U434">
        <v>14.243943</v>
      </c>
      <c r="V434">
        <v>15.05429</v>
      </c>
      <c r="W434">
        <v>14.208973</v>
      </c>
      <c r="X434">
        <v>14.9427185</v>
      </c>
      <c r="Y434">
        <v>15.428478</v>
      </c>
      <c r="Z434">
        <v>15.250964</v>
      </c>
      <c r="AA434">
        <v>16.353151</v>
      </c>
      <c r="AB434">
        <v>15.624331</v>
      </c>
      <c r="AC434">
        <v>11.65654</v>
      </c>
      <c r="AD434">
        <v>16.204374000000001</v>
      </c>
      <c r="AE434">
        <v>15.623004</v>
      </c>
      <c r="AF434">
        <v>16.483450000000001</v>
      </c>
      <c r="AG434">
        <v>15.862784</v>
      </c>
    </row>
    <row r="435" spans="1:33" x14ac:dyDescent="0.25">
      <c r="A435" s="1">
        <v>44486</v>
      </c>
      <c r="B435">
        <v>15.074166</v>
      </c>
      <c r="C435">
        <v>15.805565</v>
      </c>
      <c r="D435">
        <v>15.421417999999999</v>
      </c>
      <c r="E435">
        <v>15.164408999999999</v>
      </c>
      <c r="F435">
        <v>15.872482</v>
      </c>
      <c r="G435">
        <v>16.017161999999999</v>
      </c>
      <c r="H435">
        <v>16.424500999999999</v>
      </c>
      <c r="I435">
        <v>15.370801</v>
      </c>
      <c r="J435">
        <v>15.298614499999999</v>
      </c>
      <c r="K435">
        <v>16.671986</v>
      </c>
      <c r="L435">
        <v>16.025549000000002</v>
      </c>
      <c r="M435">
        <v>15.984425</v>
      </c>
      <c r="N435">
        <v>15.660674</v>
      </c>
      <c r="O435">
        <v>16.006291999999998</v>
      </c>
      <c r="P435">
        <v>15.959159</v>
      </c>
      <c r="Q435">
        <v>15.964978</v>
      </c>
      <c r="R435">
        <v>16.078491</v>
      </c>
      <c r="S435">
        <v>12.327716000000001</v>
      </c>
      <c r="T435">
        <v>14.850773</v>
      </c>
      <c r="U435">
        <v>14.280151999999999</v>
      </c>
      <c r="V435">
        <v>15.002618</v>
      </c>
      <c r="W435">
        <v>14.509672999999999</v>
      </c>
      <c r="X435">
        <v>14.895778999999999</v>
      </c>
      <c r="Y435">
        <v>15.608392</v>
      </c>
      <c r="Z435">
        <v>15.347199</v>
      </c>
      <c r="AA435">
        <v>16.376412999999999</v>
      </c>
      <c r="AB435">
        <v>15.700386999999999</v>
      </c>
      <c r="AC435">
        <v>11.969391999999999</v>
      </c>
      <c r="AD435">
        <v>16.094822000000001</v>
      </c>
      <c r="AE435">
        <v>16.094636999999999</v>
      </c>
      <c r="AF435">
        <v>16.421600000000002</v>
      </c>
      <c r="AG435">
        <v>15.793259000000001</v>
      </c>
    </row>
    <row r="436" spans="1:33" x14ac:dyDescent="0.25">
      <c r="A436" s="1">
        <v>44487</v>
      </c>
      <c r="B436">
        <v>14.714793999999999</v>
      </c>
      <c r="C436">
        <v>15.578631</v>
      </c>
      <c r="D436">
        <v>15.170685000000001</v>
      </c>
      <c r="E436">
        <v>14.861336</v>
      </c>
      <c r="F436">
        <v>15.454219999999999</v>
      </c>
      <c r="G436">
        <v>15.719117000000001</v>
      </c>
      <c r="H436">
        <v>16.089224000000002</v>
      </c>
      <c r="I436">
        <v>14.507756000000001</v>
      </c>
      <c r="J436">
        <v>14.784682999999999</v>
      </c>
      <c r="K436">
        <v>16.335215000000002</v>
      </c>
      <c r="L436">
        <v>15.637090000000001</v>
      </c>
      <c r="M436">
        <v>15.687234</v>
      </c>
      <c r="N436">
        <v>15.352619000000001</v>
      </c>
      <c r="O436">
        <v>15.699132000000001</v>
      </c>
      <c r="P436">
        <v>15.738004</v>
      </c>
      <c r="Q436">
        <v>15.664382</v>
      </c>
      <c r="R436">
        <v>15.807537</v>
      </c>
      <c r="S436">
        <v>12.2910795</v>
      </c>
      <c r="T436">
        <v>14.586945999999999</v>
      </c>
      <c r="U436">
        <v>14.493688000000001</v>
      </c>
      <c r="V436">
        <v>14.670047</v>
      </c>
      <c r="W436">
        <v>14.5848055</v>
      </c>
      <c r="X436">
        <v>14.563487</v>
      </c>
      <c r="Y436">
        <v>15.166157</v>
      </c>
      <c r="Z436">
        <v>15.202821</v>
      </c>
      <c r="AA436">
        <v>16.122318</v>
      </c>
      <c r="AB436">
        <v>15.379208999999999</v>
      </c>
      <c r="AC436">
        <v>12.110156</v>
      </c>
      <c r="AD436">
        <v>15.855824</v>
      </c>
      <c r="AE436">
        <v>15.372577</v>
      </c>
      <c r="AF436">
        <v>16.117525000000001</v>
      </c>
      <c r="AG436">
        <v>15.403485</v>
      </c>
    </row>
    <row r="437" spans="1:33" x14ac:dyDescent="0.25">
      <c r="A437" s="1">
        <v>44488</v>
      </c>
      <c r="B437">
        <v>14.714874999999999</v>
      </c>
      <c r="C437">
        <v>15.469977</v>
      </c>
      <c r="D437">
        <v>15.084358</v>
      </c>
      <c r="E437">
        <v>14.790326</v>
      </c>
      <c r="F437">
        <v>15.455125000000001</v>
      </c>
      <c r="G437">
        <v>15.595814000000001</v>
      </c>
      <c r="H437">
        <v>15.852978999999999</v>
      </c>
      <c r="I437">
        <v>14.555847999999999</v>
      </c>
      <c r="J437">
        <v>14.556846</v>
      </c>
      <c r="K437">
        <v>16.174309999999998</v>
      </c>
      <c r="L437">
        <v>15.518172</v>
      </c>
      <c r="M437">
        <v>15.578341500000001</v>
      </c>
      <c r="N437">
        <v>15.196300000000001</v>
      </c>
      <c r="O437">
        <v>15.514768</v>
      </c>
      <c r="P437">
        <v>15.636894</v>
      </c>
      <c r="Q437">
        <v>15.516894000000001</v>
      </c>
      <c r="R437">
        <v>15.636799</v>
      </c>
      <c r="S437">
        <v>12.133447</v>
      </c>
      <c r="T437">
        <v>14.365073000000001</v>
      </c>
      <c r="U437">
        <v>14.564553</v>
      </c>
      <c r="V437">
        <v>14.477740000000001</v>
      </c>
      <c r="W437">
        <v>14.763142999999999</v>
      </c>
      <c r="X437">
        <v>14.393416</v>
      </c>
      <c r="Y437">
        <v>14.750870000000001</v>
      </c>
      <c r="Z437">
        <v>15.055935</v>
      </c>
      <c r="AA437">
        <v>15.941321</v>
      </c>
      <c r="AB437">
        <v>15.022188999999999</v>
      </c>
      <c r="AC437">
        <v>11.805778500000001</v>
      </c>
      <c r="AD437">
        <v>15.665825999999999</v>
      </c>
      <c r="AE437">
        <v>14.488025</v>
      </c>
      <c r="AF437">
        <v>15.635505999999999</v>
      </c>
      <c r="AG437">
        <v>15.181638</v>
      </c>
    </row>
    <row r="438" spans="1:33" x14ac:dyDescent="0.25">
      <c r="A438" s="1">
        <v>44489</v>
      </c>
      <c r="B438">
        <v>14.798185999999999</v>
      </c>
      <c r="C438">
        <v>15.443377999999999</v>
      </c>
      <c r="D438">
        <v>15.079583</v>
      </c>
      <c r="E438">
        <v>14.87135</v>
      </c>
      <c r="F438">
        <v>15.447937</v>
      </c>
      <c r="G438">
        <v>15.584908499999999</v>
      </c>
      <c r="H438">
        <v>15.819317</v>
      </c>
      <c r="I438">
        <v>14.743733000000001</v>
      </c>
      <c r="J438">
        <v>14.721349</v>
      </c>
      <c r="K438">
        <v>16.10755</v>
      </c>
      <c r="L438">
        <v>15.546237</v>
      </c>
      <c r="M438">
        <v>15.552471000000001</v>
      </c>
      <c r="N438">
        <v>15.199845</v>
      </c>
      <c r="O438">
        <v>15.522973</v>
      </c>
      <c r="P438">
        <v>15.555455</v>
      </c>
      <c r="Q438">
        <v>15.513158000000001</v>
      </c>
      <c r="R438">
        <v>15.623528</v>
      </c>
      <c r="S438">
        <v>12.5701065</v>
      </c>
      <c r="T438">
        <v>14.424702</v>
      </c>
      <c r="U438">
        <v>14.648580000000001</v>
      </c>
      <c r="V438">
        <v>14.599435</v>
      </c>
      <c r="W438">
        <v>14.788554</v>
      </c>
      <c r="X438">
        <v>14.581868</v>
      </c>
      <c r="Y438">
        <v>14.793305</v>
      </c>
      <c r="Z438">
        <v>15.073449</v>
      </c>
      <c r="AA438">
        <v>16.010954000000002</v>
      </c>
      <c r="AB438">
        <v>15.013351999999999</v>
      </c>
      <c r="AC438">
        <v>11.38992</v>
      </c>
      <c r="AD438">
        <v>15.607474</v>
      </c>
      <c r="AE438">
        <v>14.778782</v>
      </c>
      <c r="AF438">
        <v>15.438197000000001</v>
      </c>
      <c r="AG438">
        <v>15.362655999999999</v>
      </c>
    </row>
    <row r="439" spans="1:33" x14ac:dyDescent="0.25">
      <c r="A439" s="1">
        <v>44490</v>
      </c>
      <c r="B439">
        <v>14.944893</v>
      </c>
      <c r="C439">
        <v>15.514252000000001</v>
      </c>
      <c r="D439">
        <v>15.169307999999999</v>
      </c>
      <c r="E439">
        <v>14.973693000000001</v>
      </c>
      <c r="F439">
        <v>15.560775</v>
      </c>
      <c r="G439">
        <v>15.559267999999999</v>
      </c>
      <c r="H439">
        <v>15.838494000000001</v>
      </c>
      <c r="I439">
        <v>15.041663</v>
      </c>
      <c r="J439">
        <v>14.888831</v>
      </c>
      <c r="K439">
        <v>16.054117000000002</v>
      </c>
      <c r="L439">
        <v>15.577472</v>
      </c>
      <c r="M439">
        <v>15.532871999999999</v>
      </c>
      <c r="N439">
        <v>15.137332000000001</v>
      </c>
      <c r="O439">
        <v>15.514506000000001</v>
      </c>
      <c r="P439">
        <v>15.502986999999999</v>
      </c>
      <c r="Q439">
        <v>15.479141</v>
      </c>
      <c r="R439">
        <v>15.597583</v>
      </c>
      <c r="S439">
        <v>13.136676</v>
      </c>
      <c r="T439">
        <v>14.5541</v>
      </c>
      <c r="U439">
        <v>14.785795999999999</v>
      </c>
      <c r="V439">
        <v>14.749385999999999</v>
      </c>
      <c r="W439">
        <v>14.994641</v>
      </c>
      <c r="X439">
        <v>14.790438999999999</v>
      </c>
      <c r="Y439">
        <v>14.946562999999999</v>
      </c>
      <c r="Z439">
        <v>15.160152</v>
      </c>
      <c r="AA439">
        <v>16.09686</v>
      </c>
      <c r="AB439">
        <v>15.144736</v>
      </c>
      <c r="AC439">
        <v>11.493409</v>
      </c>
      <c r="AD439">
        <v>15.622185</v>
      </c>
      <c r="AE439">
        <v>15.554895999999999</v>
      </c>
      <c r="AF439">
        <v>15.188592</v>
      </c>
      <c r="AG439">
        <v>15.623913999999999</v>
      </c>
    </row>
    <row r="440" spans="1:33" x14ac:dyDescent="0.25">
      <c r="A440" s="1">
        <v>44491</v>
      </c>
      <c r="B440">
        <v>15.208304</v>
      </c>
      <c r="C440">
        <v>15.519983999999999</v>
      </c>
      <c r="D440">
        <v>15.348815999999999</v>
      </c>
      <c r="E440">
        <v>15.173980999999999</v>
      </c>
      <c r="F440">
        <v>15.623661999999999</v>
      </c>
      <c r="G440">
        <v>15.624290999999999</v>
      </c>
      <c r="H440">
        <v>15.990406</v>
      </c>
      <c r="I440">
        <v>15.440201999999999</v>
      </c>
      <c r="J440">
        <v>15.184905000000001</v>
      </c>
      <c r="K440">
        <v>16.052282000000002</v>
      </c>
      <c r="L440">
        <v>15.659423</v>
      </c>
      <c r="M440">
        <v>15.61617</v>
      </c>
      <c r="N440">
        <v>15.216291999999999</v>
      </c>
      <c r="O440">
        <v>15.596498</v>
      </c>
      <c r="P440">
        <v>15.523101</v>
      </c>
      <c r="Q440">
        <v>15.531219</v>
      </c>
      <c r="R440">
        <v>15.640904000000001</v>
      </c>
      <c r="S440">
        <v>13.786341999999999</v>
      </c>
      <c r="T440">
        <v>14.783531</v>
      </c>
      <c r="U440">
        <v>15.029353</v>
      </c>
      <c r="V440">
        <v>14.971705</v>
      </c>
      <c r="W440">
        <v>15.054622</v>
      </c>
      <c r="X440">
        <v>15.026374000000001</v>
      </c>
      <c r="Y440">
        <v>15.194160999999999</v>
      </c>
      <c r="Z440">
        <v>15.260281000000001</v>
      </c>
      <c r="AA440">
        <v>16.19211</v>
      </c>
      <c r="AB440">
        <v>15.353263</v>
      </c>
      <c r="AC440">
        <v>12.102239000000001</v>
      </c>
      <c r="AD440">
        <v>15.6950865</v>
      </c>
      <c r="AE440">
        <v>16.158235999999999</v>
      </c>
      <c r="AF440">
        <v>14.953290000000001</v>
      </c>
      <c r="AG440">
        <v>15.742265</v>
      </c>
    </row>
    <row r="441" spans="1:33" x14ac:dyDescent="0.25">
      <c r="A441" s="1">
        <v>44492</v>
      </c>
      <c r="B441">
        <v>14.810468</v>
      </c>
      <c r="C441">
        <v>15.362418</v>
      </c>
      <c r="D441">
        <v>15.278079999999999</v>
      </c>
      <c r="E441">
        <v>15.058180999999999</v>
      </c>
      <c r="F441">
        <v>15.357151</v>
      </c>
      <c r="G441">
        <v>15.545375</v>
      </c>
      <c r="H441">
        <v>15.887447999999999</v>
      </c>
      <c r="I441">
        <v>15.142371000000001</v>
      </c>
      <c r="J441">
        <v>15.010119</v>
      </c>
      <c r="K441">
        <v>15.909055</v>
      </c>
      <c r="L441">
        <v>15.562488999999999</v>
      </c>
      <c r="M441">
        <v>15.506213000000001</v>
      </c>
      <c r="N441">
        <v>15.127411</v>
      </c>
      <c r="O441">
        <v>15.432429000000001</v>
      </c>
      <c r="P441">
        <v>15.459042</v>
      </c>
      <c r="Q441">
        <v>15.460330000000001</v>
      </c>
      <c r="R441">
        <v>15.541399999999999</v>
      </c>
      <c r="S441">
        <v>13.72404</v>
      </c>
      <c r="T441">
        <v>14.809105000000001</v>
      </c>
      <c r="U441">
        <v>14.995113999999999</v>
      </c>
      <c r="V441">
        <v>14.929596</v>
      </c>
      <c r="W441">
        <v>14.828647999999999</v>
      </c>
      <c r="X441">
        <v>14.960785</v>
      </c>
      <c r="Y441">
        <v>15.006083500000001</v>
      </c>
      <c r="Z441">
        <v>15.092209</v>
      </c>
      <c r="AA441">
        <v>16.024553000000001</v>
      </c>
      <c r="AB441">
        <v>15.254175999999999</v>
      </c>
      <c r="AC441">
        <v>14.795291000000001</v>
      </c>
      <c r="AD441">
        <v>15.618732</v>
      </c>
      <c r="AE441">
        <v>16.258368000000001</v>
      </c>
      <c r="AF441">
        <v>14.457584000000001</v>
      </c>
      <c r="AG441">
        <v>15.422748</v>
      </c>
    </row>
    <row r="442" spans="1:33" x14ac:dyDescent="0.25">
      <c r="A442" s="1">
        <v>44493</v>
      </c>
      <c r="B442">
        <v>14.681805000000001</v>
      </c>
      <c r="C442">
        <v>15.428119000000001</v>
      </c>
      <c r="D442">
        <v>15.229507</v>
      </c>
      <c r="E442">
        <v>15.163873000000001</v>
      </c>
      <c r="F442">
        <v>15.517295000000001</v>
      </c>
      <c r="G442">
        <v>15.545776</v>
      </c>
      <c r="H442">
        <v>15.937925999999999</v>
      </c>
      <c r="I442">
        <v>15.291375</v>
      </c>
      <c r="J442">
        <v>15.160033</v>
      </c>
      <c r="K442">
        <v>15.821334999999999</v>
      </c>
      <c r="L442">
        <v>15.493874</v>
      </c>
      <c r="M442">
        <v>15.536182999999999</v>
      </c>
      <c r="N442">
        <v>15.226978000000001</v>
      </c>
      <c r="O442">
        <v>15.356483000000001</v>
      </c>
      <c r="P442">
        <v>15.396846</v>
      </c>
      <c r="Q442">
        <v>15.4472</v>
      </c>
      <c r="R442">
        <v>15.462531999999999</v>
      </c>
      <c r="S442">
        <v>14.055928</v>
      </c>
      <c r="T442">
        <v>14.904605</v>
      </c>
      <c r="U442">
        <v>14.750572999999999</v>
      </c>
      <c r="V442">
        <v>15.044636000000001</v>
      </c>
      <c r="W442">
        <v>14.965911999999999</v>
      </c>
      <c r="X442">
        <v>15.009779999999999</v>
      </c>
      <c r="Y442">
        <v>14.933166</v>
      </c>
      <c r="Z442">
        <v>15.11322</v>
      </c>
      <c r="AA442">
        <v>15.910759000000001</v>
      </c>
      <c r="AB442">
        <v>15.24234</v>
      </c>
      <c r="AC442">
        <v>14.919919</v>
      </c>
      <c r="AD442">
        <v>15.532105</v>
      </c>
      <c r="AE442">
        <v>15.430771</v>
      </c>
      <c r="AF442">
        <v>14.134842000000001</v>
      </c>
      <c r="AG442">
        <v>15.410432</v>
      </c>
    </row>
    <row r="443" spans="1:33" x14ac:dyDescent="0.25">
      <c r="A443" s="1">
        <v>44494</v>
      </c>
      <c r="B443">
        <v>14.666323999999999</v>
      </c>
      <c r="C443">
        <v>15.382453</v>
      </c>
      <c r="D443">
        <v>15.192199</v>
      </c>
      <c r="E443">
        <v>15.106823</v>
      </c>
      <c r="F443">
        <v>15.437115</v>
      </c>
      <c r="G443">
        <v>15.456389</v>
      </c>
      <c r="H443">
        <v>15.737447</v>
      </c>
      <c r="I443">
        <v>15.119357000000001</v>
      </c>
      <c r="J443">
        <v>15.158752</v>
      </c>
      <c r="K443">
        <v>15.733715</v>
      </c>
      <c r="L443">
        <v>15.393668999999999</v>
      </c>
      <c r="M443">
        <v>15.443923</v>
      </c>
      <c r="N443">
        <v>15.139360999999999</v>
      </c>
      <c r="O443">
        <v>15.265541000000001</v>
      </c>
      <c r="P443">
        <v>15.420078</v>
      </c>
      <c r="Q443">
        <v>15.357616999999999</v>
      </c>
      <c r="R443">
        <v>15.377666</v>
      </c>
      <c r="S443">
        <v>14.441409</v>
      </c>
      <c r="T443">
        <v>14.907128</v>
      </c>
      <c r="U443">
        <v>15.155303</v>
      </c>
      <c r="V443">
        <v>14.953147</v>
      </c>
      <c r="W443">
        <v>15.065769</v>
      </c>
      <c r="X443">
        <v>14.957988</v>
      </c>
      <c r="Y443">
        <v>14.181937</v>
      </c>
      <c r="Z443">
        <v>15.405666</v>
      </c>
      <c r="AA443">
        <v>15.847321000000001</v>
      </c>
      <c r="AB443">
        <v>14.886281</v>
      </c>
      <c r="AC443">
        <v>16.057607999999998</v>
      </c>
      <c r="AD443">
        <v>15.490102</v>
      </c>
      <c r="AE443">
        <v>15.295714</v>
      </c>
      <c r="AF443">
        <v>13.703225</v>
      </c>
      <c r="AG443">
        <v>15.719469999999999</v>
      </c>
    </row>
    <row r="444" spans="1:33" x14ac:dyDescent="0.25">
      <c r="A444" s="1">
        <v>44495</v>
      </c>
      <c r="B444">
        <v>14.006351</v>
      </c>
      <c r="C444">
        <v>15.107535</v>
      </c>
      <c r="D444">
        <v>14.997767</v>
      </c>
      <c r="E444">
        <v>14.699699000000001</v>
      </c>
      <c r="F444">
        <v>14.994712</v>
      </c>
      <c r="G444">
        <v>15.139754</v>
      </c>
      <c r="H444">
        <v>15.414407000000001</v>
      </c>
      <c r="I444">
        <v>14.551747000000001</v>
      </c>
      <c r="J444">
        <v>14.65686</v>
      </c>
      <c r="K444">
        <v>15.526526</v>
      </c>
      <c r="L444">
        <v>15.152766</v>
      </c>
      <c r="M444">
        <v>15.148887</v>
      </c>
      <c r="N444">
        <v>14.899853999999999</v>
      </c>
      <c r="O444">
        <v>15.100501</v>
      </c>
      <c r="P444">
        <v>15.247157</v>
      </c>
      <c r="Q444">
        <v>15.070556</v>
      </c>
      <c r="R444">
        <v>15.167365999999999</v>
      </c>
      <c r="S444">
        <v>13.959072000000001</v>
      </c>
      <c r="T444">
        <v>14.707947000000001</v>
      </c>
      <c r="U444">
        <v>15.021233000000001</v>
      </c>
      <c r="V444">
        <v>14.903570999999999</v>
      </c>
      <c r="W444">
        <v>15.257171</v>
      </c>
      <c r="X444">
        <v>14.916456999999999</v>
      </c>
      <c r="Y444">
        <v>14.885085</v>
      </c>
      <c r="Z444">
        <v>15.194820999999999</v>
      </c>
      <c r="AA444">
        <v>15.585941</v>
      </c>
      <c r="AB444">
        <v>14.804062999999999</v>
      </c>
      <c r="AC444">
        <v>18.416533000000001</v>
      </c>
      <c r="AD444">
        <v>15.2911415</v>
      </c>
      <c r="AE444">
        <v>15.103396999999999</v>
      </c>
      <c r="AF444">
        <v>14.7996435</v>
      </c>
      <c r="AG444">
        <v>15.183066</v>
      </c>
    </row>
    <row r="445" spans="1:33" x14ac:dyDescent="0.25">
      <c r="A445" s="1">
        <v>44496</v>
      </c>
      <c r="B445">
        <v>14.210189</v>
      </c>
      <c r="C445">
        <v>15.1263275</v>
      </c>
      <c r="D445">
        <v>15.017246</v>
      </c>
      <c r="E445">
        <v>14.684257499999999</v>
      </c>
      <c r="F445">
        <v>15.281378999999999</v>
      </c>
      <c r="G445">
        <v>14.993584999999999</v>
      </c>
      <c r="H445">
        <v>15.327567</v>
      </c>
      <c r="I445">
        <v>14.774869000000001</v>
      </c>
      <c r="J445">
        <v>14.881185</v>
      </c>
      <c r="K445">
        <v>15.557967</v>
      </c>
      <c r="L445">
        <v>15.220413000000001</v>
      </c>
      <c r="M445">
        <v>15.090392</v>
      </c>
      <c r="N445">
        <v>15.001286500000001</v>
      </c>
      <c r="O445">
        <v>15.209984</v>
      </c>
      <c r="P445">
        <v>15.233434000000001</v>
      </c>
      <c r="Q445">
        <v>14.963126000000001</v>
      </c>
      <c r="R445">
        <v>15.21016</v>
      </c>
      <c r="S445">
        <v>14.094257000000001</v>
      </c>
      <c r="T445">
        <v>15.075649</v>
      </c>
      <c r="U445">
        <v>15.147403000000001</v>
      </c>
      <c r="V445">
        <v>15.587379</v>
      </c>
      <c r="W445">
        <v>15.454124999999999</v>
      </c>
      <c r="X445">
        <v>15.596166</v>
      </c>
      <c r="Y445">
        <v>16.895796000000001</v>
      </c>
      <c r="Z445">
        <v>15.368237000000001</v>
      </c>
      <c r="AA445">
        <v>15.651688999999999</v>
      </c>
      <c r="AB445">
        <v>15.269569000000001</v>
      </c>
      <c r="AC445">
        <v>14.261113</v>
      </c>
      <c r="AD445">
        <v>15.326784999999999</v>
      </c>
      <c r="AE445">
        <v>15.507958</v>
      </c>
      <c r="AF445">
        <v>16.481901000000001</v>
      </c>
      <c r="AG445">
        <v>15.384964</v>
      </c>
    </row>
    <row r="446" spans="1:33" x14ac:dyDescent="0.25">
      <c r="A446" s="1">
        <v>44497</v>
      </c>
      <c r="B446">
        <v>14.767776</v>
      </c>
      <c r="C446">
        <v>15.312175</v>
      </c>
      <c r="D446">
        <v>15.2778425</v>
      </c>
      <c r="E446">
        <v>14.969426</v>
      </c>
      <c r="F446">
        <v>15.556359</v>
      </c>
      <c r="G446">
        <v>15.158718</v>
      </c>
      <c r="H446">
        <v>15.537257</v>
      </c>
      <c r="I446">
        <v>15.437602999999999</v>
      </c>
      <c r="J446">
        <v>15.322571</v>
      </c>
      <c r="K446">
        <v>15.693419</v>
      </c>
      <c r="L446">
        <v>15.511276000000001</v>
      </c>
      <c r="M446">
        <v>15.216039</v>
      </c>
      <c r="N446">
        <v>15.431106</v>
      </c>
      <c r="O446">
        <v>15.658905000000001</v>
      </c>
      <c r="P446">
        <v>15.386725999999999</v>
      </c>
      <c r="Q446">
        <v>15.206947</v>
      </c>
      <c r="R446">
        <v>15.523266</v>
      </c>
      <c r="S446">
        <v>14.763603</v>
      </c>
      <c r="T446">
        <v>15.306184</v>
      </c>
      <c r="U446">
        <v>15.414102</v>
      </c>
      <c r="V446">
        <v>15.439470999999999</v>
      </c>
      <c r="W446">
        <v>15.070865</v>
      </c>
      <c r="X446">
        <v>15.423078</v>
      </c>
      <c r="Y446">
        <v>17.139361999999998</v>
      </c>
      <c r="Z446">
        <v>15.691615000000001</v>
      </c>
      <c r="AA446">
        <v>15.871798999999999</v>
      </c>
      <c r="AB446">
        <v>16.454386</v>
      </c>
      <c r="AC446">
        <v>14.604445999999999</v>
      </c>
      <c r="AD446">
        <v>15.554615</v>
      </c>
      <c r="AE446">
        <v>16.196702999999999</v>
      </c>
      <c r="AF446">
        <v>17.207771000000001</v>
      </c>
      <c r="AG446">
        <v>15.831144999999999</v>
      </c>
    </row>
    <row r="447" spans="1:33" x14ac:dyDescent="0.25">
      <c r="A447" s="1">
        <v>44498</v>
      </c>
      <c r="B447">
        <v>15.362843</v>
      </c>
      <c r="C447">
        <v>15.453272999999999</v>
      </c>
      <c r="D447">
        <v>15.543666</v>
      </c>
      <c r="E447">
        <v>15.29884</v>
      </c>
      <c r="F447">
        <v>15.711849000000001</v>
      </c>
      <c r="G447">
        <v>15.372201</v>
      </c>
      <c r="H447">
        <v>15.763453999999999</v>
      </c>
      <c r="I447">
        <v>15.885766</v>
      </c>
      <c r="J447">
        <v>15.658549000000001</v>
      </c>
      <c r="K447">
        <v>15.810722</v>
      </c>
      <c r="L447">
        <v>15.719336500000001</v>
      </c>
      <c r="M447">
        <v>15.423665</v>
      </c>
      <c r="N447">
        <v>15.699745</v>
      </c>
      <c r="O447">
        <v>15.764466000000001</v>
      </c>
      <c r="P447">
        <v>15.564588000000001</v>
      </c>
      <c r="Q447">
        <v>15.494305000000001</v>
      </c>
      <c r="R447">
        <v>15.720298</v>
      </c>
      <c r="S447">
        <v>15.1637</v>
      </c>
      <c r="T447">
        <v>15.386784</v>
      </c>
      <c r="U447">
        <v>15.660299999999999</v>
      </c>
      <c r="V447">
        <v>15.158782</v>
      </c>
      <c r="W447">
        <v>14.921306</v>
      </c>
      <c r="X447">
        <v>15.137321</v>
      </c>
      <c r="Y447">
        <v>15.887816000000001</v>
      </c>
      <c r="Z447">
        <v>15.897453000000001</v>
      </c>
      <c r="AA447">
        <v>15.911580000000001</v>
      </c>
      <c r="AB447">
        <v>16.030477999999999</v>
      </c>
      <c r="AC447">
        <v>15.236706999999999</v>
      </c>
      <c r="AD447">
        <v>15.722186000000001</v>
      </c>
      <c r="AE447">
        <v>16.436916</v>
      </c>
      <c r="AF447">
        <v>16.498055999999998</v>
      </c>
      <c r="AG447">
        <v>16.010477000000002</v>
      </c>
    </row>
    <row r="448" spans="1:33" x14ac:dyDescent="0.25">
      <c r="A448" s="1">
        <v>44499</v>
      </c>
      <c r="B448">
        <v>15.628097</v>
      </c>
      <c r="C448">
        <v>15.625632</v>
      </c>
      <c r="D448">
        <v>15.709671999999999</v>
      </c>
      <c r="E448">
        <v>15.51107</v>
      </c>
      <c r="F448">
        <v>15.690013</v>
      </c>
      <c r="G448">
        <v>15.554069500000001</v>
      </c>
      <c r="H448">
        <v>15.962177000000001</v>
      </c>
      <c r="I448">
        <v>15.940113</v>
      </c>
      <c r="J448">
        <v>15.835649</v>
      </c>
      <c r="K448">
        <v>15.880378</v>
      </c>
      <c r="L448">
        <v>15.827170000000001</v>
      </c>
      <c r="M448">
        <v>15.580298000000001</v>
      </c>
      <c r="N448">
        <v>15.709083</v>
      </c>
      <c r="O448">
        <v>15.778679</v>
      </c>
      <c r="P448">
        <v>15.715839000000001</v>
      </c>
      <c r="Q448">
        <v>15.641826999999999</v>
      </c>
      <c r="R448">
        <v>15.771659</v>
      </c>
      <c r="S448">
        <v>15.396061</v>
      </c>
      <c r="T448">
        <v>15.430284</v>
      </c>
      <c r="U448">
        <v>15.875712</v>
      </c>
      <c r="V448">
        <v>15.110073</v>
      </c>
      <c r="W448">
        <v>15.220196</v>
      </c>
      <c r="X448">
        <v>15.101342000000001</v>
      </c>
      <c r="Y448">
        <v>15.984120000000001</v>
      </c>
      <c r="Z448">
        <v>16.111115999999999</v>
      </c>
      <c r="AA448">
        <v>15.829971</v>
      </c>
      <c r="AB448">
        <v>16.126069999999999</v>
      </c>
      <c r="AC448">
        <v>15.632275</v>
      </c>
      <c r="AD448">
        <v>15.800017</v>
      </c>
      <c r="AE448">
        <v>16.610772999999998</v>
      </c>
      <c r="AF448">
        <v>16.034483000000002</v>
      </c>
      <c r="AG448">
        <v>16.088932</v>
      </c>
    </row>
    <row r="449" spans="1:33" x14ac:dyDescent="0.25">
      <c r="A449" s="1">
        <v>44500</v>
      </c>
      <c r="B449">
        <v>15.447666</v>
      </c>
      <c r="C449">
        <v>15.552197</v>
      </c>
      <c r="D449">
        <v>15.666406</v>
      </c>
      <c r="E449">
        <v>15.451098999999999</v>
      </c>
      <c r="F449">
        <v>15.650537</v>
      </c>
      <c r="G449">
        <v>15.588815</v>
      </c>
      <c r="H449">
        <v>15.944110999999999</v>
      </c>
      <c r="I449">
        <v>15.713763</v>
      </c>
      <c r="J449">
        <v>15.684448</v>
      </c>
      <c r="K449">
        <v>15.864228000000001</v>
      </c>
      <c r="L449">
        <v>15.746777</v>
      </c>
      <c r="M449">
        <v>15.610367999999999</v>
      </c>
      <c r="N449">
        <v>15.589736</v>
      </c>
      <c r="O449">
        <v>15.635700999999999</v>
      </c>
      <c r="P449">
        <v>15.715797</v>
      </c>
      <c r="Q449">
        <v>15.617255999999999</v>
      </c>
      <c r="R449">
        <v>15.695016000000001</v>
      </c>
      <c r="S449">
        <v>15.095528</v>
      </c>
      <c r="T449">
        <v>15.334372999999999</v>
      </c>
      <c r="U449">
        <v>15.886744500000001</v>
      </c>
      <c r="V449">
        <v>15.20993</v>
      </c>
      <c r="W449">
        <v>15.626645</v>
      </c>
      <c r="X449">
        <v>15.227779999999999</v>
      </c>
      <c r="Y449">
        <v>15.637169</v>
      </c>
      <c r="Z449">
        <v>16.007176999999999</v>
      </c>
      <c r="AA449">
        <v>15.704914</v>
      </c>
      <c r="AB449">
        <v>15.965146000000001</v>
      </c>
      <c r="AC449">
        <v>15.656685</v>
      </c>
      <c r="AD449">
        <v>15.750583000000001</v>
      </c>
      <c r="AE449">
        <v>16.100733000000002</v>
      </c>
      <c r="AF449">
        <v>15.700810000000001</v>
      </c>
      <c r="AG449">
        <v>15.847282999999999</v>
      </c>
    </row>
    <row r="450" spans="1:33" x14ac:dyDescent="0.25">
      <c r="A450" s="1">
        <v>44501</v>
      </c>
      <c r="B450">
        <v>15.344177</v>
      </c>
      <c r="C450">
        <v>15.571433000000001</v>
      </c>
      <c r="D450">
        <v>15.603303</v>
      </c>
      <c r="E450">
        <v>15.414624</v>
      </c>
      <c r="F450">
        <v>15.62618</v>
      </c>
      <c r="G450">
        <v>15.639521999999999</v>
      </c>
      <c r="H450">
        <v>16.002877999999999</v>
      </c>
      <c r="I450">
        <v>15.595487</v>
      </c>
      <c r="J450">
        <v>15.553838000000001</v>
      </c>
      <c r="K450">
        <v>15.824081</v>
      </c>
      <c r="L450">
        <v>15.678435</v>
      </c>
      <c r="M450">
        <v>15.624890000000001</v>
      </c>
      <c r="N450">
        <v>15.516774</v>
      </c>
      <c r="O450">
        <v>15.591011</v>
      </c>
      <c r="P450">
        <v>15.704431</v>
      </c>
      <c r="Q450">
        <v>15.60342</v>
      </c>
      <c r="R450">
        <v>15.654750999999999</v>
      </c>
      <c r="S450">
        <v>14.791194000000001</v>
      </c>
      <c r="T450">
        <v>15.315663000000001</v>
      </c>
      <c r="U450">
        <v>15.899467</v>
      </c>
      <c r="V450">
        <v>15.465954</v>
      </c>
      <c r="W450">
        <v>15.806666</v>
      </c>
      <c r="X450">
        <v>15.489158</v>
      </c>
      <c r="Y450">
        <v>15.634214999999999</v>
      </c>
      <c r="Z450">
        <v>15.8245535</v>
      </c>
      <c r="AA450">
        <v>15.637568</v>
      </c>
      <c r="AB450">
        <v>15.800934</v>
      </c>
      <c r="AC450">
        <v>15.07363</v>
      </c>
      <c r="AD450">
        <v>15.671941</v>
      </c>
      <c r="AE450">
        <v>15.441940000000001</v>
      </c>
      <c r="AF450">
        <v>15.479459</v>
      </c>
      <c r="AG450">
        <v>15.681084999999999</v>
      </c>
    </row>
    <row r="451" spans="1:33" x14ac:dyDescent="0.25">
      <c r="A451" s="1">
        <v>44502</v>
      </c>
      <c r="B451">
        <v>15.3837805</v>
      </c>
      <c r="C451">
        <v>15.563439000000001</v>
      </c>
      <c r="D451">
        <v>15.568199999999999</v>
      </c>
      <c r="E451">
        <v>15.442368500000001</v>
      </c>
      <c r="F451">
        <v>15.635825000000001</v>
      </c>
      <c r="G451">
        <v>15.650131999999999</v>
      </c>
      <c r="H451">
        <v>16.106369000000001</v>
      </c>
      <c r="I451">
        <v>15.601884</v>
      </c>
      <c r="J451">
        <v>15.621727999999999</v>
      </c>
      <c r="K451">
        <v>15.870694</v>
      </c>
      <c r="L451">
        <v>15.751246999999999</v>
      </c>
      <c r="M451">
        <v>15.636623</v>
      </c>
      <c r="N451">
        <v>15.505811</v>
      </c>
      <c r="O451">
        <v>15.692561</v>
      </c>
      <c r="P451">
        <v>15.712716</v>
      </c>
      <c r="Q451">
        <v>15.596705999999999</v>
      </c>
      <c r="R451">
        <v>15.73659</v>
      </c>
      <c r="S451">
        <v>14.908607</v>
      </c>
      <c r="T451">
        <v>15.415759</v>
      </c>
      <c r="U451">
        <v>15.997093</v>
      </c>
      <c r="V451">
        <v>15.717627999999999</v>
      </c>
      <c r="W451">
        <v>15.984738</v>
      </c>
      <c r="X451">
        <v>15.809305999999999</v>
      </c>
      <c r="Y451">
        <v>15.770554000000001</v>
      </c>
      <c r="Z451">
        <v>15.732995000000001</v>
      </c>
      <c r="AA451">
        <v>15.730534</v>
      </c>
      <c r="AB451">
        <v>15.824268</v>
      </c>
      <c r="AC451">
        <v>14.843242999999999</v>
      </c>
      <c r="AD451">
        <v>15.705869</v>
      </c>
      <c r="AE451">
        <v>15.712616000000001</v>
      </c>
      <c r="AF451">
        <v>15.539971</v>
      </c>
      <c r="AG451">
        <v>15.761727</v>
      </c>
    </row>
    <row r="452" spans="1:33" x14ac:dyDescent="0.25">
      <c r="A452" s="1">
        <v>44503</v>
      </c>
      <c r="B452">
        <v>15.500949</v>
      </c>
      <c r="C452">
        <v>15.660386000000001</v>
      </c>
      <c r="D452">
        <v>15.643340999999999</v>
      </c>
      <c r="E452">
        <v>15.555266</v>
      </c>
      <c r="F452">
        <v>15.763199999999999</v>
      </c>
      <c r="G452">
        <v>15.752551</v>
      </c>
      <c r="H452">
        <v>16.324234000000001</v>
      </c>
      <c r="I452">
        <v>15.752229</v>
      </c>
      <c r="J452">
        <v>15.683249</v>
      </c>
      <c r="K452">
        <v>15.930935</v>
      </c>
      <c r="L452">
        <v>15.800068</v>
      </c>
      <c r="M452">
        <v>15.749261000000001</v>
      </c>
      <c r="N452">
        <v>15.564507499999999</v>
      </c>
      <c r="O452">
        <v>15.77068</v>
      </c>
      <c r="P452">
        <v>15.753926</v>
      </c>
      <c r="Q452">
        <v>15.6804495</v>
      </c>
      <c r="R452">
        <v>15.779534</v>
      </c>
      <c r="S452">
        <v>14.919262</v>
      </c>
      <c r="T452">
        <v>15.552958500000001</v>
      </c>
      <c r="U452">
        <v>16.091252999999998</v>
      </c>
      <c r="V452">
        <v>15.815764</v>
      </c>
      <c r="W452">
        <v>16.145524999999999</v>
      </c>
      <c r="X452">
        <v>15.924393999999999</v>
      </c>
      <c r="Y452">
        <v>15.822258</v>
      </c>
      <c r="Z452">
        <v>15.757844</v>
      </c>
      <c r="AA452">
        <v>15.859536</v>
      </c>
      <c r="AB452">
        <v>15.847198499999999</v>
      </c>
      <c r="AC452">
        <v>14.810162999999999</v>
      </c>
      <c r="AD452">
        <v>15.777462</v>
      </c>
      <c r="AE452">
        <v>16.189520000000002</v>
      </c>
      <c r="AF452">
        <v>15.675338999999999</v>
      </c>
      <c r="AG452">
        <v>15.777817000000001</v>
      </c>
    </row>
    <row r="453" spans="1:33" x14ac:dyDescent="0.25">
      <c r="A453" s="1">
        <v>44504</v>
      </c>
      <c r="B453">
        <v>15.787343</v>
      </c>
      <c r="C453">
        <v>15.833504</v>
      </c>
      <c r="D453">
        <v>15.849232000000001</v>
      </c>
      <c r="E453">
        <v>15.778796</v>
      </c>
      <c r="F453">
        <v>15.960587</v>
      </c>
      <c r="G453">
        <v>15.932527</v>
      </c>
      <c r="H453">
        <v>16.591421</v>
      </c>
      <c r="I453">
        <v>15.957466</v>
      </c>
      <c r="J453">
        <v>15.942342</v>
      </c>
      <c r="K453">
        <v>16.061298000000001</v>
      </c>
      <c r="L453">
        <v>15.974589</v>
      </c>
      <c r="M453">
        <v>15.921084</v>
      </c>
      <c r="N453">
        <v>15.754617</v>
      </c>
      <c r="O453">
        <v>15.954731000000001</v>
      </c>
      <c r="P453">
        <v>15.891022</v>
      </c>
      <c r="Q453">
        <v>15.84937</v>
      </c>
      <c r="R453">
        <v>15.930275</v>
      </c>
      <c r="S453">
        <v>15.197412999999999</v>
      </c>
      <c r="T453">
        <v>15.808002999999999</v>
      </c>
      <c r="U453">
        <v>16.326422000000001</v>
      </c>
      <c r="V453">
        <v>16.072336</v>
      </c>
      <c r="W453">
        <v>16.188189000000001</v>
      </c>
      <c r="X453">
        <v>16.218091999999999</v>
      </c>
      <c r="Y453">
        <v>15.9938965</v>
      </c>
      <c r="Z453">
        <v>15.966989</v>
      </c>
      <c r="AA453">
        <v>16.081678</v>
      </c>
      <c r="AB453">
        <v>16.054327000000001</v>
      </c>
      <c r="AC453">
        <v>15.188338</v>
      </c>
      <c r="AD453">
        <v>15.942019999999999</v>
      </c>
      <c r="AE453">
        <v>16.391596</v>
      </c>
      <c r="AF453">
        <v>15.858231999999999</v>
      </c>
      <c r="AG453">
        <v>15.976151</v>
      </c>
    </row>
    <row r="454" spans="1:33" x14ac:dyDescent="0.25">
      <c r="A454" s="1">
        <v>44505</v>
      </c>
      <c r="B454">
        <v>15.392059</v>
      </c>
      <c r="C454">
        <v>15.645127</v>
      </c>
      <c r="D454">
        <v>15.712619</v>
      </c>
      <c r="E454">
        <v>15.593354</v>
      </c>
      <c r="F454">
        <v>15.612021</v>
      </c>
      <c r="G454">
        <v>15.886471</v>
      </c>
      <c r="H454">
        <v>16.5076</v>
      </c>
      <c r="I454">
        <v>15.439959999999999</v>
      </c>
      <c r="J454">
        <v>15.478973999999999</v>
      </c>
      <c r="K454">
        <v>15.941326999999999</v>
      </c>
      <c r="L454">
        <v>15.854571999999999</v>
      </c>
      <c r="M454">
        <v>15.830543499999999</v>
      </c>
      <c r="N454">
        <v>15.661548</v>
      </c>
      <c r="O454">
        <v>15.831821</v>
      </c>
      <c r="P454">
        <v>15.786018</v>
      </c>
      <c r="Q454">
        <v>15.789232999999999</v>
      </c>
      <c r="R454">
        <v>15.819383</v>
      </c>
      <c r="S454">
        <v>14.764047</v>
      </c>
      <c r="T454">
        <v>15.754213999999999</v>
      </c>
      <c r="U454">
        <v>16.229574</v>
      </c>
      <c r="V454">
        <v>15.946963</v>
      </c>
      <c r="W454">
        <v>16.265930000000001</v>
      </c>
      <c r="X454">
        <v>16.077739999999999</v>
      </c>
      <c r="Y454">
        <v>15.766571000000001</v>
      </c>
      <c r="Z454">
        <v>15.925376</v>
      </c>
      <c r="AA454">
        <v>15.994301999999999</v>
      </c>
      <c r="AB454">
        <v>15.892616</v>
      </c>
      <c r="AC454">
        <v>15.016025000000001</v>
      </c>
      <c r="AD454">
        <v>15.892512</v>
      </c>
      <c r="AE454">
        <v>15.970088000000001</v>
      </c>
      <c r="AF454">
        <v>15.828385000000001</v>
      </c>
      <c r="AG454">
        <v>15.728897999999999</v>
      </c>
    </row>
    <row r="455" spans="1:33" x14ac:dyDescent="0.25">
      <c r="A455" s="1">
        <v>44506</v>
      </c>
      <c r="B455">
        <v>15.0435</v>
      </c>
      <c r="C455">
        <v>15.459942</v>
      </c>
      <c r="D455">
        <v>15.377007499999999</v>
      </c>
      <c r="E455">
        <v>15.283352000000001</v>
      </c>
      <c r="F455">
        <v>15.392035999999999</v>
      </c>
      <c r="G455">
        <v>15.685745000000001</v>
      </c>
      <c r="H455">
        <v>16.289411999999999</v>
      </c>
      <c r="I455">
        <v>14.914802999999999</v>
      </c>
      <c r="J455">
        <v>14.937219000000001</v>
      </c>
      <c r="K455">
        <v>15.788729999999999</v>
      </c>
      <c r="L455">
        <v>15.634643000000001</v>
      </c>
      <c r="M455">
        <v>15.624415000000001</v>
      </c>
      <c r="N455">
        <v>15.483395</v>
      </c>
      <c r="O455">
        <v>15.641294</v>
      </c>
      <c r="P455">
        <v>15.588336999999999</v>
      </c>
      <c r="Q455">
        <v>15.597220999999999</v>
      </c>
      <c r="R455">
        <v>15.645203</v>
      </c>
      <c r="S455">
        <v>14.069276</v>
      </c>
      <c r="T455">
        <v>15.500195</v>
      </c>
      <c r="U455">
        <v>16.081914999999999</v>
      </c>
      <c r="V455">
        <v>15.615322000000001</v>
      </c>
      <c r="W455">
        <v>15.968282</v>
      </c>
      <c r="X455">
        <v>15.693844</v>
      </c>
      <c r="Y455">
        <v>15.369263999999999</v>
      </c>
      <c r="Z455">
        <v>15.749924999999999</v>
      </c>
      <c r="AA455">
        <v>15.764179</v>
      </c>
      <c r="AB455">
        <v>15.591556000000001</v>
      </c>
      <c r="AC455">
        <v>14.546014</v>
      </c>
      <c r="AD455">
        <v>15.695378</v>
      </c>
      <c r="AE455">
        <v>15.899545</v>
      </c>
      <c r="AF455">
        <v>15.633006</v>
      </c>
      <c r="AG455">
        <v>15.499313000000001</v>
      </c>
    </row>
    <row r="456" spans="1:33" x14ac:dyDescent="0.25">
      <c r="A456" s="1">
        <v>44507</v>
      </c>
      <c r="B456">
        <v>14.501048000000001</v>
      </c>
      <c r="C456">
        <v>15.226692999999999</v>
      </c>
      <c r="D456">
        <v>14.878403</v>
      </c>
      <c r="E456">
        <v>14.825676</v>
      </c>
      <c r="F456">
        <v>15.006468999999999</v>
      </c>
      <c r="G456">
        <v>15.377257999999999</v>
      </c>
      <c r="H456">
        <v>15.975225999999999</v>
      </c>
      <c r="I456">
        <v>14.263114</v>
      </c>
      <c r="J456">
        <v>14.291397</v>
      </c>
      <c r="K456">
        <v>15.540252000000001</v>
      </c>
      <c r="L456">
        <v>15.306286</v>
      </c>
      <c r="M456">
        <v>15.328862000000001</v>
      </c>
      <c r="N456">
        <v>15.2067795</v>
      </c>
      <c r="O456">
        <v>15.350718499999999</v>
      </c>
      <c r="P456">
        <v>15.293111</v>
      </c>
      <c r="Q456">
        <v>15.315701000000001</v>
      </c>
      <c r="R456">
        <v>15.345651</v>
      </c>
      <c r="S456">
        <v>13.242376999999999</v>
      </c>
      <c r="T456">
        <v>15.1383095</v>
      </c>
      <c r="U456">
        <v>15.683365999999999</v>
      </c>
      <c r="V456">
        <v>15.293445</v>
      </c>
      <c r="W456">
        <v>15.512306000000001</v>
      </c>
      <c r="X456">
        <v>15.423465</v>
      </c>
      <c r="Y456">
        <v>14.919269999999999</v>
      </c>
      <c r="Z456">
        <v>15.36848</v>
      </c>
      <c r="AA456">
        <v>15.395023</v>
      </c>
      <c r="AB456">
        <v>15.147579</v>
      </c>
      <c r="AC456">
        <v>13.750507000000001</v>
      </c>
      <c r="AD456">
        <v>15.411315999999999</v>
      </c>
      <c r="AE456">
        <v>15.341697</v>
      </c>
      <c r="AF456">
        <v>15.344426</v>
      </c>
      <c r="AG456">
        <v>15.090444</v>
      </c>
    </row>
    <row r="457" spans="1:33" x14ac:dyDescent="0.25">
      <c r="A457" s="1">
        <v>44508</v>
      </c>
      <c r="B457">
        <v>14.231051000000001</v>
      </c>
      <c r="C457">
        <v>15.063770999999999</v>
      </c>
      <c r="D457">
        <v>14.527865</v>
      </c>
      <c r="E457">
        <v>14.483136</v>
      </c>
      <c r="F457">
        <v>14.873099</v>
      </c>
      <c r="G457">
        <v>15.142846</v>
      </c>
      <c r="H457">
        <v>15.81171</v>
      </c>
      <c r="I457">
        <v>14.155918</v>
      </c>
      <c r="J457">
        <v>13.975493999999999</v>
      </c>
      <c r="K457">
        <v>15.341846</v>
      </c>
      <c r="L457">
        <v>15.017478000000001</v>
      </c>
      <c r="M457">
        <v>15.121347999999999</v>
      </c>
      <c r="N457">
        <v>14.975228</v>
      </c>
      <c r="O457">
        <v>15.067079</v>
      </c>
      <c r="P457">
        <v>15.00384</v>
      </c>
      <c r="Q457">
        <v>15.062543</v>
      </c>
      <c r="R457">
        <v>15.068199999999999</v>
      </c>
      <c r="S457">
        <v>12.569763</v>
      </c>
      <c r="T457">
        <v>14.803658499999999</v>
      </c>
      <c r="U457">
        <v>15.225733999999999</v>
      </c>
      <c r="V457">
        <v>14.975823</v>
      </c>
      <c r="W457">
        <v>15.110580000000001</v>
      </c>
      <c r="X457">
        <v>15.067741</v>
      </c>
      <c r="Y457">
        <v>14.388700999999999</v>
      </c>
      <c r="Z457">
        <v>14.950142</v>
      </c>
      <c r="AA457">
        <v>14.995198</v>
      </c>
      <c r="AB457">
        <v>14.622852</v>
      </c>
      <c r="AC457">
        <v>12.953673</v>
      </c>
      <c r="AD457">
        <v>15.112316</v>
      </c>
      <c r="AE457">
        <v>14.334165</v>
      </c>
      <c r="AF457">
        <v>14.99953</v>
      </c>
      <c r="AG457">
        <v>14.617255999999999</v>
      </c>
    </row>
    <row r="458" spans="1:33" x14ac:dyDescent="0.25">
      <c r="A458" s="1">
        <v>44509</v>
      </c>
      <c r="B458">
        <v>14.35225</v>
      </c>
      <c r="C458">
        <v>14.89771</v>
      </c>
      <c r="D458">
        <v>14.352342</v>
      </c>
      <c r="E458">
        <v>14.415462</v>
      </c>
      <c r="F458">
        <v>14.89312</v>
      </c>
      <c r="G458">
        <v>15.108046999999999</v>
      </c>
      <c r="H458">
        <v>15.8672</v>
      </c>
      <c r="I458">
        <v>14.302726</v>
      </c>
      <c r="J458">
        <v>13.921317999999999</v>
      </c>
      <c r="K458">
        <v>15.110150000000001</v>
      </c>
      <c r="L458">
        <v>14.851139999999999</v>
      </c>
      <c r="M458">
        <v>15.073297</v>
      </c>
      <c r="N458">
        <v>14.851081000000001</v>
      </c>
      <c r="O458">
        <v>14.859127000000001</v>
      </c>
      <c r="P458">
        <v>14.801489999999999</v>
      </c>
      <c r="Q458">
        <v>14.997657999999999</v>
      </c>
      <c r="R458">
        <v>14.862852999999999</v>
      </c>
      <c r="S458">
        <v>12.316388</v>
      </c>
      <c r="T458">
        <v>14.585565000000001</v>
      </c>
      <c r="U458">
        <v>14.837686</v>
      </c>
      <c r="V458">
        <v>14.710456000000001</v>
      </c>
      <c r="W458">
        <v>14.637273</v>
      </c>
      <c r="X458">
        <v>14.751125999999999</v>
      </c>
      <c r="Y458">
        <v>14.150185</v>
      </c>
      <c r="Z458">
        <v>14.55095</v>
      </c>
      <c r="AA458">
        <v>14.712189</v>
      </c>
      <c r="AB458">
        <v>14.369239</v>
      </c>
      <c r="AC458">
        <v>12.634468</v>
      </c>
      <c r="AD458">
        <v>14.902791000000001</v>
      </c>
      <c r="AE458">
        <v>14.215185999999999</v>
      </c>
      <c r="AF458">
        <v>14.750107</v>
      </c>
      <c r="AG458">
        <v>14.163109</v>
      </c>
    </row>
    <row r="459" spans="1:33" x14ac:dyDescent="0.25">
      <c r="A459" s="1">
        <v>44510</v>
      </c>
      <c r="B459">
        <v>14.300848999999999</v>
      </c>
      <c r="C459">
        <v>14.936859999999999</v>
      </c>
      <c r="D459">
        <v>14.308075000000001</v>
      </c>
      <c r="E459">
        <v>14.307437999999999</v>
      </c>
      <c r="F459">
        <v>15.00384</v>
      </c>
      <c r="G459">
        <v>14.997310000000001</v>
      </c>
      <c r="H459">
        <v>15.693244999999999</v>
      </c>
      <c r="I459">
        <v>14.480599</v>
      </c>
      <c r="J459">
        <v>13.8497</v>
      </c>
      <c r="K459">
        <v>15.00581</v>
      </c>
      <c r="L459">
        <v>14.725636</v>
      </c>
      <c r="M459">
        <v>14.974906000000001</v>
      </c>
      <c r="N459">
        <v>14.714354999999999</v>
      </c>
      <c r="O459">
        <v>14.787699999999999</v>
      </c>
      <c r="P459">
        <v>14.708819999999999</v>
      </c>
      <c r="Q459">
        <v>14.884664000000001</v>
      </c>
      <c r="R459">
        <v>14.769914</v>
      </c>
      <c r="S459">
        <v>12.482135</v>
      </c>
      <c r="T459">
        <v>14.345808999999999</v>
      </c>
      <c r="U459">
        <v>14.461195999999999</v>
      </c>
      <c r="V459">
        <v>14.527502999999999</v>
      </c>
      <c r="W459">
        <v>14.174830999999999</v>
      </c>
      <c r="X459">
        <v>14.572395</v>
      </c>
      <c r="Y459">
        <v>13.90733</v>
      </c>
      <c r="Z459">
        <v>14.33403</v>
      </c>
      <c r="AA459">
        <v>14.594991</v>
      </c>
      <c r="AB459">
        <v>14.222754500000001</v>
      </c>
      <c r="AC459">
        <v>12.284098999999999</v>
      </c>
      <c r="AD459">
        <v>14.779667999999999</v>
      </c>
      <c r="AE459">
        <v>14.625078999999999</v>
      </c>
      <c r="AF459">
        <v>14.592193</v>
      </c>
      <c r="AG459">
        <v>14.329965</v>
      </c>
    </row>
    <row r="460" spans="1:33" x14ac:dyDescent="0.25">
      <c r="A460" s="1">
        <v>44511</v>
      </c>
      <c r="B460">
        <v>14.387093</v>
      </c>
      <c r="C460">
        <v>14.996845</v>
      </c>
      <c r="D460">
        <v>14.399984999999999</v>
      </c>
      <c r="E460">
        <v>14.350833</v>
      </c>
      <c r="F460">
        <v>15.142852</v>
      </c>
      <c r="G460">
        <v>15.003155</v>
      </c>
      <c r="H460">
        <v>15.746366</v>
      </c>
      <c r="I460">
        <v>14.745872500000001</v>
      </c>
      <c r="J460">
        <v>14.041088</v>
      </c>
      <c r="K460">
        <v>15.033284</v>
      </c>
      <c r="L460">
        <v>14.750562</v>
      </c>
      <c r="M460">
        <v>14.976645</v>
      </c>
      <c r="N460">
        <v>14.720627</v>
      </c>
      <c r="O460">
        <v>14.798791</v>
      </c>
      <c r="P460">
        <v>14.723032999999999</v>
      </c>
      <c r="Q460">
        <v>14.91183</v>
      </c>
      <c r="R460">
        <v>14.793296</v>
      </c>
      <c r="S460">
        <v>12.504250000000001</v>
      </c>
      <c r="T460">
        <v>14.35666</v>
      </c>
      <c r="U460">
        <v>14.089764000000001</v>
      </c>
      <c r="V460">
        <v>14.532589</v>
      </c>
      <c r="W460">
        <v>13.822797</v>
      </c>
      <c r="X460">
        <v>14.551945</v>
      </c>
      <c r="Y460">
        <v>14.004322999999999</v>
      </c>
      <c r="Z460">
        <v>14.329127</v>
      </c>
      <c r="AA460">
        <v>14.661153000000001</v>
      </c>
      <c r="AB460">
        <v>14.416054000000001</v>
      </c>
      <c r="AC460">
        <v>12.240956000000001</v>
      </c>
      <c r="AD460">
        <v>14.767010000000001</v>
      </c>
      <c r="AE460">
        <v>15.026875</v>
      </c>
      <c r="AF460">
        <v>14.540905</v>
      </c>
      <c r="AG460">
        <v>14.357923</v>
      </c>
    </row>
    <row r="461" spans="1:33" x14ac:dyDescent="0.25">
      <c r="A461" s="1">
        <v>44512</v>
      </c>
      <c r="B461">
        <v>14.495397000000001</v>
      </c>
      <c r="C461">
        <v>15.015904000000001</v>
      </c>
      <c r="D461">
        <v>14.491933</v>
      </c>
      <c r="E461">
        <v>14.472630499999999</v>
      </c>
      <c r="F461">
        <v>15.216039</v>
      </c>
      <c r="G461">
        <v>15.082179999999999</v>
      </c>
      <c r="H461">
        <v>15.912763</v>
      </c>
      <c r="I461">
        <v>14.962329</v>
      </c>
      <c r="J461">
        <v>14.160869</v>
      </c>
      <c r="K461">
        <v>15.075685</v>
      </c>
      <c r="L461">
        <v>14.793422</v>
      </c>
      <c r="M461">
        <v>15.046039</v>
      </c>
      <c r="N461">
        <v>14.757002999999999</v>
      </c>
      <c r="O461">
        <v>14.793346</v>
      </c>
      <c r="P461">
        <v>14.732575000000001</v>
      </c>
      <c r="Q461">
        <v>14.971812</v>
      </c>
      <c r="R461">
        <v>14.821657999999999</v>
      </c>
      <c r="S461">
        <v>12.470234</v>
      </c>
      <c r="T461">
        <v>14.3765</v>
      </c>
      <c r="U461">
        <v>13.818975999999999</v>
      </c>
      <c r="V461">
        <v>14.451537</v>
      </c>
      <c r="W461">
        <v>13.722384999999999</v>
      </c>
      <c r="X461">
        <v>14.394069</v>
      </c>
      <c r="Y461">
        <v>14.1994095</v>
      </c>
      <c r="Z461">
        <v>14.401825000000001</v>
      </c>
      <c r="AA461">
        <v>14.752105999999999</v>
      </c>
      <c r="AB461">
        <v>14.497491</v>
      </c>
      <c r="AC461">
        <v>12.678895000000001</v>
      </c>
      <c r="AD461">
        <v>14.778442999999999</v>
      </c>
      <c r="AE461">
        <v>15.025340999999999</v>
      </c>
      <c r="AF461">
        <v>14.517443999999999</v>
      </c>
      <c r="AG461">
        <v>14.476858999999999</v>
      </c>
    </row>
    <row r="462" spans="1:33" x14ac:dyDescent="0.25">
      <c r="A462" s="1">
        <v>44513</v>
      </c>
      <c r="B462">
        <v>14.791278999999999</v>
      </c>
      <c r="C462">
        <v>15.174874000000001</v>
      </c>
      <c r="D462">
        <v>14.68211</v>
      </c>
      <c r="E462">
        <v>14.727402</v>
      </c>
      <c r="F462">
        <v>15.377063</v>
      </c>
      <c r="G462">
        <v>15.229862000000001</v>
      </c>
      <c r="H462">
        <v>16.130797999999999</v>
      </c>
      <c r="I462">
        <v>15.242105</v>
      </c>
      <c r="J462">
        <v>14.502556</v>
      </c>
      <c r="K462">
        <v>15.149559999999999</v>
      </c>
      <c r="L462">
        <v>14.949923500000001</v>
      </c>
      <c r="M462">
        <v>15.177963999999999</v>
      </c>
      <c r="N462">
        <v>14.882785</v>
      </c>
      <c r="O462">
        <v>14.874131</v>
      </c>
      <c r="P462">
        <v>14.845985000000001</v>
      </c>
      <c r="Q462">
        <v>15.10732</v>
      </c>
      <c r="R462">
        <v>14.9341545</v>
      </c>
      <c r="S462">
        <v>12.945099000000001</v>
      </c>
      <c r="T462">
        <v>14.478301999999999</v>
      </c>
      <c r="U462">
        <v>13.9266615</v>
      </c>
      <c r="V462">
        <v>14.291211000000001</v>
      </c>
      <c r="W462">
        <v>13.993577</v>
      </c>
      <c r="X462">
        <v>14.18979</v>
      </c>
      <c r="Y462">
        <v>14.32761</v>
      </c>
      <c r="Z462">
        <v>14.54095</v>
      </c>
      <c r="AA462">
        <v>14.919204000000001</v>
      </c>
      <c r="AB462">
        <v>14.720065999999999</v>
      </c>
      <c r="AC462">
        <v>13.110013</v>
      </c>
      <c r="AD462">
        <v>14.881973</v>
      </c>
      <c r="AE462">
        <v>14.855905</v>
      </c>
      <c r="AF462">
        <v>14.566497</v>
      </c>
      <c r="AG462">
        <v>14.805634</v>
      </c>
    </row>
    <row r="463" spans="1:33" x14ac:dyDescent="0.25">
      <c r="A463" s="1">
        <v>44514</v>
      </c>
      <c r="B463">
        <v>14.720725</v>
      </c>
      <c r="C463">
        <v>15.137694</v>
      </c>
      <c r="D463">
        <v>14.7424135</v>
      </c>
      <c r="E463">
        <v>14.803750000000001</v>
      </c>
      <c r="F463">
        <v>15.249976</v>
      </c>
      <c r="G463">
        <v>15.271827</v>
      </c>
      <c r="H463">
        <v>16.143651999999999</v>
      </c>
      <c r="I463">
        <v>15.138178999999999</v>
      </c>
      <c r="J463">
        <v>14.479851999999999</v>
      </c>
      <c r="K463">
        <v>15.120609999999999</v>
      </c>
      <c r="L463">
        <v>14.912051</v>
      </c>
      <c r="M463">
        <v>15.193511000000001</v>
      </c>
      <c r="N463">
        <v>14.824280999999999</v>
      </c>
      <c r="O463">
        <v>14.826814000000001</v>
      </c>
      <c r="P463">
        <v>14.858646</v>
      </c>
      <c r="Q463">
        <v>15.112736</v>
      </c>
      <c r="R463">
        <v>14.895386</v>
      </c>
      <c r="S463">
        <v>13.138847</v>
      </c>
      <c r="T463">
        <v>14.42183</v>
      </c>
      <c r="U463">
        <v>14.035848</v>
      </c>
      <c r="V463">
        <v>14.112045999999999</v>
      </c>
      <c r="W463">
        <v>13.769693999999999</v>
      </c>
      <c r="X463">
        <v>14.038277000000001</v>
      </c>
      <c r="Y463">
        <v>14.13815</v>
      </c>
      <c r="Z463">
        <v>14.591136000000001</v>
      </c>
      <c r="AA463">
        <v>14.905999</v>
      </c>
      <c r="AB463">
        <v>14.777981</v>
      </c>
      <c r="AC463">
        <v>13.167956</v>
      </c>
      <c r="AD463">
        <v>14.865981</v>
      </c>
      <c r="AE463">
        <v>14.435245999999999</v>
      </c>
      <c r="AF463">
        <v>14.561753</v>
      </c>
      <c r="AG463">
        <v>14.8259325</v>
      </c>
    </row>
    <row r="464" spans="1:33" x14ac:dyDescent="0.25">
      <c r="A464" s="1">
        <v>44515</v>
      </c>
      <c r="B464">
        <v>14.79308</v>
      </c>
      <c r="C464">
        <v>15.093417000000001</v>
      </c>
      <c r="D464">
        <v>14.821986000000001</v>
      </c>
      <c r="E464">
        <v>14.887373999999999</v>
      </c>
      <c r="F464">
        <v>15.242984999999999</v>
      </c>
      <c r="G464">
        <v>15.313663500000001</v>
      </c>
      <c r="H464">
        <v>16.31992</v>
      </c>
      <c r="I464">
        <v>15.03107</v>
      </c>
      <c r="J464">
        <v>14.457777999999999</v>
      </c>
      <c r="K464">
        <v>15.077546</v>
      </c>
      <c r="L464">
        <v>14.854632000000001</v>
      </c>
      <c r="M464">
        <v>15.217166000000001</v>
      </c>
      <c r="N464">
        <v>14.772427</v>
      </c>
      <c r="O464">
        <v>14.796371000000001</v>
      </c>
      <c r="P464">
        <v>14.837165000000001</v>
      </c>
      <c r="Q464">
        <v>15.128598</v>
      </c>
      <c r="R464">
        <v>14.865679999999999</v>
      </c>
      <c r="S464">
        <v>13.319405</v>
      </c>
      <c r="T464">
        <v>14.359260000000001</v>
      </c>
      <c r="U464">
        <v>14.126732000000001</v>
      </c>
      <c r="V464">
        <v>14.199491</v>
      </c>
      <c r="W464">
        <v>13.640986</v>
      </c>
      <c r="X464">
        <v>14.121314</v>
      </c>
      <c r="Y464">
        <v>14.285843</v>
      </c>
      <c r="Z464">
        <v>14.565892</v>
      </c>
      <c r="AA464">
        <v>14.853260000000001</v>
      </c>
      <c r="AB464">
        <v>14.831322999999999</v>
      </c>
      <c r="AC464">
        <v>13.132973</v>
      </c>
      <c r="AD464">
        <v>14.82164</v>
      </c>
      <c r="AE464">
        <v>14.176608</v>
      </c>
      <c r="AF464">
        <v>14.601571</v>
      </c>
      <c r="AG464">
        <v>14.812405</v>
      </c>
    </row>
    <row r="465" spans="1:33" x14ac:dyDescent="0.25">
      <c r="A465" s="1">
        <v>44516</v>
      </c>
      <c r="B465">
        <v>14.743389000000001</v>
      </c>
      <c r="C465">
        <v>14.991379999999999</v>
      </c>
      <c r="D465">
        <v>14.854393999999999</v>
      </c>
      <c r="E465">
        <v>14.892846</v>
      </c>
      <c r="F465">
        <v>15.212421000000001</v>
      </c>
      <c r="G465">
        <v>15.330826999999999</v>
      </c>
      <c r="H465">
        <v>16.396899999999999</v>
      </c>
      <c r="I465">
        <v>14.886086000000001</v>
      </c>
      <c r="J465">
        <v>14.260596</v>
      </c>
      <c r="K465">
        <v>14.987602000000001</v>
      </c>
      <c r="L465">
        <v>14.751586</v>
      </c>
      <c r="M465">
        <v>15.221171999999999</v>
      </c>
      <c r="N465">
        <v>14.722541</v>
      </c>
      <c r="O465">
        <v>14.695886</v>
      </c>
      <c r="P465">
        <v>14.781402999999999</v>
      </c>
      <c r="Q465">
        <v>15.133445999999999</v>
      </c>
      <c r="R465">
        <v>14.765021000000001</v>
      </c>
      <c r="S465">
        <v>13.312252000000001</v>
      </c>
      <c r="T465">
        <v>14.253947999999999</v>
      </c>
      <c r="U465">
        <v>14.165531</v>
      </c>
      <c r="V465">
        <v>14.028729</v>
      </c>
      <c r="W465">
        <v>13.756733000000001</v>
      </c>
      <c r="X465">
        <v>13.901249999999999</v>
      </c>
      <c r="Y465">
        <v>14.322158999999999</v>
      </c>
      <c r="Z465">
        <v>14.420207</v>
      </c>
      <c r="AA465">
        <v>14.735408</v>
      </c>
      <c r="AB465">
        <v>14.735118999999999</v>
      </c>
      <c r="AC465">
        <v>13.149616999999999</v>
      </c>
      <c r="AD465">
        <v>14.742284</v>
      </c>
      <c r="AE465">
        <v>13.963882</v>
      </c>
      <c r="AF465">
        <v>14.611492</v>
      </c>
      <c r="AG465">
        <v>14.662595</v>
      </c>
    </row>
    <row r="466" spans="1:33" x14ac:dyDescent="0.25">
      <c r="A466" s="1">
        <v>44517</v>
      </c>
      <c r="B466">
        <v>14.347547</v>
      </c>
      <c r="C466">
        <v>14.716037999999999</v>
      </c>
      <c r="D466">
        <v>14.602702000000001</v>
      </c>
      <c r="E466">
        <v>14.626801499999999</v>
      </c>
      <c r="F466">
        <v>14.905094999999999</v>
      </c>
      <c r="G466">
        <v>15.241149</v>
      </c>
      <c r="H466">
        <v>16.211445000000001</v>
      </c>
      <c r="I466">
        <v>14.258743000000001</v>
      </c>
      <c r="J466">
        <v>13.750337</v>
      </c>
      <c r="K466">
        <v>14.824389</v>
      </c>
      <c r="L466">
        <v>14.506401</v>
      </c>
      <c r="M466">
        <v>15.109885</v>
      </c>
      <c r="N466">
        <v>14.546899</v>
      </c>
      <c r="O466">
        <v>14.484788</v>
      </c>
      <c r="P466">
        <v>14.613026</v>
      </c>
      <c r="Q466">
        <v>15.033071</v>
      </c>
      <c r="R466">
        <v>14.593021</v>
      </c>
      <c r="S466">
        <v>12.594169000000001</v>
      </c>
      <c r="T466">
        <v>13.958344</v>
      </c>
      <c r="U466">
        <v>13.899865</v>
      </c>
      <c r="V466">
        <v>13.724087000000001</v>
      </c>
      <c r="W466">
        <v>13.712574999999999</v>
      </c>
      <c r="X466">
        <v>13.536784000000001</v>
      </c>
      <c r="Y466">
        <v>13.981236000000001</v>
      </c>
      <c r="Z466">
        <v>14.068127</v>
      </c>
      <c r="AA466">
        <v>14.449859</v>
      </c>
      <c r="AB466">
        <v>14.370696000000001</v>
      </c>
      <c r="AC466">
        <v>12.867164000000001</v>
      </c>
      <c r="AD466">
        <v>14.540858</v>
      </c>
      <c r="AE466">
        <v>13.764227999999999</v>
      </c>
      <c r="AF466">
        <v>14.447570000000001</v>
      </c>
      <c r="AG466">
        <v>14.237026999999999</v>
      </c>
    </row>
    <row r="467" spans="1:33" x14ac:dyDescent="0.25">
      <c r="A467" s="1">
        <v>44518</v>
      </c>
      <c r="B467">
        <v>14.114147000000001</v>
      </c>
      <c r="C467">
        <v>14.502340999999999</v>
      </c>
      <c r="D467">
        <v>14.420256999999999</v>
      </c>
      <c r="E467">
        <v>14.367898</v>
      </c>
      <c r="F467">
        <v>14.854819000000001</v>
      </c>
      <c r="G467">
        <v>15.127074</v>
      </c>
      <c r="H467">
        <v>16.175370000000001</v>
      </c>
      <c r="I467">
        <v>14.057696999999999</v>
      </c>
      <c r="J467">
        <v>13.435653</v>
      </c>
      <c r="K467">
        <v>14.723603000000001</v>
      </c>
      <c r="L467">
        <v>14.36734</v>
      </c>
      <c r="M467">
        <v>15.016994</v>
      </c>
      <c r="N467">
        <v>14.436223</v>
      </c>
      <c r="O467">
        <v>14.360469</v>
      </c>
      <c r="P467">
        <v>14.464748</v>
      </c>
      <c r="Q467">
        <v>14.918386999999999</v>
      </c>
      <c r="R467">
        <v>14.458031</v>
      </c>
      <c r="S467">
        <v>12.152977</v>
      </c>
      <c r="T467">
        <v>13.741816500000001</v>
      </c>
      <c r="U467">
        <v>13.750420999999999</v>
      </c>
      <c r="V467">
        <v>13.619049</v>
      </c>
      <c r="W467">
        <v>13.741868</v>
      </c>
      <c r="X467">
        <v>13.454185499999999</v>
      </c>
      <c r="Y467">
        <v>13.747163</v>
      </c>
      <c r="Z467">
        <v>13.803397</v>
      </c>
      <c r="AA467">
        <v>14.242042</v>
      </c>
      <c r="AB467">
        <v>14.040437000000001</v>
      </c>
      <c r="AC467">
        <v>12.709880999999999</v>
      </c>
      <c r="AD467">
        <v>14.386001</v>
      </c>
      <c r="AE467">
        <v>13.359127000000001</v>
      </c>
      <c r="AF467">
        <v>14.346133</v>
      </c>
      <c r="AG467">
        <v>14.008991</v>
      </c>
    </row>
    <row r="468" spans="1:33" x14ac:dyDescent="0.25">
      <c r="A468" s="1">
        <v>44519</v>
      </c>
      <c r="B468">
        <v>14.127319</v>
      </c>
      <c r="C468">
        <v>14.43662</v>
      </c>
      <c r="D468">
        <v>14.330470999999999</v>
      </c>
      <c r="E468">
        <v>14.27718</v>
      </c>
      <c r="F468">
        <v>14.887048</v>
      </c>
      <c r="G468">
        <v>15.089506999999999</v>
      </c>
      <c r="H468">
        <v>16.112964999999999</v>
      </c>
      <c r="I468">
        <v>14.141101000000001</v>
      </c>
      <c r="J468">
        <v>13.490783</v>
      </c>
      <c r="K468">
        <v>14.657081</v>
      </c>
      <c r="L468">
        <v>14.316250999999999</v>
      </c>
      <c r="M468">
        <v>14.994123999999999</v>
      </c>
      <c r="N468">
        <v>14.414215</v>
      </c>
      <c r="O468">
        <v>14.3019905</v>
      </c>
      <c r="P468">
        <v>14.396269999999999</v>
      </c>
      <c r="Q468">
        <v>14.881036</v>
      </c>
      <c r="R468">
        <v>14.391956</v>
      </c>
      <c r="S468">
        <v>12.217765</v>
      </c>
      <c r="T468">
        <v>13.676209</v>
      </c>
      <c r="U468">
        <v>13.723011</v>
      </c>
      <c r="V468">
        <v>13.693917000000001</v>
      </c>
      <c r="W468">
        <v>13.621245999999999</v>
      </c>
      <c r="X468">
        <v>13.610423000000001</v>
      </c>
      <c r="Y468">
        <v>13.641705</v>
      </c>
      <c r="Z468">
        <v>13.693058000000001</v>
      </c>
      <c r="AA468">
        <v>14.165133000000001</v>
      </c>
      <c r="AB468">
        <v>13.85952</v>
      </c>
      <c r="AC468">
        <v>12.727245999999999</v>
      </c>
      <c r="AD468">
        <v>14.316822</v>
      </c>
      <c r="AE468">
        <v>13.838696000000001</v>
      </c>
      <c r="AF468">
        <v>14.307733000000001</v>
      </c>
      <c r="AG468">
        <v>13.940834000000001</v>
      </c>
    </row>
    <row r="469" spans="1:33" x14ac:dyDescent="0.25">
      <c r="A469" s="1">
        <v>44520</v>
      </c>
      <c r="B469">
        <v>13.970909000000001</v>
      </c>
      <c r="C469">
        <v>14.408645999999999</v>
      </c>
      <c r="D469">
        <v>14.214427000000001</v>
      </c>
      <c r="E469">
        <v>14.156475</v>
      </c>
      <c r="F469">
        <v>14.879875</v>
      </c>
      <c r="G469">
        <v>15.029164</v>
      </c>
      <c r="H469">
        <v>15.933021999999999</v>
      </c>
      <c r="I469">
        <v>14.22429</v>
      </c>
      <c r="J469">
        <v>13.422744</v>
      </c>
      <c r="K469">
        <v>14.558934000000001</v>
      </c>
      <c r="L469">
        <v>14.188979</v>
      </c>
      <c r="M469">
        <v>14.943111</v>
      </c>
      <c r="N469">
        <v>14.296535499999999</v>
      </c>
      <c r="O469">
        <v>14.119327</v>
      </c>
      <c r="P469">
        <v>14.316178000000001</v>
      </c>
      <c r="Q469">
        <v>14.816125</v>
      </c>
      <c r="R469">
        <v>14.243463999999999</v>
      </c>
      <c r="S469">
        <v>12.080310000000001</v>
      </c>
      <c r="T469">
        <v>13.581981000000001</v>
      </c>
      <c r="U469">
        <v>13.566792</v>
      </c>
      <c r="V469">
        <v>13.633718</v>
      </c>
      <c r="W469">
        <v>13.366006</v>
      </c>
      <c r="X469">
        <v>13.561736</v>
      </c>
      <c r="Y469">
        <v>13.484978999999999</v>
      </c>
      <c r="Z469">
        <v>13.546378000000001</v>
      </c>
      <c r="AA469">
        <v>14.065231000000001</v>
      </c>
      <c r="AB469">
        <v>13.722728999999999</v>
      </c>
      <c r="AC469">
        <v>12.655181000000001</v>
      </c>
      <c r="AD469">
        <v>14.196282</v>
      </c>
      <c r="AE469">
        <v>14.506123000000001</v>
      </c>
      <c r="AF469">
        <v>14.237185999999999</v>
      </c>
      <c r="AG469">
        <v>13.806801999999999</v>
      </c>
    </row>
    <row r="470" spans="1:33" x14ac:dyDescent="0.25">
      <c r="A470" s="1">
        <v>44521</v>
      </c>
      <c r="B470">
        <v>13.492099</v>
      </c>
      <c r="C470">
        <v>14.104752</v>
      </c>
      <c r="D470">
        <v>13.902877</v>
      </c>
      <c r="E470">
        <v>13.821471000000001</v>
      </c>
      <c r="F470">
        <v>14.446835</v>
      </c>
      <c r="G470">
        <v>14.828846</v>
      </c>
      <c r="H470">
        <v>15.579884</v>
      </c>
      <c r="I470">
        <v>13.591348</v>
      </c>
      <c r="J470">
        <v>12.913041</v>
      </c>
      <c r="K470">
        <v>14.382774</v>
      </c>
      <c r="L470">
        <v>13.91966</v>
      </c>
      <c r="M470">
        <v>14.746181999999999</v>
      </c>
      <c r="N470">
        <v>14.073734999999999</v>
      </c>
      <c r="O470">
        <v>13.815514</v>
      </c>
      <c r="P470">
        <v>14.119450000000001</v>
      </c>
      <c r="Q470">
        <v>14.614041</v>
      </c>
      <c r="R470">
        <v>13.983604</v>
      </c>
      <c r="S470">
        <v>11.167662999999999</v>
      </c>
      <c r="T470">
        <v>13.316342000000001</v>
      </c>
      <c r="U470">
        <v>13.242467</v>
      </c>
      <c r="V470">
        <v>13.360144999999999</v>
      </c>
      <c r="W470">
        <v>13.187396</v>
      </c>
      <c r="X470">
        <v>13.292453</v>
      </c>
      <c r="Y470">
        <v>13.131046</v>
      </c>
      <c r="Z470">
        <v>13.276315</v>
      </c>
      <c r="AA470">
        <v>13.795234000000001</v>
      </c>
      <c r="AB470">
        <v>13.346966</v>
      </c>
      <c r="AC470">
        <v>12.247966999999999</v>
      </c>
      <c r="AD470">
        <v>13.960202000000001</v>
      </c>
      <c r="AE470">
        <v>13.849956000000001</v>
      </c>
      <c r="AF470">
        <v>14.044650000000001</v>
      </c>
      <c r="AG470">
        <v>13.406112</v>
      </c>
    </row>
    <row r="471" spans="1:33" x14ac:dyDescent="0.25">
      <c r="A471" s="1">
        <v>44522</v>
      </c>
      <c r="B471">
        <v>13.240005999999999</v>
      </c>
      <c r="C471">
        <v>13.861008</v>
      </c>
      <c r="D471">
        <v>13.626473000000001</v>
      </c>
      <c r="E471">
        <v>13.534537</v>
      </c>
      <c r="F471">
        <v>14.3128805</v>
      </c>
      <c r="G471">
        <v>14.650460000000001</v>
      </c>
      <c r="H471">
        <v>15.569737</v>
      </c>
      <c r="I471">
        <v>13.408785999999999</v>
      </c>
      <c r="J471">
        <v>12.754135</v>
      </c>
      <c r="K471">
        <v>14.275777</v>
      </c>
      <c r="L471">
        <v>13.772733000000001</v>
      </c>
      <c r="M471">
        <v>14.588421</v>
      </c>
      <c r="N471">
        <v>13.938134</v>
      </c>
      <c r="O471">
        <v>13.685898999999999</v>
      </c>
      <c r="P471">
        <v>13.929249</v>
      </c>
      <c r="Q471">
        <v>14.440974000000001</v>
      </c>
      <c r="R471">
        <v>13.828935</v>
      </c>
      <c r="S471">
        <v>10.758686000000001</v>
      </c>
      <c r="T471">
        <v>13.155151999999999</v>
      </c>
      <c r="U471">
        <v>13.108245</v>
      </c>
      <c r="V471">
        <v>13.260952</v>
      </c>
      <c r="W471">
        <v>12.735814</v>
      </c>
      <c r="X471">
        <v>13.165348</v>
      </c>
      <c r="Y471">
        <v>12.849633000000001</v>
      </c>
      <c r="Z471">
        <v>13.051030000000001</v>
      </c>
      <c r="AA471">
        <v>13.590083999999999</v>
      </c>
      <c r="AB471">
        <v>13.066022</v>
      </c>
      <c r="AC471">
        <v>12.001937</v>
      </c>
      <c r="AD471">
        <v>13.796899</v>
      </c>
      <c r="AE471">
        <v>13.338801</v>
      </c>
      <c r="AF471">
        <v>13.909186999999999</v>
      </c>
      <c r="AG471">
        <v>13.201701</v>
      </c>
    </row>
    <row r="472" spans="1:33" x14ac:dyDescent="0.25">
      <c r="A472" s="1">
        <v>44523</v>
      </c>
      <c r="B472">
        <v>12.976978000000001</v>
      </c>
      <c r="C472">
        <v>13.712790500000001</v>
      </c>
      <c r="D472">
        <v>13.388055</v>
      </c>
      <c r="E472">
        <v>13.292021999999999</v>
      </c>
      <c r="F472">
        <v>14.206849</v>
      </c>
      <c r="G472">
        <v>14.524562</v>
      </c>
      <c r="H472">
        <v>15.510773</v>
      </c>
      <c r="I472">
        <v>13.267765000000001</v>
      </c>
      <c r="J472">
        <v>12.675193999999999</v>
      </c>
      <c r="K472">
        <v>14.161465</v>
      </c>
      <c r="L472">
        <v>13.675319999999999</v>
      </c>
      <c r="M472">
        <v>14.448024999999999</v>
      </c>
      <c r="N472">
        <v>13.829024</v>
      </c>
      <c r="O472">
        <v>13.614646</v>
      </c>
      <c r="P472">
        <v>13.777377</v>
      </c>
      <c r="Q472">
        <v>14.309312</v>
      </c>
      <c r="R472">
        <v>13.720803</v>
      </c>
      <c r="S472">
        <v>10.616709999999999</v>
      </c>
      <c r="T472">
        <v>13.040673</v>
      </c>
      <c r="U472">
        <v>12.878766000000001</v>
      </c>
      <c r="V472">
        <v>13.144787000000001</v>
      </c>
      <c r="W472">
        <v>12.594925999999999</v>
      </c>
      <c r="X472">
        <v>13.037243999999999</v>
      </c>
      <c r="Y472">
        <v>12.733738000000001</v>
      </c>
      <c r="Z472">
        <v>12.92732</v>
      </c>
      <c r="AA472">
        <v>13.473252</v>
      </c>
      <c r="AB472">
        <v>12.998321000000001</v>
      </c>
      <c r="AC472">
        <v>11.917396999999999</v>
      </c>
      <c r="AD472">
        <v>13.678292000000001</v>
      </c>
      <c r="AE472">
        <v>12.925217999999999</v>
      </c>
      <c r="AF472">
        <v>13.845447</v>
      </c>
      <c r="AG472">
        <v>13.143413000000001</v>
      </c>
    </row>
    <row r="473" spans="1:33" x14ac:dyDescent="0.25">
      <c r="A473" s="1">
        <v>44524</v>
      </c>
      <c r="B473">
        <v>12.458572</v>
      </c>
      <c r="C473">
        <v>13.358306000000001</v>
      </c>
      <c r="D473">
        <v>12.993230000000001</v>
      </c>
      <c r="E473">
        <v>12.8271</v>
      </c>
      <c r="F473">
        <v>13.833064</v>
      </c>
      <c r="G473">
        <v>14.187385000000001</v>
      </c>
      <c r="H473">
        <v>15.179212</v>
      </c>
      <c r="I473">
        <v>12.7552805</v>
      </c>
      <c r="J473">
        <v>11.967865</v>
      </c>
      <c r="K473">
        <v>13.844277</v>
      </c>
      <c r="L473">
        <v>13.289111</v>
      </c>
      <c r="M473">
        <v>14.118808</v>
      </c>
      <c r="N473">
        <v>13.437885</v>
      </c>
      <c r="O473">
        <v>13.276866999999999</v>
      </c>
      <c r="P473">
        <v>13.457046</v>
      </c>
      <c r="Q473">
        <v>13.984101000000001</v>
      </c>
      <c r="R473">
        <v>13.385888</v>
      </c>
      <c r="S473">
        <v>9.7382799999999996</v>
      </c>
      <c r="T473">
        <v>12.587006000000001</v>
      </c>
      <c r="U473">
        <v>12.356728</v>
      </c>
      <c r="V473">
        <v>12.551072</v>
      </c>
      <c r="W473">
        <v>11.82375</v>
      </c>
      <c r="X473">
        <v>12.483971</v>
      </c>
      <c r="Y473">
        <v>12.244685</v>
      </c>
      <c r="Z473">
        <v>12.579852000000001</v>
      </c>
      <c r="AA473">
        <v>13.103702999999999</v>
      </c>
      <c r="AB473">
        <v>12.559794999999999</v>
      </c>
      <c r="AC473">
        <v>11.269500000000001</v>
      </c>
      <c r="AD473">
        <v>13.351426</v>
      </c>
      <c r="AE473">
        <v>12.163933</v>
      </c>
      <c r="AF473">
        <v>13.543526999999999</v>
      </c>
      <c r="AG473">
        <v>12.609965000000001</v>
      </c>
    </row>
    <row r="474" spans="1:33" x14ac:dyDescent="0.25">
      <c r="A474" s="1">
        <v>44525</v>
      </c>
      <c r="B474">
        <v>12.152753000000001</v>
      </c>
      <c r="C474">
        <v>13.109989000000001</v>
      </c>
      <c r="D474">
        <v>12.637439000000001</v>
      </c>
      <c r="E474">
        <v>12.44904</v>
      </c>
      <c r="F474">
        <v>13.57436</v>
      </c>
      <c r="G474">
        <v>13.897525</v>
      </c>
      <c r="H474">
        <v>14.912421999999999</v>
      </c>
      <c r="I474">
        <v>12.3061495</v>
      </c>
      <c r="J474">
        <v>11.50156</v>
      </c>
      <c r="K474">
        <v>13.633243</v>
      </c>
      <c r="L474">
        <v>12.982376</v>
      </c>
      <c r="M474">
        <v>13.828105000000001</v>
      </c>
      <c r="N474">
        <v>13.103374499999999</v>
      </c>
      <c r="O474">
        <v>12.990665</v>
      </c>
      <c r="P474">
        <v>13.167795999999999</v>
      </c>
      <c r="Q474">
        <v>13.690680499999999</v>
      </c>
      <c r="R474">
        <v>13.115912</v>
      </c>
      <c r="S474">
        <v>9.0694839999999992</v>
      </c>
      <c r="T474">
        <v>12.194172999999999</v>
      </c>
      <c r="U474">
        <v>12.076496000000001</v>
      </c>
      <c r="V474">
        <v>12.146770999999999</v>
      </c>
      <c r="W474">
        <v>11.211296000000001</v>
      </c>
      <c r="X474">
        <v>11.958778000000001</v>
      </c>
      <c r="Y474">
        <v>11.711050999999999</v>
      </c>
      <c r="Z474">
        <v>12.203011</v>
      </c>
      <c r="AA474">
        <v>12.741845</v>
      </c>
      <c r="AB474">
        <v>12.008525000000001</v>
      </c>
      <c r="AC474">
        <v>10.611985000000001</v>
      </c>
      <c r="AD474">
        <v>13.050041</v>
      </c>
      <c r="AE474">
        <v>11.545052999999999</v>
      </c>
      <c r="AF474">
        <v>13.275518999999999</v>
      </c>
      <c r="AG474">
        <v>12.195217</v>
      </c>
    </row>
    <row r="475" spans="1:33" x14ac:dyDescent="0.25">
      <c r="A475" s="1">
        <v>44526</v>
      </c>
      <c r="B475">
        <v>12.133395</v>
      </c>
      <c r="C475">
        <v>13.037139</v>
      </c>
      <c r="D475">
        <v>12.466706</v>
      </c>
      <c r="E475">
        <v>12.310451499999999</v>
      </c>
      <c r="F475">
        <v>13.56704</v>
      </c>
      <c r="G475">
        <v>13.762332000000001</v>
      </c>
      <c r="H475">
        <v>14.883454</v>
      </c>
      <c r="I475">
        <v>12.344594000000001</v>
      </c>
      <c r="J475">
        <v>11.474506</v>
      </c>
      <c r="K475">
        <v>13.503755</v>
      </c>
      <c r="L475">
        <v>12.85032</v>
      </c>
      <c r="M475">
        <v>13.691691</v>
      </c>
      <c r="N475">
        <v>12.948502</v>
      </c>
      <c r="O475">
        <v>12.872139000000001</v>
      </c>
      <c r="P475">
        <v>13.010016</v>
      </c>
      <c r="Q475">
        <v>13.537342000000001</v>
      </c>
      <c r="R475">
        <v>12.990341000000001</v>
      </c>
      <c r="S475">
        <v>8.6781249999999996</v>
      </c>
      <c r="T475">
        <v>11.969480000000001</v>
      </c>
      <c r="U475">
        <v>11.522422000000001</v>
      </c>
      <c r="V475">
        <v>12.029999</v>
      </c>
      <c r="W475">
        <v>10.828431</v>
      </c>
      <c r="X475">
        <v>11.864387499999999</v>
      </c>
      <c r="Y475">
        <v>11.495587</v>
      </c>
      <c r="Z475">
        <v>12.000404</v>
      </c>
      <c r="AA475">
        <v>12.55518</v>
      </c>
      <c r="AB475">
        <v>11.839169</v>
      </c>
      <c r="AC475">
        <v>10.192807</v>
      </c>
      <c r="AD475">
        <v>12.884017</v>
      </c>
      <c r="AE475">
        <v>11.427166</v>
      </c>
      <c r="AF475">
        <v>13.134556</v>
      </c>
      <c r="AG475">
        <v>12.0927925</v>
      </c>
    </row>
    <row r="476" spans="1:33" x14ac:dyDescent="0.25">
      <c r="A476" s="1">
        <v>44527</v>
      </c>
      <c r="B476">
        <v>12.294971</v>
      </c>
      <c r="C476">
        <v>13.050954000000001</v>
      </c>
      <c r="D476">
        <v>12.411512999999999</v>
      </c>
      <c r="E476">
        <v>12.310052000000001</v>
      </c>
      <c r="F476">
        <v>13.663677</v>
      </c>
      <c r="G476">
        <v>13.724969</v>
      </c>
      <c r="H476">
        <v>14.9305725</v>
      </c>
      <c r="I476">
        <v>12.573221999999999</v>
      </c>
      <c r="J476">
        <v>11.450063</v>
      </c>
      <c r="K476">
        <v>13.415607</v>
      </c>
      <c r="L476">
        <v>12.778572</v>
      </c>
      <c r="M476">
        <v>13.650681499999999</v>
      </c>
      <c r="N476">
        <v>12.887795000000001</v>
      </c>
      <c r="O476">
        <v>12.808811</v>
      </c>
      <c r="P476">
        <v>12.896787</v>
      </c>
      <c r="Q476">
        <v>13.521176000000001</v>
      </c>
      <c r="R476">
        <v>12.94603</v>
      </c>
      <c r="S476">
        <v>8.6492550000000001</v>
      </c>
      <c r="T476">
        <v>11.882682000000001</v>
      </c>
      <c r="U476">
        <v>10.936298000000001</v>
      </c>
      <c r="V476">
        <v>11.954891</v>
      </c>
      <c r="W476">
        <v>10.430548</v>
      </c>
      <c r="X476">
        <v>11.769062999999999</v>
      </c>
      <c r="Y476">
        <v>11.394212</v>
      </c>
      <c r="Z476">
        <v>11.848765999999999</v>
      </c>
      <c r="AA476">
        <v>12.480247500000001</v>
      </c>
      <c r="AB476">
        <v>11.752136999999999</v>
      </c>
      <c r="AC476">
        <v>9.9784389999999998</v>
      </c>
      <c r="AD476">
        <v>12.7774725</v>
      </c>
      <c r="AE476">
        <v>11.507766999999999</v>
      </c>
      <c r="AF476">
        <v>13.055961999999999</v>
      </c>
      <c r="AG476">
        <v>12.086791</v>
      </c>
    </row>
    <row r="477" spans="1:33" x14ac:dyDescent="0.25">
      <c r="A477" s="1">
        <v>44528</v>
      </c>
      <c r="B477">
        <v>12.377243999999999</v>
      </c>
      <c r="C477">
        <v>13.078294</v>
      </c>
      <c r="D477">
        <v>12.360078</v>
      </c>
      <c r="E477">
        <v>12.316587999999999</v>
      </c>
      <c r="F477">
        <v>13.700081000000001</v>
      </c>
      <c r="G477">
        <v>13.722238000000001</v>
      </c>
      <c r="H477">
        <v>14.893784</v>
      </c>
      <c r="I477">
        <v>12.768053999999999</v>
      </c>
      <c r="J477">
        <v>11.466272999999999</v>
      </c>
      <c r="K477">
        <v>13.367967</v>
      </c>
      <c r="L477">
        <v>12.718641999999999</v>
      </c>
      <c r="M477">
        <v>13.613986000000001</v>
      </c>
      <c r="N477">
        <v>12.816122999999999</v>
      </c>
      <c r="O477">
        <v>12.677913999999999</v>
      </c>
      <c r="P477">
        <v>12.84037</v>
      </c>
      <c r="Q477">
        <v>13.494588</v>
      </c>
      <c r="R477">
        <v>12.879538999999999</v>
      </c>
      <c r="S477">
        <v>8.7547409999999992</v>
      </c>
      <c r="T477">
        <v>11.81094</v>
      </c>
      <c r="U477">
        <v>10.583534999999999</v>
      </c>
      <c r="V477">
        <v>11.805247</v>
      </c>
      <c r="W477">
        <v>10.210582</v>
      </c>
      <c r="X477">
        <v>11.5888405</v>
      </c>
      <c r="Y477">
        <v>11.202351</v>
      </c>
      <c r="Z477">
        <v>11.843674999999999</v>
      </c>
      <c r="AA477">
        <v>12.439715</v>
      </c>
      <c r="AB477">
        <v>11.710553000000001</v>
      </c>
      <c r="AC477">
        <v>9.7368140000000007</v>
      </c>
      <c r="AD477">
        <v>12.707100000000001</v>
      </c>
      <c r="AE477">
        <v>11.6270895</v>
      </c>
      <c r="AF477">
        <v>12.976626</v>
      </c>
      <c r="AG477">
        <v>12.074649000000001</v>
      </c>
    </row>
    <row r="478" spans="1:33" x14ac:dyDescent="0.25">
      <c r="A478" s="1">
        <v>44529</v>
      </c>
      <c r="B478">
        <v>12.529358</v>
      </c>
      <c r="C478">
        <v>13.123146</v>
      </c>
      <c r="D478">
        <v>12.419841</v>
      </c>
      <c r="E478">
        <v>12.477548000000001</v>
      </c>
      <c r="F478">
        <v>13.766257</v>
      </c>
      <c r="G478">
        <v>13.783028</v>
      </c>
      <c r="H478">
        <v>15.064296000000001</v>
      </c>
      <c r="I478">
        <v>13.027732</v>
      </c>
      <c r="J478">
        <v>11.596078</v>
      </c>
      <c r="K478">
        <v>13.341453</v>
      </c>
      <c r="L478">
        <v>12.70575</v>
      </c>
      <c r="M478">
        <v>13.637055</v>
      </c>
      <c r="N478">
        <v>12.810267</v>
      </c>
      <c r="O478">
        <v>12.659087</v>
      </c>
      <c r="P478">
        <v>12.820550000000001</v>
      </c>
      <c r="Q478">
        <v>13.5084</v>
      </c>
      <c r="R478">
        <v>12.841582000000001</v>
      </c>
      <c r="S478">
        <v>9.0256299999999996</v>
      </c>
      <c r="T478">
        <v>11.782157</v>
      </c>
      <c r="U478">
        <v>10.3856535</v>
      </c>
      <c r="V478">
        <v>11.72959</v>
      </c>
      <c r="W478">
        <v>10.257533</v>
      </c>
      <c r="X478">
        <v>11.469182</v>
      </c>
      <c r="Y478">
        <v>11.179150999999999</v>
      </c>
      <c r="Z478">
        <v>11.929093</v>
      </c>
      <c r="AA478">
        <v>12.445128</v>
      </c>
      <c r="AB478">
        <v>11.748651000000001</v>
      </c>
      <c r="AC478">
        <v>9.7048649999999999</v>
      </c>
      <c r="AD478">
        <v>12.687421000000001</v>
      </c>
      <c r="AE478">
        <v>11.726870999999999</v>
      </c>
      <c r="AF478">
        <v>12.963544000000001</v>
      </c>
      <c r="AG478">
        <v>12.126163</v>
      </c>
    </row>
    <row r="479" spans="1:33" x14ac:dyDescent="0.25">
      <c r="A479" s="1">
        <v>44530</v>
      </c>
      <c r="B479">
        <v>12.594334</v>
      </c>
      <c r="C479">
        <v>13.447862000000001</v>
      </c>
      <c r="D479">
        <v>12.419772</v>
      </c>
      <c r="E479">
        <v>12.640647</v>
      </c>
      <c r="F479">
        <v>13.812943000000001</v>
      </c>
      <c r="G479">
        <v>13.871311</v>
      </c>
      <c r="H479">
        <v>15.166385999999999</v>
      </c>
      <c r="I479">
        <v>13.239262999999999</v>
      </c>
      <c r="J479">
        <v>11.713108</v>
      </c>
      <c r="K479">
        <v>13.292895</v>
      </c>
      <c r="L479">
        <v>12.711494999999999</v>
      </c>
      <c r="M479">
        <v>13.701874999999999</v>
      </c>
      <c r="N479">
        <v>12.847160000000001</v>
      </c>
      <c r="O479">
        <v>12.670795</v>
      </c>
      <c r="P479">
        <v>12.8108635</v>
      </c>
      <c r="Q479">
        <v>13.564102</v>
      </c>
      <c r="R479">
        <v>12.835312999999999</v>
      </c>
      <c r="S479">
        <v>9.4080925000000004</v>
      </c>
      <c r="T479">
        <v>11.812331</v>
      </c>
      <c r="U479">
        <v>10.424450999999999</v>
      </c>
      <c r="V479">
        <v>11.674951</v>
      </c>
      <c r="W479">
        <v>10.464219</v>
      </c>
      <c r="X479">
        <v>11.38594</v>
      </c>
      <c r="Y479">
        <v>11.291603</v>
      </c>
      <c r="Z479">
        <v>12.007852</v>
      </c>
      <c r="AA479">
        <v>12.493774999999999</v>
      </c>
      <c r="AB479">
        <v>11.843448</v>
      </c>
      <c r="AC479">
        <v>9.8605839999999993</v>
      </c>
      <c r="AD479">
        <v>12.69312</v>
      </c>
      <c r="AE479">
        <v>11.89428</v>
      </c>
      <c r="AF479">
        <v>13.001794</v>
      </c>
      <c r="AG479">
        <v>12.17521</v>
      </c>
    </row>
    <row r="480" spans="1:33" x14ac:dyDescent="0.25">
      <c r="A480" s="1">
        <v>44531</v>
      </c>
      <c r="B480">
        <v>12.598584000000001</v>
      </c>
      <c r="C480">
        <v>13.460629000000001</v>
      </c>
      <c r="D480">
        <v>12.526195</v>
      </c>
      <c r="E480">
        <v>12.738988000000001</v>
      </c>
      <c r="F480">
        <v>13.805191000000001</v>
      </c>
      <c r="G480">
        <v>13.926192</v>
      </c>
      <c r="H480">
        <v>15.170302</v>
      </c>
      <c r="I480">
        <v>13.305724</v>
      </c>
      <c r="J480">
        <v>11.859882000000001</v>
      </c>
      <c r="K480">
        <v>13.268948</v>
      </c>
      <c r="L480">
        <v>12.719842</v>
      </c>
      <c r="M480">
        <v>13.75365</v>
      </c>
      <c r="N480">
        <v>12.87382</v>
      </c>
      <c r="O480">
        <v>12.686168</v>
      </c>
      <c r="P480">
        <v>12.819507</v>
      </c>
      <c r="Q480">
        <v>13.603291</v>
      </c>
      <c r="R480">
        <v>12.8221855</v>
      </c>
      <c r="S480">
        <v>9.7496189999999991</v>
      </c>
      <c r="T480">
        <v>11.817615</v>
      </c>
      <c r="U480">
        <v>10.537209000000001</v>
      </c>
      <c r="V480">
        <v>11.490311</v>
      </c>
      <c r="W480">
        <v>10.594003000000001</v>
      </c>
      <c r="X480">
        <v>11.089699</v>
      </c>
      <c r="Y480">
        <v>11.313397</v>
      </c>
      <c r="Z480">
        <v>12.037297000000001</v>
      </c>
      <c r="AA480">
        <v>12.556378</v>
      </c>
      <c r="AB480">
        <v>11.922245999999999</v>
      </c>
      <c r="AC480">
        <v>9.9523060000000001</v>
      </c>
      <c r="AD480">
        <v>12.685814000000001</v>
      </c>
      <c r="AE480">
        <v>12.128747000000001</v>
      </c>
      <c r="AF480">
        <v>12.996650000000001</v>
      </c>
      <c r="AG480">
        <v>12.222173</v>
      </c>
    </row>
    <row r="481" spans="1:33" x14ac:dyDescent="0.25">
      <c r="A481" s="1">
        <v>44532</v>
      </c>
      <c r="B481">
        <v>12.578122</v>
      </c>
      <c r="C481">
        <v>13.496574000000001</v>
      </c>
      <c r="D481">
        <v>12.723380000000001</v>
      </c>
      <c r="E481">
        <v>12.859227000000001</v>
      </c>
      <c r="F481">
        <v>13.892238000000001</v>
      </c>
      <c r="G481">
        <v>14.042021999999999</v>
      </c>
      <c r="H481">
        <v>15.297815999999999</v>
      </c>
      <c r="I481">
        <v>13.385718000000001</v>
      </c>
      <c r="J481">
        <v>12.034957</v>
      </c>
      <c r="K481">
        <v>13.249093</v>
      </c>
      <c r="L481">
        <v>12.720977</v>
      </c>
      <c r="M481">
        <v>13.865322000000001</v>
      </c>
      <c r="N481">
        <v>12.962581999999999</v>
      </c>
      <c r="O481">
        <v>12.699177000000001</v>
      </c>
      <c r="P481">
        <v>12.843373</v>
      </c>
      <c r="Q481">
        <v>13.711808</v>
      </c>
      <c r="R481">
        <v>12.808056000000001</v>
      </c>
      <c r="S481">
        <v>10.214478</v>
      </c>
      <c r="T481">
        <v>11.861485</v>
      </c>
      <c r="U481">
        <v>10.69157</v>
      </c>
      <c r="V481">
        <v>11.550381</v>
      </c>
      <c r="W481">
        <v>10.984451999999999</v>
      </c>
      <c r="X481">
        <v>11.109078</v>
      </c>
      <c r="Y481">
        <v>11.461024</v>
      </c>
      <c r="Z481">
        <v>12.038220000000001</v>
      </c>
      <c r="AA481">
        <v>12.587158000000001</v>
      </c>
      <c r="AB481">
        <v>11.969194999999999</v>
      </c>
      <c r="AC481">
        <v>10.035416</v>
      </c>
      <c r="AD481">
        <v>12.679043999999999</v>
      </c>
      <c r="AE481">
        <v>12.028325000000001</v>
      </c>
      <c r="AF481">
        <v>12.981709499999999</v>
      </c>
      <c r="AG481">
        <v>12.222545</v>
      </c>
    </row>
    <row r="482" spans="1:33" x14ac:dyDescent="0.25">
      <c r="A482" s="1">
        <v>44533</v>
      </c>
      <c r="B482">
        <v>12.588272999999999</v>
      </c>
      <c r="C482">
        <v>13.475974000000001</v>
      </c>
      <c r="D482">
        <v>12.886706999999999</v>
      </c>
      <c r="E482">
        <v>12.944509</v>
      </c>
      <c r="F482">
        <v>13.835391</v>
      </c>
      <c r="G482">
        <v>14.098098</v>
      </c>
      <c r="H482">
        <v>15.409204000000001</v>
      </c>
      <c r="I482">
        <v>13.298427999999999</v>
      </c>
      <c r="J482">
        <v>12.077575</v>
      </c>
      <c r="K482">
        <v>13.172116000000001</v>
      </c>
      <c r="L482">
        <v>12.681187</v>
      </c>
      <c r="M482">
        <v>13.900532</v>
      </c>
      <c r="N482">
        <v>13.021236999999999</v>
      </c>
      <c r="O482">
        <v>12.664123999999999</v>
      </c>
      <c r="P482">
        <v>12.818066999999999</v>
      </c>
      <c r="Q482">
        <v>13.77435</v>
      </c>
      <c r="R482">
        <v>12.740468</v>
      </c>
      <c r="S482">
        <v>10.426399</v>
      </c>
      <c r="T482">
        <v>11.897384000000001</v>
      </c>
      <c r="U482">
        <v>10.818189</v>
      </c>
      <c r="V482">
        <v>11.623813</v>
      </c>
      <c r="W482">
        <v>11.073623</v>
      </c>
      <c r="X482">
        <v>11.206573000000001</v>
      </c>
      <c r="Y482">
        <v>11.566692</v>
      </c>
      <c r="Z482">
        <v>12.006705999999999</v>
      </c>
      <c r="AA482">
        <v>12.588225</v>
      </c>
      <c r="AB482">
        <v>11.956275</v>
      </c>
      <c r="AC482">
        <v>10.222935</v>
      </c>
      <c r="AD482">
        <v>12.660482999999999</v>
      </c>
      <c r="AE482">
        <v>11.800758</v>
      </c>
      <c r="AF482">
        <v>12.988018</v>
      </c>
      <c r="AG482">
        <v>12.24372</v>
      </c>
    </row>
    <row r="483" spans="1:33" x14ac:dyDescent="0.25">
      <c r="A483" s="1">
        <v>44534</v>
      </c>
      <c r="B483">
        <v>12.633547999999999</v>
      </c>
      <c r="C483">
        <v>13.531547</v>
      </c>
      <c r="D483">
        <v>13.000220000000001</v>
      </c>
      <c r="E483">
        <v>12.923594</v>
      </c>
      <c r="F483">
        <v>13.783817000000001</v>
      </c>
      <c r="G483">
        <v>13.976058</v>
      </c>
      <c r="H483">
        <v>15.217682999999999</v>
      </c>
      <c r="I483">
        <v>13.178947000000001</v>
      </c>
      <c r="J483">
        <v>11.875814999999999</v>
      </c>
      <c r="K483">
        <v>13.035721000000001</v>
      </c>
      <c r="L483">
        <v>12.528725</v>
      </c>
      <c r="M483">
        <v>13.803947000000001</v>
      </c>
      <c r="N483">
        <v>12.922513</v>
      </c>
      <c r="O483">
        <v>12.499675999999999</v>
      </c>
      <c r="P483">
        <v>12.700666999999999</v>
      </c>
      <c r="Q483">
        <v>13.670272000000001</v>
      </c>
      <c r="R483">
        <v>12.602071</v>
      </c>
      <c r="S483">
        <v>10.327318999999999</v>
      </c>
      <c r="T483">
        <v>11.793145000000001</v>
      </c>
      <c r="U483">
        <v>10.88205</v>
      </c>
      <c r="V483">
        <v>11.468398000000001</v>
      </c>
      <c r="W483">
        <v>11.042732000000001</v>
      </c>
      <c r="X483">
        <v>11.100064</v>
      </c>
      <c r="Y483">
        <v>11.509778000000001</v>
      </c>
      <c r="Z483">
        <v>11.795719999999999</v>
      </c>
      <c r="AA483">
        <v>12.504642</v>
      </c>
      <c r="AB483">
        <v>11.903549999999999</v>
      </c>
      <c r="AC483">
        <v>10.168195000000001</v>
      </c>
      <c r="AD483">
        <v>12.524087</v>
      </c>
      <c r="AE483">
        <v>11.9762945</v>
      </c>
      <c r="AF483">
        <v>12.900174</v>
      </c>
      <c r="AG483">
        <v>12.169608</v>
      </c>
    </row>
    <row r="484" spans="1:33" x14ac:dyDescent="0.25">
      <c r="A484" s="1">
        <v>44535</v>
      </c>
      <c r="B484">
        <v>12.600788</v>
      </c>
      <c r="C484">
        <v>13.391106000000001</v>
      </c>
      <c r="D484">
        <v>13.030557</v>
      </c>
      <c r="E484">
        <v>12.837907</v>
      </c>
      <c r="F484">
        <v>13.613201</v>
      </c>
      <c r="G484">
        <v>13.775207999999999</v>
      </c>
      <c r="H484">
        <v>14.896469</v>
      </c>
      <c r="I484">
        <v>13.161250000000001</v>
      </c>
      <c r="J484">
        <v>12.000279000000001</v>
      </c>
      <c r="K484">
        <v>12.974693</v>
      </c>
      <c r="L484">
        <v>12.431546000000001</v>
      </c>
      <c r="M484">
        <v>13.632089000000001</v>
      </c>
      <c r="N484">
        <v>12.711779999999999</v>
      </c>
      <c r="O484">
        <v>12.349796</v>
      </c>
      <c r="P484">
        <v>12.646188</v>
      </c>
      <c r="Q484">
        <v>13.4652405</v>
      </c>
      <c r="R484">
        <v>12.487057999999999</v>
      </c>
      <c r="S484">
        <v>10.418060000000001</v>
      </c>
      <c r="T484">
        <v>11.626313</v>
      </c>
      <c r="U484">
        <v>11.017502</v>
      </c>
      <c r="V484">
        <v>11.429634</v>
      </c>
      <c r="W484">
        <v>11.206849</v>
      </c>
      <c r="X484">
        <v>11.206574</v>
      </c>
      <c r="Y484">
        <v>11.297193</v>
      </c>
      <c r="Z484">
        <v>11.656325000000001</v>
      </c>
      <c r="AA484">
        <v>12.479763</v>
      </c>
      <c r="AB484">
        <v>11.742053</v>
      </c>
      <c r="AC484">
        <v>10.095938</v>
      </c>
      <c r="AD484">
        <v>12.428008</v>
      </c>
      <c r="AE484">
        <v>12.276588</v>
      </c>
      <c r="AF484">
        <v>12.795184000000001</v>
      </c>
      <c r="AG484">
        <v>12.151987999999999</v>
      </c>
    </row>
    <row r="485" spans="1:33" x14ac:dyDescent="0.25">
      <c r="A485" s="1">
        <v>44536</v>
      </c>
      <c r="B485">
        <v>12.449665</v>
      </c>
      <c r="C485">
        <v>13.189956</v>
      </c>
      <c r="D485">
        <v>12.930425</v>
      </c>
      <c r="E485">
        <v>12.743903</v>
      </c>
      <c r="F485">
        <v>13.402049999999999</v>
      </c>
      <c r="G485">
        <v>13.638813000000001</v>
      </c>
      <c r="H485">
        <v>14.725205000000001</v>
      </c>
      <c r="I485">
        <v>13.067152999999999</v>
      </c>
      <c r="J485">
        <v>11.918172</v>
      </c>
      <c r="K485">
        <v>12.849555000000001</v>
      </c>
      <c r="L485">
        <v>12.256404</v>
      </c>
      <c r="M485">
        <v>13.489547</v>
      </c>
      <c r="N485">
        <v>12.533592000000001</v>
      </c>
      <c r="O485">
        <v>12.139054</v>
      </c>
      <c r="P485">
        <v>12.527455</v>
      </c>
      <c r="Q485">
        <v>13.307886999999999</v>
      </c>
      <c r="R485">
        <v>12.316563</v>
      </c>
      <c r="S485">
        <v>10.083577</v>
      </c>
      <c r="T485">
        <v>11.479882</v>
      </c>
      <c r="U485">
        <v>10.999359</v>
      </c>
      <c r="V485">
        <v>11.372387</v>
      </c>
      <c r="W485">
        <v>11.421898000000001</v>
      </c>
      <c r="X485">
        <v>11.185406</v>
      </c>
      <c r="Y485">
        <v>11.148403</v>
      </c>
      <c r="Z485">
        <v>11.459212000000001</v>
      </c>
      <c r="AA485">
        <v>12.298005</v>
      </c>
      <c r="AB485">
        <v>11.586586</v>
      </c>
      <c r="AC485">
        <v>9.9002199999999991</v>
      </c>
      <c r="AD485">
        <v>12.258751999999999</v>
      </c>
      <c r="AE485">
        <v>11.807116499999999</v>
      </c>
      <c r="AF485">
        <v>12.580513</v>
      </c>
      <c r="AG485">
        <v>11.910244</v>
      </c>
    </row>
    <row r="486" spans="1:33" x14ac:dyDescent="0.25">
      <c r="A486" s="1">
        <v>44537</v>
      </c>
      <c r="B486">
        <v>12.439355000000001</v>
      </c>
      <c r="C486">
        <v>13.122923999999999</v>
      </c>
      <c r="D486">
        <v>12.781810999999999</v>
      </c>
      <c r="E486">
        <v>12.667695</v>
      </c>
      <c r="F486">
        <v>13.364250999999999</v>
      </c>
      <c r="G486">
        <v>13.534984</v>
      </c>
      <c r="H486">
        <v>14.646359</v>
      </c>
      <c r="I486">
        <v>13.030317999999999</v>
      </c>
      <c r="J486">
        <v>11.990626000000001</v>
      </c>
      <c r="K486">
        <v>12.767701000000001</v>
      </c>
      <c r="L486">
        <v>12.184749999999999</v>
      </c>
      <c r="M486">
        <v>13.414433499999999</v>
      </c>
      <c r="N486">
        <v>12.455189000000001</v>
      </c>
      <c r="O486">
        <v>12.11599</v>
      </c>
      <c r="P486">
        <v>12.445773000000001</v>
      </c>
      <c r="Q486">
        <v>13.204267</v>
      </c>
      <c r="R486">
        <v>12.255511</v>
      </c>
      <c r="S486">
        <v>10.232854</v>
      </c>
      <c r="T486">
        <v>11.436738</v>
      </c>
      <c r="U486">
        <v>11.074187</v>
      </c>
      <c r="V486">
        <v>11.409909000000001</v>
      </c>
      <c r="W486">
        <v>11.3241415</v>
      </c>
      <c r="X486">
        <v>11.227584999999999</v>
      </c>
      <c r="Y486">
        <v>11.266287999999999</v>
      </c>
      <c r="Z486">
        <v>11.390957</v>
      </c>
      <c r="AA486">
        <v>12.222941</v>
      </c>
      <c r="AB486">
        <v>11.591267999999999</v>
      </c>
      <c r="AC486">
        <v>9.9193890000000007</v>
      </c>
      <c r="AD486">
        <v>12.181122</v>
      </c>
      <c r="AE486">
        <v>11.955873</v>
      </c>
      <c r="AF486">
        <v>12.504313</v>
      </c>
      <c r="AG486">
        <v>11.913269</v>
      </c>
    </row>
    <row r="487" spans="1:33" x14ac:dyDescent="0.25">
      <c r="A487" s="1">
        <v>44538</v>
      </c>
      <c r="B487">
        <v>12.151272000000001</v>
      </c>
      <c r="C487">
        <v>12.961213000000001</v>
      </c>
      <c r="D487">
        <v>12.600529999999999</v>
      </c>
      <c r="E487">
        <v>12.470689</v>
      </c>
      <c r="F487">
        <v>13.230839</v>
      </c>
      <c r="G487">
        <v>13.414308</v>
      </c>
      <c r="H487">
        <v>14.630549</v>
      </c>
      <c r="I487">
        <v>12.848922999999999</v>
      </c>
      <c r="J487">
        <v>11.811226</v>
      </c>
      <c r="K487">
        <v>12.627371999999999</v>
      </c>
      <c r="L487">
        <v>12.060878000000001</v>
      </c>
      <c r="M487">
        <v>13.292315500000001</v>
      </c>
      <c r="N487">
        <v>12.329006</v>
      </c>
      <c r="O487">
        <v>12.001961</v>
      </c>
      <c r="P487">
        <v>12.296433</v>
      </c>
      <c r="Q487">
        <v>13.079040000000001</v>
      </c>
      <c r="R487">
        <v>12.129341999999999</v>
      </c>
      <c r="S487">
        <v>10.083812</v>
      </c>
      <c r="T487">
        <v>11.333491</v>
      </c>
      <c r="U487">
        <v>11.041468999999999</v>
      </c>
      <c r="V487">
        <v>11.317448000000001</v>
      </c>
      <c r="W487">
        <v>11.159654</v>
      </c>
      <c r="X487">
        <v>11.165416</v>
      </c>
      <c r="Y487">
        <v>11.184303999999999</v>
      </c>
      <c r="Z487">
        <v>11.256569000000001</v>
      </c>
      <c r="AA487">
        <v>12.096265000000001</v>
      </c>
      <c r="AB487">
        <v>11.500946000000001</v>
      </c>
      <c r="AC487">
        <v>9.8332379999999997</v>
      </c>
      <c r="AD487">
        <v>12.057607000000001</v>
      </c>
      <c r="AE487">
        <v>11.733601</v>
      </c>
      <c r="AF487">
        <v>12.351554</v>
      </c>
      <c r="AG487">
        <v>11.778988999999999</v>
      </c>
    </row>
    <row r="488" spans="1:33" x14ac:dyDescent="0.25">
      <c r="A488" s="1">
        <v>44539</v>
      </c>
      <c r="B488">
        <v>11.96283</v>
      </c>
      <c r="C488">
        <v>12.834913999999999</v>
      </c>
      <c r="D488">
        <v>12.427707</v>
      </c>
      <c r="E488">
        <v>12.262119</v>
      </c>
      <c r="F488">
        <v>13.000859</v>
      </c>
      <c r="G488">
        <v>13.225834000000001</v>
      </c>
      <c r="H488">
        <v>14.355755</v>
      </c>
      <c r="I488">
        <v>12.459910000000001</v>
      </c>
      <c r="J488">
        <v>11.621688000000001</v>
      </c>
      <c r="K488">
        <v>12.511813999999999</v>
      </c>
      <c r="L488">
        <v>12.005371999999999</v>
      </c>
      <c r="M488">
        <v>13.064021</v>
      </c>
      <c r="N488">
        <v>12.140592</v>
      </c>
      <c r="O488">
        <v>11.963474</v>
      </c>
      <c r="P488">
        <v>12.153428</v>
      </c>
      <c r="Q488">
        <v>12.915118</v>
      </c>
      <c r="R488">
        <v>12.076165</v>
      </c>
      <c r="S488">
        <v>10.068553</v>
      </c>
      <c r="T488">
        <v>11.281903</v>
      </c>
      <c r="U488">
        <v>11.026279000000001</v>
      </c>
      <c r="V488">
        <v>11.294371999999999</v>
      </c>
      <c r="W488">
        <v>11.028427000000001</v>
      </c>
      <c r="X488">
        <v>11.274563000000001</v>
      </c>
      <c r="Y488">
        <v>11.171132</v>
      </c>
      <c r="Z488">
        <v>11.155946</v>
      </c>
      <c r="AA488">
        <v>12.024229999999999</v>
      </c>
      <c r="AB488">
        <v>11.478016999999999</v>
      </c>
      <c r="AC488">
        <v>9.9215879999999999</v>
      </c>
      <c r="AD488">
        <v>11.985467</v>
      </c>
      <c r="AE488">
        <v>12.02608</v>
      </c>
      <c r="AF488">
        <v>12.258452999999999</v>
      </c>
      <c r="AG488">
        <v>11.737344</v>
      </c>
    </row>
    <row r="489" spans="1:33" x14ac:dyDescent="0.25">
      <c r="A489" s="1">
        <v>44540</v>
      </c>
      <c r="B489">
        <v>11.357384</v>
      </c>
      <c r="C489">
        <v>12.454677</v>
      </c>
      <c r="D489">
        <v>12.032762</v>
      </c>
      <c r="E489">
        <v>11.748073</v>
      </c>
      <c r="F489">
        <v>12.511479</v>
      </c>
      <c r="G489">
        <v>12.763831</v>
      </c>
      <c r="H489">
        <v>13.668704</v>
      </c>
      <c r="I489">
        <v>11.720342</v>
      </c>
      <c r="J489">
        <v>10.816243</v>
      </c>
      <c r="K489">
        <v>12.210034</v>
      </c>
      <c r="L489">
        <v>11.544102000000001</v>
      </c>
      <c r="M489">
        <v>12.601077999999999</v>
      </c>
      <c r="N489">
        <v>11.658894999999999</v>
      </c>
      <c r="O489">
        <v>11.5198965</v>
      </c>
      <c r="P489">
        <v>11.830005</v>
      </c>
      <c r="Q489">
        <v>12.456763</v>
      </c>
      <c r="R489">
        <v>11.678466999999999</v>
      </c>
      <c r="S489">
        <v>8.9530139999999996</v>
      </c>
      <c r="T489">
        <v>10.923033999999999</v>
      </c>
      <c r="U489">
        <v>10.665141</v>
      </c>
      <c r="V489">
        <v>10.888951</v>
      </c>
      <c r="W489">
        <v>10.710725</v>
      </c>
      <c r="X489">
        <v>10.8162775</v>
      </c>
      <c r="Y489">
        <v>10.491982</v>
      </c>
      <c r="Z489">
        <v>10.684113</v>
      </c>
      <c r="AA489">
        <v>11.570423999999999</v>
      </c>
      <c r="AB489">
        <v>10.877743000000001</v>
      </c>
      <c r="AC489">
        <v>9.4869959999999995</v>
      </c>
      <c r="AD489">
        <v>11.634411999999999</v>
      </c>
      <c r="AE489">
        <v>11.240686999999999</v>
      </c>
      <c r="AF489">
        <v>11.868214999999999</v>
      </c>
      <c r="AG489">
        <v>10.956898000000001</v>
      </c>
    </row>
    <row r="490" spans="1:33" x14ac:dyDescent="0.25">
      <c r="A490" s="1">
        <v>44541</v>
      </c>
      <c r="B490">
        <v>11.0169935</v>
      </c>
      <c r="C490">
        <v>12.011672000000001</v>
      </c>
      <c r="D490">
        <v>11.629033</v>
      </c>
      <c r="E490">
        <v>11.399682</v>
      </c>
      <c r="F490">
        <v>12.235817000000001</v>
      </c>
      <c r="G490">
        <v>12.470981</v>
      </c>
      <c r="H490">
        <v>13.381034</v>
      </c>
      <c r="I490">
        <v>11.372764999999999</v>
      </c>
      <c r="J490">
        <v>10.135766</v>
      </c>
      <c r="K490">
        <v>11.915813</v>
      </c>
      <c r="L490">
        <v>11.135730000000001</v>
      </c>
      <c r="M490">
        <v>12.318130999999999</v>
      </c>
      <c r="N490">
        <v>11.342091</v>
      </c>
      <c r="O490">
        <v>11.164842</v>
      </c>
      <c r="P490">
        <v>11.505654</v>
      </c>
      <c r="Q490">
        <v>12.162762000000001</v>
      </c>
      <c r="R490">
        <v>11.350875</v>
      </c>
      <c r="S490">
        <v>7.8446899999999999</v>
      </c>
      <c r="T490">
        <v>10.530181000000001</v>
      </c>
      <c r="U490">
        <v>10.304323</v>
      </c>
      <c r="V490">
        <v>10.516923999999999</v>
      </c>
      <c r="W490">
        <v>10.308323</v>
      </c>
      <c r="X490">
        <v>10.419107</v>
      </c>
      <c r="Y490">
        <v>9.8918289999999995</v>
      </c>
      <c r="Z490">
        <v>10.212904999999999</v>
      </c>
      <c r="AA490">
        <v>11.116688999999999</v>
      </c>
      <c r="AB490">
        <v>10.329323</v>
      </c>
      <c r="AC490">
        <v>8.9391839999999991</v>
      </c>
      <c r="AD490">
        <v>11.262725</v>
      </c>
      <c r="AE490">
        <v>10.218718000000001</v>
      </c>
      <c r="AF490">
        <v>11.496955</v>
      </c>
      <c r="AG490">
        <v>10.350485000000001</v>
      </c>
    </row>
    <row r="491" spans="1:33" x14ac:dyDescent="0.25">
      <c r="A491" s="1">
        <v>44542</v>
      </c>
      <c r="B491">
        <v>10.991766999999999</v>
      </c>
      <c r="C491">
        <v>11.789659</v>
      </c>
      <c r="D491">
        <v>11.409350999999999</v>
      </c>
      <c r="E491">
        <v>11.362605</v>
      </c>
      <c r="F491">
        <v>12.127452</v>
      </c>
      <c r="G491">
        <v>12.405220999999999</v>
      </c>
      <c r="H491">
        <v>13.413753</v>
      </c>
      <c r="I491">
        <v>11.408238000000001</v>
      </c>
      <c r="J491">
        <v>9.9144260000000006</v>
      </c>
      <c r="K491">
        <v>11.663688</v>
      </c>
      <c r="L491">
        <v>10.924775</v>
      </c>
      <c r="M491">
        <v>12.248405</v>
      </c>
      <c r="N491">
        <v>11.294567000000001</v>
      </c>
      <c r="O491">
        <v>11.007724</v>
      </c>
      <c r="P491">
        <v>11.257279</v>
      </c>
      <c r="Q491">
        <v>12.091801999999999</v>
      </c>
      <c r="R491">
        <v>11.160474000000001</v>
      </c>
      <c r="S491">
        <v>7.7224060000000003</v>
      </c>
      <c r="T491">
        <v>10.326307</v>
      </c>
      <c r="U491">
        <v>10.013956</v>
      </c>
      <c r="V491">
        <v>10.335864000000001</v>
      </c>
      <c r="W491">
        <v>10.162898</v>
      </c>
      <c r="X491">
        <v>10.245471</v>
      </c>
      <c r="Y491">
        <v>9.7326119999999996</v>
      </c>
      <c r="Z491">
        <v>9.9357439999999997</v>
      </c>
      <c r="AA491">
        <v>10.801978</v>
      </c>
      <c r="AB491">
        <v>10.112935</v>
      </c>
      <c r="AC491">
        <v>8.5676349999999992</v>
      </c>
      <c r="AD491">
        <v>11.029393000000001</v>
      </c>
      <c r="AE491">
        <v>9.8633930000000003</v>
      </c>
      <c r="AF491">
        <v>11.240155</v>
      </c>
      <c r="AG491">
        <v>9.9960260000000005</v>
      </c>
    </row>
    <row r="492" spans="1:33" x14ac:dyDescent="0.25">
      <c r="A492" s="1">
        <v>44543</v>
      </c>
      <c r="B492">
        <v>10.670411</v>
      </c>
      <c r="C492">
        <v>11.812547</v>
      </c>
      <c r="D492">
        <v>11.323522000000001</v>
      </c>
      <c r="E492">
        <v>11.385638</v>
      </c>
      <c r="F492">
        <v>12.188548000000001</v>
      </c>
      <c r="G492">
        <v>12.337952</v>
      </c>
      <c r="H492">
        <v>13.300934</v>
      </c>
      <c r="I492">
        <v>11.658586</v>
      </c>
      <c r="J492">
        <v>9.9961839999999995</v>
      </c>
      <c r="K492">
        <v>11.368653</v>
      </c>
      <c r="L492">
        <v>10.777335000000001</v>
      </c>
      <c r="M492">
        <v>12.190223</v>
      </c>
      <c r="N492">
        <v>11.245804</v>
      </c>
      <c r="O492">
        <v>10.822063</v>
      </c>
      <c r="P492">
        <v>11.094154</v>
      </c>
      <c r="Q492">
        <v>12.002808999999999</v>
      </c>
      <c r="R492">
        <v>10.986863</v>
      </c>
      <c r="S492">
        <v>8.4462919999999997</v>
      </c>
      <c r="T492">
        <v>10.231759</v>
      </c>
      <c r="U492">
        <v>9.7935339999999993</v>
      </c>
      <c r="V492">
        <v>10.246484000000001</v>
      </c>
      <c r="W492">
        <v>9.7916629999999998</v>
      </c>
      <c r="X492">
        <v>10.142336</v>
      </c>
      <c r="Y492">
        <v>9.6692140000000002</v>
      </c>
      <c r="Z492">
        <v>9.8043490000000002</v>
      </c>
      <c r="AA492">
        <v>10.613549000000001</v>
      </c>
      <c r="AB492">
        <v>10.071070000000001</v>
      </c>
      <c r="AC492">
        <v>8.5977270000000008</v>
      </c>
      <c r="AD492">
        <v>10.855465000000001</v>
      </c>
      <c r="AE492">
        <v>10.023588999999999</v>
      </c>
      <c r="AF492">
        <v>11.013313</v>
      </c>
      <c r="AG492">
        <v>9.8067670000000007</v>
      </c>
    </row>
    <row r="493" spans="1:33" x14ac:dyDescent="0.25">
      <c r="A493" s="1">
        <v>44544</v>
      </c>
      <c r="B493">
        <v>9.9997500000000006</v>
      </c>
      <c r="C493">
        <v>11.654163</v>
      </c>
      <c r="D493">
        <v>11.169192000000001</v>
      </c>
      <c r="E493">
        <v>11.024773</v>
      </c>
      <c r="F493">
        <v>11.789149999999999</v>
      </c>
      <c r="G493">
        <v>12.018192000000001</v>
      </c>
      <c r="H493">
        <v>12.732708000000001</v>
      </c>
      <c r="I493">
        <v>11.103206999999999</v>
      </c>
      <c r="J493">
        <v>9.8777120000000007</v>
      </c>
      <c r="K493">
        <v>11.208327000000001</v>
      </c>
      <c r="L493">
        <v>10.586537999999999</v>
      </c>
      <c r="M493">
        <v>11.794022999999999</v>
      </c>
      <c r="N493">
        <v>10.777972999999999</v>
      </c>
      <c r="O493">
        <v>10.486089</v>
      </c>
      <c r="P493">
        <v>10.939145</v>
      </c>
      <c r="Q493">
        <v>11.663978999999999</v>
      </c>
      <c r="R493">
        <v>10.754409000000001</v>
      </c>
      <c r="S493">
        <v>8.9539410000000004</v>
      </c>
      <c r="T493">
        <v>9.9700509999999998</v>
      </c>
      <c r="U493">
        <v>9.7271940000000008</v>
      </c>
      <c r="V493">
        <v>9.9768740000000005</v>
      </c>
      <c r="W493">
        <v>9.277825</v>
      </c>
      <c r="X493">
        <v>9.9482549999999996</v>
      </c>
      <c r="Y493">
        <v>9.3823240000000006</v>
      </c>
      <c r="Z493">
        <v>9.8183469999999993</v>
      </c>
      <c r="AA493">
        <v>10.513932</v>
      </c>
      <c r="AB493">
        <v>9.8810660000000006</v>
      </c>
      <c r="AC493">
        <v>8.6354279999999992</v>
      </c>
      <c r="AD493">
        <v>10.664857</v>
      </c>
      <c r="AE493">
        <v>10.107486</v>
      </c>
      <c r="AF493">
        <v>10.858574000000001</v>
      </c>
      <c r="AG493">
        <v>10.059153</v>
      </c>
    </row>
    <row r="494" spans="1:33" x14ac:dyDescent="0.25">
      <c r="A494" s="1">
        <v>44545</v>
      </c>
      <c r="B494">
        <v>8.9192210000000003</v>
      </c>
      <c r="C494">
        <v>11.057607000000001</v>
      </c>
      <c r="D494">
        <v>10.835762000000001</v>
      </c>
      <c r="E494">
        <v>10.56622</v>
      </c>
      <c r="F494">
        <v>11.21955</v>
      </c>
      <c r="G494">
        <v>11.505568500000001</v>
      </c>
      <c r="H494">
        <v>12.091343999999999</v>
      </c>
      <c r="I494">
        <v>10.352239000000001</v>
      </c>
      <c r="J494">
        <v>9.1988409999999998</v>
      </c>
      <c r="K494">
        <v>10.898623000000001</v>
      </c>
      <c r="L494">
        <v>10.122077000000001</v>
      </c>
      <c r="M494">
        <v>11.333000999999999</v>
      </c>
      <c r="N494">
        <v>10.221536</v>
      </c>
      <c r="O494">
        <v>9.9870040000000007</v>
      </c>
      <c r="P494">
        <v>10.634694</v>
      </c>
      <c r="Q494">
        <v>11.153539</v>
      </c>
      <c r="R494">
        <v>10.250563</v>
      </c>
      <c r="S494">
        <v>8.4873809999999992</v>
      </c>
      <c r="T494">
        <v>9.5141115000000003</v>
      </c>
      <c r="U494">
        <v>9.400404</v>
      </c>
      <c r="V494">
        <v>9.1429270000000002</v>
      </c>
      <c r="W494">
        <v>9.4738950000000006</v>
      </c>
      <c r="X494">
        <v>9.1338279999999994</v>
      </c>
      <c r="Y494">
        <v>8.7561900000000001</v>
      </c>
      <c r="Z494">
        <v>9.5486009999999997</v>
      </c>
      <c r="AA494">
        <v>10.155431</v>
      </c>
      <c r="AB494">
        <v>9.5419730000000005</v>
      </c>
      <c r="AC494">
        <v>7.9454235999999998</v>
      </c>
      <c r="AD494">
        <v>10.283927</v>
      </c>
      <c r="AE494">
        <v>9.515549</v>
      </c>
      <c r="AF494">
        <v>10.525186</v>
      </c>
      <c r="AG494">
        <v>9.6149199999999997</v>
      </c>
    </row>
    <row r="495" spans="1:33" x14ac:dyDescent="0.25">
      <c r="A495" s="1">
        <v>44546</v>
      </c>
      <c r="B495">
        <v>8.8432665000000004</v>
      </c>
      <c r="C495">
        <v>10.893356000000001</v>
      </c>
      <c r="D495">
        <v>10.71359</v>
      </c>
      <c r="E495">
        <v>10.398603</v>
      </c>
      <c r="F495">
        <v>11.205588000000001</v>
      </c>
      <c r="G495">
        <v>11.143917999999999</v>
      </c>
      <c r="H495">
        <v>11.880872</v>
      </c>
      <c r="I495">
        <v>10.429558999999999</v>
      </c>
      <c r="J495">
        <v>9.3050759999999997</v>
      </c>
      <c r="K495">
        <v>10.722835999999999</v>
      </c>
      <c r="L495">
        <v>10.014621</v>
      </c>
      <c r="M495">
        <v>11.029954</v>
      </c>
      <c r="N495">
        <v>9.9057045000000006</v>
      </c>
      <c r="O495">
        <v>9.7836630000000007</v>
      </c>
      <c r="P495">
        <v>10.406402</v>
      </c>
      <c r="Q495">
        <v>10.741391</v>
      </c>
      <c r="R495">
        <v>10.109367000000001</v>
      </c>
      <c r="S495">
        <v>8.6993399999999994</v>
      </c>
      <c r="T495">
        <v>9.2555599999999991</v>
      </c>
      <c r="U495">
        <v>9.1987839999999998</v>
      </c>
      <c r="V495">
        <v>9.3673649999999995</v>
      </c>
      <c r="W495">
        <v>9.6113149999999994</v>
      </c>
      <c r="X495">
        <v>9.3869209999999992</v>
      </c>
      <c r="Y495">
        <v>9.0568290000000005</v>
      </c>
      <c r="Z495">
        <v>9.4690180000000002</v>
      </c>
      <c r="AA495">
        <v>10.005186999999999</v>
      </c>
      <c r="AB495">
        <v>9.6232849999999992</v>
      </c>
      <c r="AC495">
        <v>7.9173340000000003</v>
      </c>
      <c r="AD495">
        <v>10.0383835</v>
      </c>
      <c r="AE495">
        <v>9.3805139999999998</v>
      </c>
      <c r="AF495">
        <v>10.259276</v>
      </c>
      <c r="AG495">
        <v>9.7010579999999997</v>
      </c>
    </row>
    <row r="496" spans="1:33" x14ac:dyDescent="0.25">
      <c r="A496" s="1">
        <v>44547</v>
      </c>
      <c r="B496">
        <v>8.2598915000000002</v>
      </c>
      <c r="C496">
        <v>10.324951</v>
      </c>
      <c r="D496">
        <v>10.51906</v>
      </c>
      <c r="E496">
        <v>10.121387</v>
      </c>
      <c r="F496">
        <v>10.596824</v>
      </c>
      <c r="G496">
        <v>10.67615</v>
      </c>
      <c r="H496">
        <v>11.461950999999999</v>
      </c>
      <c r="I496">
        <v>10.128886</v>
      </c>
      <c r="J496">
        <v>9.0737850000000009</v>
      </c>
      <c r="K496">
        <v>10.599109</v>
      </c>
      <c r="L496">
        <v>9.7771810000000006</v>
      </c>
      <c r="M496">
        <v>10.550101</v>
      </c>
      <c r="N496">
        <v>9.4553419999999999</v>
      </c>
      <c r="O496">
        <v>9.6286450000000006</v>
      </c>
      <c r="P496">
        <v>10.183646</v>
      </c>
      <c r="Q496">
        <v>10.237045</v>
      </c>
      <c r="R496">
        <v>9.8384280000000004</v>
      </c>
      <c r="S496">
        <v>8.252618</v>
      </c>
      <c r="T496">
        <v>9.1279669999999999</v>
      </c>
      <c r="U496">
        <v>9.0099590000000003</v>
      </c>
      <c r="V496">
        <v>9.5766860000000005</v>
      </c>
      <c r="W496">
        <v>9.2928719999999991</v>
      </c>
      <c r="X496">
        <v>9.5927129999999998</v>
      </c>
      <c r="Y496">
        <v>8.6201810000000005</v>
      </c>
      <c r="Z496">
        <v>9.4757049999999996</v>
      </c>
      <c r="AA496">
        <v>9.8581939999999992</v>
      </c>
      <c r="AB496">
        <v>9.4082364999999992</v>
      </c>
      <c r="AC496">
        <v>7.8765463999999996</v>
      </c>
      <c r="AD496">
        <v>9.8186210000000003</v>
      </c>
      <c r="AE496">
        <v>9.208278</v>
      </c>
      <c r="AF496">
        <v>10.063744</v>
      </c>
      <c r="AG496">
        <v>9.6355799999999991</v>
      </c>
    </row>
    <row r="497" spans="1:33" x14ac:dyDescent="0.25">
      <c r="A497" s="1">
        <v>44548</v>
      </c>
      <c r="B497">
        <v>8.7227569999999996</v>
      </c>
      <c r="C497">
        <v>9.7944960000000005</v>
      </c>
      <c r="D497">
        <v>10.198695000000001</v>
      </c>
      <c r="E497">
        <v>9.8721695</v>
      </c>
      <c r="F497">
        <v>10.0909</v>
      </c>
      <c r="G497">
        <v>10.259598</v>
      </c>
      <c r="H497">
        <v>11.117227</v>
      </c>
      <c r="I497">
        <v>9.7373740000000009</v>
      </c>
      <c r="J497">
        <v>8.7569900000000001</v>
      </c>
      <c r="K497">
        <v>10.361879999999999</v>
      </c>
      <c r="L497">
        <v>9.5957860000000004</v>
      </c>
      <c r="M497">
        <v>10.154525</v>
      </c>
      <c r="N497">
        <v>9.3014749999999999</v>
      </c>
      <c r="O497">
        <v>9.5064124999999997</v>
      </c>
      <c r="P497">
        <v>9.8829969999999996</v>
      </c>
      <c r="Q497">
        <v>9.8829460000000005</v>
      </c>
      <c r="R497">
        <v>9.6738309999999998</v>
      </c>
      <c r="S497">
        <v>7.6890200000000002</v>
      </c>
      <c r="T497">
        <v>8.8908269999999998</v>
      </c>
      <c r="U497">
        <v>8.8114509999999999</v>
      </c>
      <c r="V497">
        <v>8.9159389999999998</v>
      </c>
      <c r="W497">
        <v>8.5734689999999993</v>
      </c>
      <c r="X497">
        <v>8.9074179999999998</v>
      </c>
      <c r="Y497">
        <v>8.2379200000000008</v>
      </c>
      <c r="Z497">
        <v>9.2631689999999995</v>
      </c>
      <c r="AA497">
        <v>9.6466840000000005</v>
      </c>
      <c r="AB497">
        <v>9.1519010000000005</v>
      </c>
      <c r="AC497">
        <v>7.6317114999999998</v>
      </c>
      <c r="AD497">
        <v>9.6124880000000008</v>
      </c>
      <c r="AE497">
        <v>8.6834589999999992</v>
      </c>
      <c r="AF497">
        <v>9.8594980000000003</v>
      </c>
      <c r="AG497">
        <v>9.3699359999999992</v>
      </c>
    </row>
    <row r="498" spans="1:33" x14ac:dyDescent="0.25">
      <c r="A498" s="1">
        <v>44549</v>
      </c>
      <c r="B498">
        <v>9.2087459999999997</v>
      </c>
      <c r="C498">
        <v>9.6283689999999993</v>
      </c>
      <c r="D498">
        <v>9.9207540000000005</v>
      </c>
      <c r="E498">
        <v>9.8159829999999992</v>
      </c>
      <c r="F498">
        <v>9.9436250000000008</v>
      </c>
      <c r="G498">
        <v>10.046624</v>
      </c>
      <c r="H498">
        <v>10.993499999999999</v>
      </c>
      <c r="I498">
        <v>9.5873480000000004</v>
      </c>
      <c r="J498">
        <v>8.9188130000000001</v>
      </c>
      <c r="K498">
        <v>10.181274999999999</v>
      </c>
      <c r="L498">
        <v>9.5315600000000007</v>
      </c>
      <c r="M498">
        <v>9.9629755000000007</v>
      </c>
      <c r="N498">
        <v>9.1950199999999995</v>
      </c>
      <c r="O498">
        <v>9.4383510000000008</v>
      </c>
      <c r="P498">
        <v>9.6772829999999992</v>
      </c>
      <c r="Q498">
        <v>9.7061410000000006</v>
      </c>
      <c r="R498">
        <v>9.6095699999999997</v>
      </c>
      <c r="S498">
        <v>7.5500826999999999</v>
      </c>
      <c r="T498">
        <v>8.6559500000000007</v>
      </c>
      <c r="U498">
        <v>8.7551620000000003</v>
      </c>
      <c r="V498">
        <v>8.4330920000000003</v>
      </c>
      <c r="W498">
        <v>8.3282749999999997</v>
      </c>
      <c r="X498">
        <v>8.4177265000000006</v>
      </c>
      <c r="Y498">
        <v>8.0597209999999997</v>
      </c>
      <c r="Z498">
        <v>9.119624</v>
      </c>
      <c r="AA498">
        <v>9.5300410000000007</v>
      </c>
      <c r="AB498">
        <v>9.0332430000000006</v>
      </c>
      <c r="AC498">
        <v>7.6125755000000002</v>
      </c>
      <c r="AD498">
        <v>9.5097459999999998</v>
      </c>
      <c r="AE498">
        <v>8.4251839999999998</v>
      </c>
      <c r="AF498">
        <v>9.7307109999999994</v>
      </c>
      <c r="AG498">
        <v>9.2698450000000001</v>
      </c>
    </row>
    <row r="499" spans="1:33" x14ac:dyDescent="0.25">
      <c r="A499" s="1">
        <v>44550</v>
      </c>
      <c r="B499">
        <v>9.4324169999999992</v>
      </c>
      <c r="C499">
        <v>9.4499759999999995</v>
      </c>
      <c r="D499">
        <v>9.6928439999999991</v>
      </c>
      <c r="E499">
        <v>9.7372700000000005</v>
      </c>
      <c r="F499">
        <v>9.7452909999999999</v>
      </c>
      <c r="G499">
        <v>9.8651719999999994</v>
      </c>
      <c r="H499">
        <v>10.837218999999999</v>
      </c>
      <c r="I499">
        <v>9.4707109999999997</v>
      </c>
      <c r="J499">
        <v>8.7098759999999995</v>
      </c>
      <c r="K499">
        <v>10.021254000000001</v>
      </c>
      <c r="L499">
        <v>9.3825880000000002</v>
      </c>
      <c r="M499">
        <v>9.784815</v>
      </c>
      <c r="N499">
        <v>8.9404120000000002</v>
      </c>
      <c r="O499">
        <v>9.2239400000000007</v>
      </c>
      <c r="P499">
        <v>9.4536110000000004</v>
      </c>
      <c r="Q499">
        <v>9.5196389999999997</v>
      </c>
      <c r="R499">
        <v>9.4454279999999997</v>
      </c>
      <c r="S499">
        <v>7.3329864000000002</v>
      </c>
      <c r="T499">
        <v>8.4049329999999998</v>
      </c>
      <c r="U499">
        <v>8.6627620000000007</v>
      </c>
      <c r="V499">
        <v>8.2700870000000002</v>
      </c>
      <c r="W499">
        <v>8.1351879999999994</v>
      </c>
      <c r="X499">
        <v>8.2764869999999995</v>
      </c>
      <c r="Y499">
        <v>8.3317270000000008</v>
      </c>
      <c r="Z499">
        <v>8.9820779999999996</v>
      </c>
      <c r="AA499">
        <v>9.3105239999999991</v>
      </c>
      <c r="AB499">
        <v>8.6928570000000001</v>
      </c>
      <c r="AC499">
        <v>7.4043330000000003</v>
      </c>
      <c r="AD499">
        <v>9.3410399999999996</v>
      </c>
      <c r="AE499">
        <v>8.5135290000000001</v>
      </c>
      <c r="AF499">
        <v>9.5633499999999998</v>
      </c>
      <c r="AG499">
        <v>9.0533040000000007</v>
      </c>
    </row>
    <row r="500" spans="1:33" x14ac:dyDescent="0.25">
      <c r="A500" s="1">
        <v>44551</v>
      </c>
      <c r="B500">
        <v>9.2391959999999997</v>
      </c>
      <c r="C500">
        <v>9.3451199999999996</v>
      </c>
      <c r="D500">
        <v>9.4315750000000005</v>
      </c>
      <c r="E500">
        <v>9.5029900000000005</v>
      </c>
      <c r="F500">
        <v>9.5146750000000004</v>
      </c>
      <c r="G500">
        <v>9.6217179999999995</v>
      </c>
      <c r="H500">
        <v>10.591469999999999</v>
      </c>
      <c r="I500">
        <v>9.2463479999999993</v>
      </c>
      <c r="J500">
        <v>8.6038219999999992</v>
      </c>
      <c r="K500">
        <v>9.8535679999999992</v>
      </c>
      <c r="L500">
        <v>9.2310449999999999</v>
      </c>
      <c r="M500">
        <v>9.5563129999999994</v>
      </c>
      <c r="N500">
        <v>8.7325660000000003</v>
      </c>
      <c r="O500">
        <v>9.0153680000000005</v>
      </c>
      <c r="P500">
        <v>9.3236799999999995</v>
      </c>
      <c r="Q500">
        <v>9.2784940000000002</v>
      </c>
      <c r="R500">
        <v>9.2558150000000001</v>
      </c>
      <c r="S500">
        <v>7.3038689999999997</v>
      </c>
      <c r="T500">
        <v>8.2319960000000005</v>
      </c>
      <c r="U500">
        <v>8.6781310000000005</v>
      </c>
      <c r="V500">
        <v>8.0938009999999991</v>
      </c>
      <c r="W500">
        <v>8.2730665000000005</v>
      </c>
      <c r="X500">
        <v>8.0957419999999995</v>
      </c>
      <c r="Y500">
        <v>8.2483280000000008</v>
      </c>
      <c r="Z500">
        <v>8.8590140000000002</v>
      </c>
      <c r="AA500">
        <v>9.2031580000000002</v>
      </c>
      <c r="AB500">
        <v>8.5876319999999993</v>
      </c>
      <c r="AC500">
        <v>7.0059433000000002</v>
      </c>
      <c r="AD500">
        <v>9.2025020000000008</v>
      </c>
      <c r="AE500">
        <v>8.6619869999999999</v>
      </c>
      <c r="AF500">
        <v>9.4240689999999994</v>
      </c>
      <c r="AG500">
        <v>8.9424050000000008</v>
      </c>
    </row>
    <row r="501" spans="1:33" x14ac:dyDescent="0.25">
      <c r="A501" s="1">
        <v>44552</v>
      </c>
      <c r="B501">
        <v>9.0204149999999998</v>
      </c>
      <c r="C501">
        <v>9.0907470000000004</v>
      </c>
      <c r="D501">
        <v>9.2893629999999998</v>
      </c>
      <c r="E501">
        <v>9.3281510000000001</v>
      </c>
      <c r="F501">
        <v>9.4267679999999991</v>
      </c>
      <c r="G501">
        <v>9.5071549999999991</v>
      </c>
      <c r="H501">
        <v>10.773425</v>
      </c>
      <c r="I501">
        <v>9.1407790000000002</v>
      </c>
      <c r="J501">
        <v>8.6368639999999992</v>
      </c>
      <c r="K501">
        <v>9.7069860000000006</v>
      </c>
      <c r="L501">
        <v>9.1209760000000006</v>
      </c>
      <c r="M501">
        <v>9.442755</v>
      </c>
      <c r="N501">
        <v>8.6511490000000002</v>
      </c>
      <c r="O501">
        <v>8.9204035000000008</v>
      </c>
      <c r="P501">
        <v>9.1884390000000007</v>
      </c>
      <c r="Q501">
        <v>9.173152</v>
      </c>
      <c r="R501">
        <v>9.1473370000000003</v>
      </c>
      <c r="S501">
        <v>7.4378510000000002</v>
      </c>
      <c r="T501">
        <v>8.1875599999999995</v>
      </c>
      <c r="U501">
        <v>8.7687539999999995</v>
      </c>
      <c r="V501">
        <v>8.2708309999999994</v>
      </c>
      <c r="W501">
        <v>8.0777599999999996</v>
      </c>
      <c r="X501">
        <v>8.2779664999999998</v>
      </c>
      <c r="Y501">
        <v>8.1590520000000009</v>
      </c>
      <c r="Z501">
        <v>8.7526860000000006</v>
      </c>
      <c r="AA501">
        <v>9.1161999999999992</v>
      </c>
      <c r="AB501">
        <v>8.5111179999999997</v>
      </c>
      <c r="AC501">
        <v>6.8701350000000003</v>
      </c>
      <c r="AD501">
        <v>9.1022239999999996</v>
      </c>
      <c r="AE501">
        <v>9.0423609999999996</v>
      </c>
      <c r="AF501">
        <v>9.2936209999999999</v>
      </c>
      <c r="AG501">
        <v>8.8924660000000006</v>
      </c>
    </row>
    <row r="502" spans="1:33" x14ac:dyDescent="0.25">
      <c r="A502" s="1">
        <v>44553</v>
      </c>
      <c r="B502">
        <v>9.1639689999999998</v>
      </c>
      <c r="C502">
        <v>9.2006650000000008</v>
      </c>
      <c r="D502">
        <v>9.3994979999999995</v>
      </c>
      <c r="E502">
        <v>9.48597</v>
      </c>
      <c r="F502">
        <v>9.691573</v>
      </c>
      <c r="G502">
        <v>9.6128850000000003</v>
      </c>
      <c r="H502">
        <v>11.154385</v>
      </c>
      <c r="I502">
        <v>9.6045789999999993</v>
      </c>
      <c r="J502">
        <v>8.9196480000000005</v>
      </c>
      <c r="K502">
        <v>9.6762589999999999</v>
      </c>
      <c r="L502">
        <v>9.1981535000000001</v>
      </c>
      <c r="M502">
        <v>9.5383200000000006</v>
      </c>
      <c r="N502">
        <v>8.7021669999999993</v>
      </c>
      <c r="O502">
        <v>9.0598299999999998</v>
      </c>
      <c r="P502">
        <v>9.145391</v>
      </c>
      <c r="Q502">
        <v>9.2437140000000007</v>
      </c>
      <c r="R502">
        <v>9.2224280000000007</v>
      </c>
      <c r="S502">
        <v>7.9677749999999996</v>
      </c>
      <c r="T502">
        <v>8.3665699999999994</v>
      </c>
      <c r="U502">
        <v>8.8803319999999992</v>
      </c>
      <c r="V502">
        <v>8.4079350000000002</v>
      </c>
      <c r="W502">
        <v>8.1669429999999998</v>
      </c>
      <c r="X502">
        <v>8.3655179999999998</v>
      </c>
      <c r="Y502">
        <v>8.4235120000000006</v>
      </c>
      <c r="Z502">
        <v>8.8732690000000005</v>
      </c>
      <c r="AA502">
        <v>9.2249099999999995</v>
      </c>
      <c r="AB502">
        <v>8.6876929999999994</v>
      </c>
      <c r="AC502">
        <v>7.4339842999999997</v>
      </c>
      <c r="AD502">
        <v>9.1606655000000003</v>
      </c>
      <c r="AE502">
        <v>9.8396460000000001</v>
      </c>
      <c r="AF502">
        <v>9.3264990000000001</v>
      </c>
      <c r="AG502">
        <v>9.0979010000000002</v>
      </c>
    </row>
    <row r="503" spans="1:33" x14ac:dyDescent="0.25">
      <c r="A503" s="1">
        <v>44554</v>
      </c>
      <c r="B503">
        <v>9.1421860000000006</v>
      </c>
      <c r="C503">
        <v>9.326174</v>
      </c>
      <c r="D503">
        <v>9.4437650000000009</v>
      </c>
      <c r="E503">
        <v>9.5471240000000002</v>
      </c>
      <c r="F503">
        <v>9.7177609999999994</v>
      </c>
      <c r="G503">
        <v>9.5196295000000006</v>
      </c>
      <c r="H503">
        <v>10.958118000000001</v>
      </c>
      <c r="I503">
        <v>9.7832240000000006</v>
      </c>
      <c r="J503">
        <v>9.0561980000000002</v>
      </c>
      <c r="K503">
        <v>9.6555529999999994</v>
      </c>
      <c r="L503">
        <v>9.2709119999999992</v>
      </c>
      <c r="M503">
        <v>9.4455069999999992</v>
      </c>
      <c r="N503">
        <v>8.7092039999999997</v>
      </c>
      <c r="O503">
        <v>9.0752360000000003</v>
      </c>
      <c r="P503">
        <v>9.1924399999999995</v>
      </c>
      <c r="Q503">
        <v>9.185397</v>
      </c>
      <c r="R503">
        <v>9.2297010000000004</v>
      </c>
      <c r="S503">
        <v>8.4301390000000005</v>
      </c>
      <c r="T503">
        <v>8.5289544999999993</v>
      </c>
      <c r="U503">
        <v>9.0834170000000007</v>
      </c>
      <c r="V503">
        <v>8.3834579999999992</v>
      </c>
      <c r="W503">
        <v>8.5009119999999996</v>
      </c>
      <c r="X503">
        <v>8.3751250000000006</v>
      </c>
      <c r="Y503">
        <v>8.4160769999999996</v>
      </c>
      <c r="Z503">
        <v>9.1971349999999994</v>
      </c>
      <c r="AA503">
        <v>9.3393719999999991</v>
      </c>
      <c r="AB503">
        <v>8.6993089999999995</v>
      </c>
      <c r="AC503">
        <v>7.9911136999999997</v>
      </c>
      <c r="AD503">
        <v>9.2035739999999997</v>
      </c>
      <c r="AE503">
        <v>10.574285</v>
      </c>
      <c r="AF503">
        <v>9.3460339999999995</v>
      </c>
      <c r="AG503">
        <v>9.2755349999999996</v>
      </c>
    </row>
    <row r="504" spans="1:33" x14ac:dyDescent="0.25">
      <c r="A504" s="1">
        <v>44555</v>
      </c>
      <c r="B504">
        <v>8.7039150000000003</v>
      </c>
      <c r="C504">
        <v>9.2174080000000007</v>
      </c>
      <c r="D504">
        <v>9.336017</v>
      </c>
      <c r="E504">
        <v>9.3775680000000001</v>
      </c>
      <c r="F504">
        <v>9.475657</v>
      </c>
      <c r="G504">
        <v>9.2822990000000001</v>
      </c>
      <c r="H504">
        <v>10.60402</v>
      </c>
      <c r="I504">
        <v>9.5958459999999999</v>
      </c>
      <c r="J504">
        <v>8.9016520000000003</v>
      </c>
      <c r="K504">
        <v>9.5565460000000009</v>
      </c>
      <c r="L504">
        <v>9.1700140000000001</v>
      </c>
      <c r="M504">
        <v>9.2248125000000005</v>
      </c>
      <c r="N504">
        <v>8.6595709999999997</v>
      </c>
      <c r="O504">
        <v>9.0672139999999999</v>
      </c>
      <c r="P504">
        <v>9.1744970000000006</v>
      </c>
      <c r="Q504">
        <v>8.994631</v>
      </c>
      <c r="R504">
        <v>9.1307829999999992</v>
      </c>
      <c r="S504">
        <v>8.4722080000000002</v>
      </c>
      <c r="T504">
        <v>8.5560449999999992</v>
      </c>
      <c r="U504">
        <v>9.0936260000000004</v>
      </c>
      <c r="V504">
        <v>8.5385919999999995</v>
      </c>
      <c r="W504">
        <v>8.922504</v>
      </c>
      <c r="X504">
        <v>8.5598349999999996</v>
      </c>
      <c r="Y504">
        <v>8.2622370000000007</v>
      </c>
      <c r="Z504">
        <v>9.8750339999999994</v>
      </c>
      <c r="AA504">
        <v>9.2531090000000003</v>
      </c>
      <c r="AB504">
        <v>8.4989290000000004</v>
      </c>
      <c r="AC504">
        <v>8.5686169999999997</v>
      </c>
      <c r="AD504">
        <v>9.1635390000000001</v>
      </c>
      <c r="AE504">
        <v>10.531219999999999</v>
      </c>
      <c r="AF504">
        <v>9.2329120000000007</v>
      </c>
      <c r="AG504">
        <v>9.2983510000000003</v>
      </c>
    </row>
    <row r="505" spans="1:33" x14ac:dyDescent="0.25">
      <c r="A505" s="1">
        <v>44556</v>
      </c>
      <c r="B505">
        <v>7.816484</v>
      </c>
      <c r="C505">
        <v>8.8612584999999999</v>
      </c>
      <c r="D505">
        <v>9.0474789999999992</v>
      </c>
      <c r="E505">
        <v>8.980378</v>
      </c>
      <c r="F505">
        <v>8.9440709999999992</v>
      </c>
      <c r="G505">
        <v>8.8446189999999998</v>
      </c>
      <c r="H505">
        <v>9.9241290000000006</v>
      </c>
      <c r="I505">
        <v>8.8320670000000003</v>
      </c>
      <c r="J505">
        <v>8.3124579999999995</v>
      </c>
      <c r="K505">
        <v>9.2845820000000003</v>
      </c>
      <c r="L505">
        <v>8.8250670000000007</v>
      </c>
      <c r="M505">
        <v>8.7936029999999992</v>
      </c>
      <c r="N505">
        <v>8.4485010000000003</v>
      </c>
      <c r="O505">
        <v>8.8718620000000001</v>
      </c>
      <c r="P505">
        <v>8.9914079999999998</v>
      </c>
      <c r="Q505">
        <v>8.65381</v>
      </c>
      <c r="R505">
        <v>8.9114640000000005</v>
      </c>
      <c r="S505">
        <v>7.8000493000000004</v>
      </c>
      <c r="T505">
        <v>8.4275070000000003</v>
      </c>
      <c r="U505">
        <v>8.8829969999999996</v>
      </c>
      <c r="V505">
        <v>8.8271029999999993</v>
      </c>
      <c r="W505">
        <v>9.0866369999999996</v>
      </c>
      <c r="X505">
        <v>8.856204</v>
      </c>
      <c r="Y505">
        <v>8.3467800000000008</v>
      </c>
      <c r="Z505">
        <v>9.7775280000000002</v>
      </c>
      <c r="AA505">
        <v>9.0008420000000005</v>
      </c>
      <c r="AB505">
        <v>8.4191190000000002</v>
      </c>
      <c r="AC505">
        <v>8.5534219999999994</v>
      </c>
      <c r="AD505">
        <v>8.9309910000000006</v>
      </c>
      <c r="AE505">
        <v>9.7654189999999996</v>
      </c>
      <c r="AF505">
        <v>8.9740450000000003</v>
      </c>
      <c r="AG505">
        <v>9.0181299999999993</v>
      </c>
    </row>
    <row r="506" spans="1:33" x14ac:dyDescent="0.25">
      <c r="A506" s="1">
        <v>44557</v>
      </c>
      <c r="B506">
        <v>7.3350569999999999</v>
      </c>
      <c r="C506">
        <v>8.6654215000000008</v>
      </c>
      <c r="D506">
        <v>8.7823729999999998</v>
      </c>
      <c r="E506">
        <v>8.7237770000000001</v>
      </c>
      <c r="F506">
        <v>8.6571730000000002</v>
      </c>
      <c r="G506">
        <v>8.6307329999999993</v>
      </c>
      <c r="H506">
        <v>9.468769</v>
      </c>
      <c r="I506">
        <v>8.4856049999999996</v>
      </c>
      <c r="J506">
        <v>8.1710825000000007</v>
      </c>
      <c r="K506">
        <v>9.1361039999999996</v>
      </c>
      <c r="L506">
        <v>8.6822789999999994</v>
      </c>
      <c r="M506">
        <v>8.6097149999999996</v>
      </c>
      <c r="N506">
        <v>8.4653899999999993</v>
      </c>
      <c r="O506">
        <v>8.9636800000000001</v>
      </c>
      <c r="P506">
        <v>8.8495799999999996</v>
      </c>
      <c r="Q506">
        <v>8.5396280000000004</v>
      </c>
      <c r="R506">
        <v>8.8745910000000006</v>
      </c>
      <c r="S506">
        <v>7.7158170000000004</v>
      </c>
      <c r="T506">
        <v>8.4236599999999999</v>
      </c>
      <c r="U506">
        <v>8.7138399999999994</v>
      </c>
      <c r="V506">
        <v>8.9944310000000005</v>
      </c>
      <c r="W506">
        <v>9.24038</v>
      </c>
      <c r="X506">
        <v>9.0118019999999994</v>
      </c>
      <c r="Y506">
        <v>8.5412990000000004</v>
      </c>
      <c r="Z506">
        <v>9.5752260000000007</v>
      </c>
      <c r="AA506">
        <v>8.8572430000000004</v>
      </c>
      <c r="AB506">
        <v>8.5598189999999992</v>
      </c>
      <c r="AC506">
        <v>8.4024529999999995</v>
      </c>
      <c r="AD506">
        <v>8.8184439999999995</v>
      </c>
      <c r="AE506">
        <v>9.4592270000000003</v>
      </c>
      <c r="AF506">
        <v>8.7379119999999997</v>
      </c>
      <c r="AG506">
        <v>8.8684650000000005</v>
      </c>
    </row>
    <row r="507" spans="1:33" x14ac:dyDescent="0.25">
      <c r="A507" s="1">
        <v>44558</v>
      </c>
      <c r="B507">
        <v>6.6029897000000002</v>
      </c>
      <c r="C507">
        <v>8.2558530000000001</v>
      </c>
      <c r="D507">
        <v>8.3682750000000006</v>
      </c>
      <c r="E507">
        <v>8.3197829999999993</v>
      </c>
      <c r="F507">
        <v>8.1704854999999998</v>
      </c>
      <c r="G507">
        <v>8.3959519999999994</v>
      </c>
      <c r="H507">
        <v>8.9071470000000001</v>
      </c>
      <c r="I507">
        <v>7.7594089999999998</v>
      </c>
      <c r="J507">
        <v>7.657324</v>
      </c>
      <c r="K507">
        <v>8.9048350000000003</v>
      </c>
      <c r="L507">
        <v>8.4275230000000008</v>
      </c>
      <c r="M507">
        <v>8.3867709999999995</v>
      </c>
      <c r="N507">
        <v>8.3834959999999992</v>
      </c>
      <c r="O507">
        <v>8.7647069999999996</v>
      </c>
      <c r="P507">
        <v>8.6573019999999996</v>
      </c>
      <c r="Q507">
        <v>8.4039830000000002</v>
      </c>
      <c r="R507">
        <v>8.6875309999999999</v>
      </c>
      <c r="S507">
        <v>7.0903954999999996</v>
      </c>
      <c r="T507">
        <v>8.2831349999999997</v>
      </c>
      <c r="U507">
        <v>8.5239320000000003</v>
      </c>
      <c r="V507">
        <v>9.041188</v>
      </c>
      <c r="W507">
        <v>8.9251719999999999</v>
      </c>
      <c r="X507">
        <v>9.0546559999999996</v>
      </c>
      <c r="Y507">
        <v>8.1840469999999996</v>
      </c>
      <c r="Z507">
        <v>8.9242910000000002</v>
      </c>
      <c r="AA507">
        <v>8.544416</v>
      </c>
      <c r="AB507">
        <v>8.2572539999999996</v>
      </c>
      <c r="AC507">
        <v>7.6703815000000004</v>
      </c>
      <c r="AD507">
        <v>8.6135645000000007</v>
      </c>
      <c r="AE507">
        <v>9.1267250000000004</v>
      </c>
      <c r="AF507">
        <v>8.3406710000000004</v>
      </c>
      <c r="AG507">
        <v>8.2902570000000004</v>
      </c>
    </row>
    <row r="508" spans="1:33" x14ac:dyDescent="0.25">
      <c r="A508" s="1">
        <v>44559</v>
      </c>
      <c r="B508">
        <v>6.551437</v>
      </c>
      <c r="C508">
        <v>8.092117</v>
      </c>
      <c r="D508">
        <v>8.1448129999999992</v>
      </c>
      <c r="E508">
        <v>8.1298069999999996</v>
      </c>
      <c r="F508">
        <v>8.0941670000000006</v>
      </c>
      <c r="G508">
        <v>8.3143309999999992</v>
      </c>
      <c r="H508">
        <v>8.9585860000000004</v>
      </c>
      <c r="I508">
        <v>7.5987964000000003</v>
      </c>
      <c r="J508">
        <v>7.5503159999999996</v>
      </c>
      <c r="K508">
        <v>8.6896269999999998</v>
      </c>
      <c r="L508">
        <v>8.3714619999999993</v>
      </c>
      <c r="M508">
        <v>8.2939209999999992</v>
      </c>
      <c r="N508">
        <v>8.4246580000000009</v>
      </c>
      <c r="O508">
        <v>8.6034609999999994</v>
      </c>
      <c r="P508">
        <v>8.5329770000000007</v>
      </c>
      <c r="Q508">
        <v>8.3552850000000003</v>
      </c>
      <c r="R508">
        <v>8.5465940000000007</v>
      </c>
      <c r="S508">
        <v>7.1206529999999999</v>
      </c>
      <c r="T508">
        <v>8.2115965000000006</v>
      </c>
      <c r="U508">
        <v>8.3069290000000002</v>
      </c>
      <c r="V508">
        <v>8.4892070000000004</v>
      </c>
      <c r="W508">
        <v>8.0738535000000002</v>
      </c>
      <c r="X508">
        <v>8.4738869999999995</v>
      </c>
      <c r="Y508">
        <v>7.9086843</v>
      </c>
      <c r="Z508">
        <v>8.6203470000000006</v>
      </c>
      <c r="AA508">
        <v>8.3492660000000001</v>
      </c>
      <c r="AB508">
        <v>8.0763250000000006</v>
      </c>
      <c r="AC508">
        <v>7.1745840000000003</v>
      </c>
      <c r="AD508">
        <v>8.5061140000000002</v>
      </c>
      <c r="AE508">
        <v>8.7258800000000001</v>
      </c>
      <c r="AF508">
        <v>8.2014779999999998</v>
      </c>
      <c r="AG508">
        <v>8.0159040000000008</v>
      </c>
    </row>
    <row r="509" spans="1:33" x14ac:dyDescent="0.25">
      <c r="A509" s="1">
        <v>44560</v>
      </c>
      <c r="B509">
        <v>7.2533602999999998</v>
      </c>
      <c r="C509">
        <v>8.0221405000000008</v>
      </c>
      <c r="D509">
        <v>8.0256209999999992</v>
      </c>
      <c r="E509">
        <v>8.0920269999999999</v>
      </c>
      <c r="F509">
        <v>8.1764860000000006</v>
      </c>
      <c r="G509">
        <v>8.3255569999999999</v>
      </c>
      <c r="H509">
        <v>9.1459919999999997</v>
      </c>
      <c r="I509">
        <v>7.5774236000000004</v>
      </c>
      <c r="J509">
        <v>7.5997130000000004</v>
      </c>
      <c r="K509">
        <v>8.5392410000000005</v>
      </c>
      <c r="L509">
        <v>8.3407999999999998</v>
      </c>
      <c r="M509">
        <v>8.2850610000000007</v>
      </c>
      <c r="N509">
        <v>8.3899150000000002</v>
      </c>
      <c r="O509">
        <v>8.4038880000000002</v>
      </c>
      <c r="P509">
        <v>8.4469200000000004</v>
      </c>
      <c r="Q509">
        <v>8.3473539999999993</v>
      </c>
      <c r="R509">
        <v>8.4729799999999997</v>
      </c>
      <c r="S509">
        <v>7.4463983000000002</v>
      </c>
      <c r="T509">
        <v>7.8783909999999997</v>
      </c>
      <c r="U509">
        <v>8.1355749999999993</v>
      </c>
      <c r="V509">
        <v>7.9379673000000004</v>
      </c>
      <c r="W509">
        <v>7.9184780000000003</v>
      </c>
      <c r="X509">
        <v>7.9382586000000002</v>
      </c>
      <c r="Y509">
        <v>7.733619</v>
      </c>
      <c r="Z509">
        <v>8.3798089999999998</v>
      </c>
      <c r="AA509">
        <v>8.2819395</v>
      </c>
      <c r="AB509">
        <v>7.9646970000000001</v>
      </c>
      <c r="AC509">
        <v>7.5337290000000001</v>
      </c>
      <c r="AD509">
        <v>8.4219030000000004</v>
      </c>
      <c r="AE509">
        <v>8.8733989999999991</v>
      </c>
      <c r="AF509">
        <v>8.1808599999999991</v>
      </c>
      <c r="AG509">
        <v>8.116403</v>
      </c>
    </row>
    <row r="510" spans="1:33" x14ac:dyDescent="0.25">
      <c r="A510" s="1">
        <v>44561</v>
      </c>
      <c r="B510">
        <v>7.5623174000000004</v>
      </c>
      <c r="C510">
        <v>8.0083099999999998</v>
      </c>
      <c r="D510">
        <v>7.9825644000000002</v>
      </c>
      <c r="E510">
        <v>8.0552100000000006</v>
      </c>
      <c r="F510">
        <v>8.1597679999999997</v>
      </c>
      <c r="G510">
        <v>8.3264560000000003</v>
      </c>
      <c r="H510">
        <v>9.2665220000000001</v>
      </c>
      <c r="I510">
        <v>7.6097317000000002</v>
      </c>
      <c r="J510">
        <v>7.4960979999999999</v>
      </c>
      <c r="K510">
        <v>8.4564350000000008</v>
      </c>
      <c r="L510">
        <v>8.2810109999999995</v>
      </c>
      <c r="M510">
        <v>8.2998150000000006</v>
      </c>
      <c r="N510">
        <v>8.1932220000000004</v>
      </c>
      <c r="O510">
        <v>8.226521</v>
      </c>
      <c r="P510">
        <v>8.3432864999999996</v>
      </c>
      <c r="Q510">
        <v>8.2871269999999999</v>
      </c>
      <c r="R510">
        <v>8.3558129999999995</v>
      </c>
      <c r="S510">
        <v>7.3259233999999998</v>
      </c>
      <c r="T510">
        <v>7.7565840000000001</v>
      </c>
      <c r="U510">
        <v>8.1190560000000005</v>
      </c>
      <c r="V510">
        <v>7.8200529999999997</v>
      </c>
      <c r="W510">
        <v>8.0108390000000007</v>
      </c>
      <c r="X510">
        <v>7.8268550000000001</v>
      </c>
      <c r="Y510">
        <v>7.6216245000000002</v>
      </c>
      <c r="Z510">
        <v>8.2603770000000001</v>
      </c>
      <c r="AA510">
        <v>8.2155769999999997</v>
      </c>
      <c r="AB510">
        <v>7.8549933000000003</v>
      </c>
      <c r="AC510">
        <v>10.353185</v>
      </c>
      <c r="AD510">
        <v>8.3320799999999995</v>
      </c>
      <c r="AE510">
        <v>9.2520190000000007</v>
      </c>
      <c r="AF510">
        <v>8.0026620000000008</v>
      </c>
      <c r="AG510">
        <v>8.0135570000000005</v>
      </c>
    </row>
    <row r="511" spans="1:33" x14ac:dyDescent="0.25">
      <c r="A511" s="1">
        <v>44562</v>
      </c>
      <c r="B511">
        <v>7.4512223999999998</v>
      </c>
      <c r="C511">
        <v>7.9089413000000004</v>
      </c>
      <c r="D511">
        <v>7.8542319999999997</v>
      </c>
      <c r="E511">
        <v>7.8954370000000003</v>
      </c>
      <c r="F511">
        <v>8.0268180000000005</v>
      </c>
      <c r="G511">
        <v>8.2331160000000008</v>
      </c>
      <c r="H511">
        <v>9.0008970000000001</v>
      </c>
      <c r="I511">
        <v>7.5557489999999996</v>
      </c>
      <c r="J511">
        <v>7.1689143</v>
      </c>
      <c r="K511">
        <v>8.3262509999999992</v>
      </c>
      <c r="L511">
        <v>8.0642929999999993</v>
      </c>
      <c r="M511">
        <v>8.2099495000000005</v>
      </c>
      <c r="N511">
        <v>7.8749576000000001</v>
      </c>
      <c r="O511">
        <v>8.0089559999999995</v>
      </c>
      <c r="P511">
        <v>8.1719489999999997</v>
      </c>
      <c r="Q511">
        <v>8.1281160000000003</v>
      </c>
      <c r="R511">
        <v>8.1326999999999998</v>
      </c>
      <c r="S511">
        <v>6.8626420000000001</v>
      </c>
      <c r="T511">
        <v>7.5469400000000002</v>
      </c>
      <c r="U511">
        <v>7.8994536000000002</v>
      </c>
      <c r="V511">
        <v>7.8875384000000004</v>
      </c>
      <c r="W511">
        <v>7.8869977000000002</v>
      </c>
      <c r="X511">
        <v>7.9009875999999997</v>
      </c>
      <c r="Y511">
        <v>8.2362850000000005</v>
      </c>
      <c r="Z511">
        <v>8.0712519999999994</v>
      </c>
      <c r="AA511">
        <v>8.0236180000000008</v>
      </c>
      <c r="AB511">
        <v>7.6834582999999999</v>
      </c>
      <c r="AC511">
        <v>11.638221</v>
      </c>
      <c r="AD511">
        <v>8.1297569999999997</v>
      </c>
      <c r="AE511">
        <v>8.7818459999999998</v>
      </c>
      <c r="AF511">
        <v>7.5903707000000002</v>
      </c>
      <c r="AG511">
        <v>7.7042273999999997</v>
      </c>
    </row>
    <row r="512" spans="1:33" x14ac:dyDescent="0.25">
      <c r="A512" t="s">
        <v>37</v>
      </c>
      <c r="B512">
        <f>COUNTIF(B$3:B$511,"&gt;=19")</f>
        <v>199</v>
      </c>
      <c r="C512">
        <f t="shared" ref="C512:AG512" si="0">COUNTIF(C$3:C$511,"&gt;=19")</f>
        <v>206</v>
      </c>
      <c r="D512">
        <f t="shared" si="0"/>
        <v>196</v>
      </c>
      <c r="E512">
        <f t="shared" si="0"/>
        <v>197</v>
      </c>
      <c r="F512">
        <f t="shared" si="0"/>
        <v>200</v>
      </c>
      <c r="G512">
        <f t="shared" si="0"/>
        <v>203</v>
      </c>
      <c r="H512">
        <f t="shared" si="0"/>
        <v>174</v>
      </c>
      <c r="I512">
        <f t="shared" si="0"/>
        <v>161</v>
      </c>
      <c r="J512">
        <f t="shared" si="0"/>
        <v>220</v>
      </c>
      <c r="K512">
        <f t="shared" si="0"/>
        <v>228</v>
      </c>
      <c r="L512">
        <f t="shared" si="0"/>
        <v>233</v>
      </c>
      <c r="M512">
        <f t="shared" si="0"/>
        <v>207</v>
      </c>
      <c r="N512">
        <f t="shared" si="0"/>
        <v>213</v>
      </c>
      <c r="O512">
        <f t="shared" si="0"/>
        <v>232</v>
      </c>
      <c r="P512">
        <f t="shared" si="0"/>
        <v>223</v>
      </c>
      <c r="Q512">
        <f t="shared" si="0"/>
        <v>206</v>
      </c>
      <c r="R512">
        <f t="shared" si="0"/>
        <v>232</v>
      </c>
      <c r="S512">
        <f t="shared" si="0"/>
        <v>152</v>
      </c>
      <c r="T512">
        <f t="shared" si="0"/>
        <v>220</v>
      </c>
      <c r="U512">
        <f t="shared" si="0"/>
        <v>216</v>
      </c>
      <c r="V512">
        <f t="shared" si="0"/>
        <v>220</v>
      </c>
      <c r="W512">
        <f t="shared" si="0"/>
        <v>207</v>
      </c>
      <c r="X512">
        <f t="shared" si="0"/>
        <v>215</v>
      </c>
      <c r="Y512">
        <f t="shared" si="0"/>
        <v>225</v>
      </c>
      <c r="Z512">
        <f t="shared" si="0"/>
        <v>228</v>
      </c>
      <c r="AA512">
        <f t="shared" si="0"/>
        <v>245</v>
      </c>
      <c r="AB512">
        <f t="shared" si="0"/>
        <v>227</v>
      </c>
      <c r="AC512">
        <f t="shared" si="0"/>
        <v>196</v>
      </c>
      <c r="AD512">
        <f t="shared" si="0"/>
        <v>234</v>
      </c>
      <c r="AE512">
        <f t="shared" si="0"/>
        <v>202</v>
      </c>
      <c r="AF512">
        <f t="shared" si="0"/>
        <v>239</v>
      </c>
      <c r="AG512">
        <f t="shared" si="0"/>
        <v>232</v>
      </c>
    </row>
    <row r="513" spans="1:57" x14ac:dyDescent="0.25">
      <c r="A513" t="s">
        <v>38</v>
      </c>
      <c r="B513">
        <f>COUNTIF(B$54:B$235,"&gt;=19")</f>
        <v>22</v>
      </c>
      <c r="C513">
        <f t="shared" ref="C513:AG513" si="1">COUNTIF(C$54:C$235,"&gt;=19")</f>
        <v>23</v>
      </c>
      <c r="D513">
        <f t="shared" si="1"/>
        <v>23</v>
      </c>
      <c r="E513">
        <f t="shared" si="1"/>
        <v>22</v>
      </c>
      <c r="F513">
        <f t="shared" si="1"/>
        <v>22</v>
      </c>
      <c r="G513">
        <f t="shared" si="1"/>
        <v>23</v>
      </c>
      <c r="H513">
        <f t="shared" si="1"/>
        <v>15</v>
      </c>
      <c r="I513">
        <f t="shared" si="1"/>
        <v>6</v>
      </c>
      <c r="J513">
        <f t="shared" si="1"/>
        <v>22</v>
      </c>
      <c r="K513">
        <f t="shared" si="1"/>
        <v>23</v>
      </c>
      <c r="L513">
        <f t="shared" si="1"/>
        <v>24</v>
      </c>
      <c r="M513">
        <f t="shared" si="1"/>
        <v>23</v>
      </c>
      <c r="N513">
        <f t="shared" si="1"/>
        <v>23</v>
      </c>
      <c r="O513">
        <f t="shared" si="1"/>
        <v>24</v>
      </c>
      <c r="P513">
        <f t="shared" si="1"/>
        <v>23</v>
      </c>
      <c r="Q513">
        <f t="shared" si="1"/>
        <v>23</v>
      </c>
      <c r="R513">
        <f t="shared" si="1"/>
        <v>24</v>
      </c>
      <c r="S513">
        <f t="shared" si="1"/>
        <v>5</v>
      </c>
      <c r="T513">
        <f t="shared" si="1"/>
        <v>21</v>
      </c>
      <c r="U513">
        <f t="shared" si="1"/>
        <v>7</v>
      </c>
      <c r="V513">
        <f t="shared" si="1"/>
        <v>15</v>
      </c>
      <c r="W513">
        <f t="shared" si="1"/>
        <v>6</v>
      </c>
      <c r="X513">
        <f t="shared" si="1"/>
        <v>10</v>
      </c>
      <c r="Y513">
        <f t="shared" si="1"/>
        <v>23</v>
      </c>
      <c r="Z513">
        <f t="shared" si="1"/>
        <v>22</v>
      </c>
      <c r="AA513">
        <f t="shared" si="1"/>
        <v>25</v>
      </c>
      <c r="AB513">
        <f t="shared" si="1"/>
        <v>24</v>
      </c>
      <c r="AC513">
        <f t="shared" si="1"/>
        <v>12</v>
      </c>
      <c r="AD513">
        <f t="shared" si="1"/>
        <v>24</v>
      </c>
      <c r="AE513">
        <f t="shared" si="1"/>
        <v>16</v>
      </c>
      <c r="AF513">
        <f t="shared" si="1"/>
        <v>25</v>
      </c>
      <c r="AG513">
        <f t="shared" si="1"/>
        <v>24</v>
      </c>
      <c r="AH513" t="s">
        <v>139</v>
      </c>
    </row>
    <row r="514" spans="1:57" x14ac:dyDescent="0.25">
      <c r="A514" t="s">
        <v>39</v>
      </c>
      <c r="B514">
        <f>COUNTIF(B$419:B$511,"&gt;=19")</f>
        <v>5</v>
      </c>
      <c r="C514">
        <f t="shared" ref="C514:AG514" si="2">COUNTIF(C$419:C$511,"&gt;=19")</f>
        <v>6</v>
      </c>
      <c r="D514">
        <f t="shared" si="2"/>
        <v>5</v>
      </c>
      <c r="E514">
        <f t="shared" si="2"/>
        <v>4</v>
      </c>
      <c r="F514">
        <f t="shared" si="2"/>
        <v>5</v>
      </c>
      <c r="G514">
        <f t="shared" si="2"/>
        <v>6</v>
      </c>
      <c r="H514">
        <f t="shared" si="2"/>
        <v>1</v>
      </c>
      <c r="I514">
        <f t="shared" si="2"/>
        <v>3</v>
      </c>
      <c r="J514">
        <f t="shared" si="2"/>
        <v>6</v>
      </c>
      <c r="K514">
        <f t="shared" si="2"/>
        <v>10</v>
      </c>
      <c r="L514">
        <f t="shared" si="2"/>
        <v>8</v>
      </c>
      <c r="M514">
        <f t="shared" si="2"/>
        <v>6</v>
      </c>
      <c r="N514">
        <f t="shared" si="2"/>
        <v>6</v>
      </c>
      <c r="O514">
        <f t="shared" si="2"/>
        <v>8</v>
      </c>
      <c r="P514">
        <f t="shared" si="2"/>
        <v>7</v>
      </c>
      <c r="Q514">
        <f t="shared" si="2"/>
        <v>6</v>
      </c>
      <c r="R514">
        <f t="shared" si="2"/>
        <v>8</v>
      </c>
      <c r="S514">
        <f t="shared" si="2"/>
        <v>0</v>
      </c>
      <c r="T514">
        <f t="shared" si="2"/>
        <v>5</v>
      </c>
      <c r="U514">
        <f t="shared" si="2"/>
        <v>6</v>
      </c>
      <c r="V514">
        <f t="shared" si="2"/>
        <v>5</v>
      </c>
      <c r="W514">
        <f t="shared" si="2"/>
        <v>2</v>
      </c>
      <c r="X514">
        <f t="shared" si="2"/>
        <v>5</v>
      </c>
      <c r="Y514">
        <f t="shared" si="2"/>
        <v>7</v>
      </c>
      <c r="Z514">
        <f t="shared" si="2"/>
        <v>7</v>
      </c>
      <c r="AA514">
        <f t="shared" si="2"/>
        <v>10</v>
      </c>
      <c r="AB514">
        <f t="shared" si="2"/>
        <v>7</v>
      </c>
      <c r="AC514">
        <f t="shared" si="2"/>
        <v>0</v>
      </c>
      <c r="AD514">
        <f t="shared" si="2"/>
        <v>9</v>
      </c>
      <c r="AE514">
        <f t="shared" si="2"/>
        <v>5</v>
      </c>
      <c r="AF514">
        <f t="shared" si="2"/>
        <v>11</v>
      </c>
      <c r="AG514">
        <f t="shared" si="2"/>
        <v>8</v>
      </c>
      <c r="AH514" t="s">
        <v>140</v>
      </c>
    </row>
    <row r="515" spans="1:57" x14ac:dyDescent="0.25">
      <c r="A515" t="s">
        <v>40</v>
      </c>
      <c r="B515">
        <f>COUNTIF(B$3:B$53,"&gt;=19")</f>
        <v>51</v>
      </c>
      <c r="C515">
        <f t="shared" ref="C515:AG515" si="3">COUNTIF(C$3:C$53,"&gt;=19")</f>
        <v>51</v>
      </c>
      <c r="D515">
        <f t="shared" si="3"/>
        <v>51</v>
      </c>
      <c r="E515">
        <f t="shared" si="3"/>
        <v>51</v>
      </c>
      <c r="F515">
        <f t="shared" si="3"/>
        <v>51</v>
      </c>
      <c r="G515">
        <f t="shared" si="3"/>
        <v>51</v>
      </c>
      <c r="H515">
        <f t="shared" si="3"/>
        <v>51</v>
      </c>
      <c r="I515">
        <f t="shared" si="3"/>
        <v>49</v>
      </c>
      <c r="J515">
        <f t="shared" si="3"/>
        <v>51</v>
      </c>
      <c r="K515">
        <f t="shared" si="3"/>
        <v>51</v>
      </c>
      <c r="L515">
        <f t="shared" si="3"/>
        <v>51</v>
      </c>
      <c r="M515">
        <f t="shared" si="3"/>
        <v>51</v>
      </c>
      <c r="N515">
        <f t="shared" si="3"/>
        <v>51</v>
      </c>
      <c r="O515">
        <f t="shared" si="3"/>
        <v>51</v>
      </c>
      <c r="P515">
        <f t="shared" si="3"/>
        <v>51</v>
      </c>
      <c r="Q515">
        <f t="shared" si="3"/>
        <v>51</v>
      </c>
      <c r="R515">
        <f t="shared" si="3"/>
        <v>51</v>
      </c>
      <c r="S515">
        <f t="shared" si="3"/>
        <v>50</v>
      </c>
      <c r="T515">
        <f t="shared" si="3"/>
        <v>51</v>
      </c>
      <c r="U515">
        <f t="shared" si="3"/>
        <v>51</v>
      </c>
      <c r="V515">
        <f t="shared" si="3"/>
        <v>51</v>
      </c>
      <c r="W515">
        <f t="shared" si="3"/>
        <v>49</v>
      </c>
      <c r="X515">
        <f t="shared" si="3"/>
        <v>51</v>
      </c>
      <c r="Y515">
        <f t="shared" si="3"/>
        <v>51</v>
      </c>
      <c r="Z515">
        <f t="shared" si="3"/>
        <v>51</v>
      </c>
      <c r="AA515">
        <f t="shared" si="3"/>
        <v>51</v>
      </c>
      <c r="AB515">
        <f t="shared" si="3"/>
        <v>51</v>
      </c>
      <c r="AC515">
        <f t="shared" si="3"/>
        <v>51</v>
      </c>
      <c r="AD515">
        <f t="shared" si="3"/>
        <v>51</v>
      </c>
      <c r="AE515">
        <f t="shared" si="3"/>
        <v>51</v>
      </c>
      <c r="AF515">
        <f t="shared" si="3"/>
        <v>51</v>
      </c>
      <c r="AG515">
        <f t="shared" si="3"/>
        <v>51</v>
      </c>
      <c r="AH515" t="s">
        <v>141</v>
      </c>
    </row>
    <row r="516" spans="1:57" x14ac:dyDescent="0.25">
      <c r="A516" t="s">
        <v>41</v>
      </c>
      <c r="B516">
        <f>COUNTIF(B$236:B$418,"&gt;=19")</f>
        <v>121</v>
      </c>
      <c r="C516">
        <f t="shared" ref="C516:AG516" si="4">COUNTIF(C$236:C$418,"&gt;=19")</f>
        <v>126</v>
      </c>
      <c r="D516">
        <f t="shared" si="4"/>
        <v>117</v>
      </c>
      <c r="E516">
        <f t="shared" si="4"/>
        <v>120</v>
      </c>
      <c r="F516">
        <f t="shared" si="4"/>
        <v>122</v>
      </c>
      <c r="G516">
        <f t="shared" si="4"/>
        <v>123</v>
      </c>
      <c r="H516">
        <f t="shared" si="4"/>
        <v>107</v>
      </c>
      <c r="I516">
        <f t="shared" si="4"/>
        <v>103</v>
      </c>
      <c r="J516">
        <f t="shared" si="4"/>
        <v>141</v>
      </c>
      <c r="K516">
        <f t="shared" si="4"/>
        <v>144</v>
      </c>
      <c r="L516">
        <f t="shared" si="4"/>
        <v>150</v>
      </c>
      <c r="M516">
        <f t="shared" si="4"/>
        <v>127</v>
      </c>
      <c r="N516">
        <f t="shared" si="4"/>
        <v>133</v>
      </c>
      <c r="O516">
        <f t="shared" si="4"/>
        <v>149</v>
      </c>
      <c r="P516">
        <f t="shared" si="4"/>
        <v>142</v>
      </c>
      <c r="Q516">
        <f t="shared" si="4"/>
        <v>126</v>
      </c>
      <c r="R516">
        <f t="shared" si="4"/>
        <v>149</v>
      </c>
      <c r="S516">
        <f t="shared" si="4"/>
        <v>97</v>
      </c>
      <c r="T516">
        <f t="shared" si="4"/>
        <v>143</v>
      </c>
      <c r="U516">
        <f t="shared" si="4"/>
        <v>152</v>
      </c>
      <c r="V516">
        <f t="shared" si="4"/>
        <v>149</v>
      </c>
      <c r="W516">
        <f t="shared" si="4"/>
        <v>150</v>
      </c>
      <c r="X516">
        <f t="shared" si="4"/>
        <v>149</v>
      </c>
      <c r="Y516">
        <f t="shared" si="4"/>
        <v>144</v>
      </c>
      <c r="Z516">
        <f t="shared" si="4"/>
        <v>148</v>
      </c>
      <c r="AA516">
        <f t="shared" si="4"/>
        <v>159</v>
      </c>
      <c r="AB516">
        <f t="shared" si="4"/>
        <v>145</v>
      </c>
      <c r="AC516">
        <f t="shared" si="4"/>
        <v>133</v>
      </c>
      <c r="AD516">
        <f t="shared" si="4"/>
        <v>150</v>
      </c>
      <c r="AE516">
        <f t="shared" si="4"/>
        <v>130</v>
      </c>
      <c r="AF516">
        <f t="shared" si="4"/>
        <v>152</v>
      </c>
      <c r="AG516">
        <f t="shared" si="4"/>
        <v>149</v>
      </c>
      <c r="AH516" t="s">
        <v>142</v>
      </c>
    </row>
    <row r="517" spans="1:57" x14ac:dyDescent="0.25">
      <c r="A517" t="s">
        <v>42</v>
      </c>
      <c r="B517">
        <f>SUM(B$513,B$514)</f>
        <v>27</v>
      </c>
      <c r="C517">
        <f t="shared" ref="C517:AG517" si="5">SUM(C$513,C$514)</f>
        <v>29</v>
      </c>
      <c r="D517">
        <f t="shared" si="5"/>
        <v>28</v>
      </c>
      <c r="E517">
        <f t="shared" si="5"/>
        <v>26</v>
      </c>
      <c r="F517">
        <f t="shared" si="5"/>
        <v>27</v>
      </c>
      <c r="G517">
        <f t="shared" si="5"/>
        <v>29</v>
      </c>
      <c r="H517">
        <f t="shared" si="5"/>
        <v>16</v>
      </c>
      <c r="I517">
        <f t="shared" si="5"/>
        <v>9</v>
      </c>
      <c r="J517">
        <f t="shared" si="5"/>
        <v>28</v>
      </c>
      <c r="K517">
        <f t="shared" si="5"/>
        <v>33</v>
      </c>
      <c r="L517">
        <f t="shared" si="5"/>
        <v>32</v>
      </c>
      <c r="M517">
        <f t="shared" si="5"/>
        <v>29</v>
      </c>
      <c r="N517">
        <f t="shared" si="5"/>
        <v>29</v>
      </c>
      <c r="O517">
        <f t="shared" si="5"/>
        <v>32</v>
      </c>
      <c r="P517">
        <f t="shared" si="5"/>
        <v>30</v>
      </c>
      <c r="Q517">
        <f t="shared" si="5"/>
        <v>29</v>
      </c>
      <c r="R517">
        <f t="shared" si="5"/>
        <v>32</v>
      </c>
      <c r="S517">
        <f t="shared" si="5"/>
        <v>5</v>
      </c>
      <c r="T517">
        <f t="shared" si="5"/>
        <v>26</v>
      </c>
      <c r="U517">
        <f t="shared" si="5"/>
        <v>13</v>
      </c>
      <c r="V517">
        <f t="shared" si="5"/>
        <v>20</v>
      </c>
      <c r="W517">
        <f t="shared" si="5"/>
        <v>8</v>
      </c>
      <c r="X517">
        <f t="shared" si="5"/>
        <v>15</v>
      </c>
      <c r="Y517">
        <f t="shared" si="5"/>
        <v>30</v>
      </c>
      <c r="Z517">
        <f t="shared" si="5"/>
        <v>29</v>
      </c>
      <c r="AA517">
        <f t="shared" si="5"/>
        <v>35</v>
      </c>
      <c r="AB517">
        <f t="shared" si="5"/>
        <v>31</v>
      </c>
      <c r="AC517">
        <f t="shared" si="5"/>
        <v>12</v>
      </c>
      <c r="AD517">
        <f t="shared" si="5"/>
        <v>33</v>
      </c>
      <c r="AE517">
        <f t="shared" si="5"/>
        <v>21</v>
      </c>
      <c r="AF517">
        <f t="shared" si="5"/>
        <v>36</v>
      </c>
      <c r="AG517">
        <f t="shared" si="5"/>
        <v>32</v>
      </c>
    </row>
    <row r="518" spans="1:57" x14ac:dyDescent="0.25">
      <c r="A518" t="s">
        <v>43</v>
      </c>
      <c r="B518">
        <f>SUM(B$515,B$516)</f>
        <v>172</v>
      </c>
      <c r="C518">
        <f t="shared" ref="C518:AG518" si="6">SUM(C$515,C$516)</f>
        <v>177</v>
      </c>
      <c r="D518">
        <f t="shared" si="6"/>
        <v>168</v>
      </c>
      <c r="E518">
        <f t="shared" si="6"/>
        <v>171</v>
      </c>
      <c r="F518">
        <f t="shared" si="6"/>
        <v>173</v>
      </c>
      <c r="G518">
        <f t="shared" si="6"/>
        <v>174</v>
      </c>
      <c r="H518">
        <f t="shared" si="6"/>
        <v>158</v>
      </c>
      <c r="I518">
        <f t="shared" si="6"/>
        <v>152</v>
      </c>
      <c r="J518">
        <f t="shared" si="6"/>
        <v>192</v>
      </c>
      <c r="K518">
        <f t="shared" si="6"/>
        <v>195</v>
      </c>
      <c r="L518">
        <f t="shared" si="6"/>
        <v>201</v>
      </c>
      <c r="M518">
        <f t="shared" si="6"/>
        <v>178</v>
      </c>
      <c r="N518">
        <f t="shared" si="6"/>
        <v>184</v>
      </c>
      <c r="O518">
        <f t="shared" si="6"/>
        <v>200</v>
      </c>
      <c r="P518">
        <f t="shared" si="6"/>
        <v>193</v>
      </c>
      <c r="Q518">
        <f t="shared" si="6"/>
        <v>177</v>
      </c>
      <c r="R518">
        <f t="shared" si="6"/>
        <v>200</v>
      </c>
      <c r="S518">
        <f t="shared" si="6"/>
        <v>147</v>
      </c>
      <c r="T518">
        <f t="shared" si="6"/>
        <v>194</v>
      </c>
      <c r="U518">
        <f t="shared" si="6"/>
        <v>203</v>
      </c>
      <c r="V518">
        <f t="shared" si="6"/>
        <v>200</v>
      </c>
      <c r="W518">
        <f t="shared" si="6"/>
        <v>199</v>
      </c>
      <c r="X518">
        <f t="shared" si="6"/>
        <v>200</v>
      </c>
      <c r="Y518">
        <f t="shared" si="6"/>
        <v>195</v>
      </c>
      <c r="Z518">
        <f t="shared" si="6"/>
        <v>199</v>
      </c>
      <c r="AA518">
        <f t="shared" si="6"/>
        <v>210</v>
      </c>
      <c r="AB518">
        <f t="shared" si="6"/>
        <v>196</v>
      </c>
      <c r="AC518">
        <f t="shared" si="6"/>
        <v>184</v>
      </c>
      <c r="AD518">
        <f t="shared" si="6"/>
        <v>201</v>
      </c>
      <c r="AE518">
        <f t="shared" si="6"/>
        <v>181</v>
      </c>
      <c r="AF518">
        <f t="shared" si="6"/>
        <v>203</v>
      </c>
      <c r="AG518">
        <f t="shared" si="6"/>
        <v>200</v>
      </c>
    </row>
    <row r="521" spans="1:57" x14ac:dyDescent="0.25">
      <c r="D521" t="s">
        <v>70</v>
      </c>
      <c r="F521" t="s">
        <v>78</v>
      </c>
      <c r="S521" t="s">
        <v>44</v>
      </c>
      <c r="AA521" t="s">
        <v>44</v>
      </c>
      <c r="AE521" t="s">
        <v>44</v>
      </c>
      <c r="AI521" t="s">
        <v>44</v>
      </c>
      <c r="AQ521" t="s">
        <v>44</v>
      </c>
      <c r="AY521" t="s">
        <v>44</v>
      </c>
    </row>
    <row r="522" spans="1:57" x14ac:dyDescent="0.25">
      <c r="F522" t="s">
        <v>45</v>
      </c>
      <c r="S522" t="s">
        <v>46</v>
      </c>
      <c r="AA522" t="s">
        <v>47</v>
      </c>
      <c r="AE522" t="s">
        <v>48</v>
      </c>
      <c r="AI522" t="s">
        <v>46</v>
      </c>
      <c r="AK522" t="s">
        <v>49</v>
      </c>
      <c r="AL522" t="s">
        <v>33</v>
      </c>
      <c r="AM522" t="s">
        <v>34</v>
      </c>
      <c r="AN522" t="s">
        <v>35</v>
      </c>
      <c r="AO522" t="s">
        <v>36</v>
      </c>
      <c r="AQ522" t="s">
        <v>47</v>
      </c>
      <c r="AS522" t="s">
        <v>49</v>
      </c>
      <c r="AT522" t="s">
        <v>33</v>
      </c>
      <c r="AU522" t="s">
        <v>34</v>
      </c>
      <c r="AV522" t="s">
        <v>35</v>
      </c>
      <c r="AW522" t="s">
        <v>36</v>
      </c>
      <c r="AY522" t="s">
        <v>48</v>
      </c>
      <c r="BA522" t="s">
        <v>49</v>
      </c>
      <c r="BB522" t="s">
        <v>33</v>
      </c>
      <c r="BC522" t="s">
        <v>34</v>
      </c>
      <c r="BD522" t="s">
        <v>35</v>
      </c>
      <c r="BE522" t="s">
        <v>36</v>
      </c>
    </row>
    <row r="523" spans="1:57" x14ac:dyDescent="0.25">
      <c r="F523" t="s">
        <v>50</v>
      </c>
      <c r="M523" t="s">
        <v>51</v>
      </c>
      <c r="S523" t="s">
        <v>52</v>
      </c>
      <c r="U523">
        <f>COUNTIF(B2:AG2,"&lt;&gt;")</f>
        <v>32</v>
      </c>
      <c r="AA523" t="s">
        <v>52</v>
      </c>
      <c r="AC523">
        <f>COUNTIF(B2:AG2,"&lt;&gt;")</f>
        <v>32</v>
      </c>
      <c r="AE523" t="s">
        <v>52</v>
      </c>
      <c r="AG523">
        <f>COUNTIF(B2:AG2,"&lt;&gt;")</f>
        <v>32</v>
      </c>
      <c r="AI523" t="s">
        <v>52</v>
      </c>
      <c r="AK523">
        <f>COUNTIF($B$2:$AG$2,"&lt;&gt;")</f>
        <v>32</v>
      </c>
      <c r="AL523">
        <f>COUNTIF($B$2:$I$2,"&lt;&gt;")</f>
        <v>8</v>
      </c>
      <c r="AM523">
        <f>COUNTIF($J$2:$R$2,"&lt;&gt;")</f>
        <v>9</v>
      </c>
      <c r="AN523">
        <f>COUNTIF($S$2:$X$2,"&lt;&gt;")</f>
        <v>6</v>
      </c>
      <c r="AO523">
        <f>COUNTIF($Y$2:$AG$2,"&lt;&gt;")</f>
        <v>9</v>
      </c>
      <c r="AQ523" t="s">
        <v>52</v>
      </c>
      <c r="AS523">
        <f>COUNTIF($B$2:$AG$2,"&lt;&gt;")</f>
        <v>32</v>
      </c>
      <c r="AT523">
        <f>COUNTIF($B$2:$I$2,"&lt;&gt;")</f>
        <v>8</v>
      </c>
      <c r="AU523">
        <f>COUNTIF($J$2:$R$2,"&lt;&gt;")</f>
        <v>9</v>
      </c>
      <c r="AV523">
        <f>COUNTIF($S$2:$X$2,"&lt;&gt;")</f>
        <v>6</v>
      </c>
      <c r="AW523">
        <f>COUNTIF($Y$2:$AG$2,"&lt;&gt;")</f>
        <v>9</v>
      </c>
      <c r="AY523" t="s">
        <v>52</v>
      </c>
      <c r="BA523">
        <f>COUNTIF($B$2:$AG$2,"&lt;&gt;")</f>
        <v>32</v>
      </c>
      <c r="BB523">
        <f>COUNTIF($B$2:$I$2,"&lt;&gt;")</f>
        <v>8</v>
      </c>
      <c r="BC523">
        <f>COUNTIF($J$2:$R$2,"&lt;&gt;")</f>
        <v>9</v>
      </c>
      <c r="BD523">
        <f>COUNTIF($S$2:$X$2,"&lt;&gt;")</f>
        <v>6</v>
      </c>
      <c r="BE523">
        <f>COUNTIF($Y$2:$AG$2,"&lt;&gt;")</f>
        <v>9</v>
      </c>
    </row>
    <row r="524" spans="1:57" x14ac:dyDescent="0.25">
      <c r="F524" t="s">
        <v>53</v>
      </c>
      <c r="H524" t="s">
        <v>134</v>
      </c>
      <c r="J524">
        <f>COUNTIF($B$54:$B$235,"&lt;&gt;")</f>
        <v>182</v>
      </c>
      <c r="M524" t="s">
        <v>54</v>
      </c>
      <c r="S524" t="s">
        <v>55</v>
      </c>
      <c r="U524">
        <f>COUNTIF($A$3:$A$511,"&lt;&gt;")</f>
        <v>509</v>
      </c>
      <c r="AA524" t="s">
        <v>55</v>
      </c>
      <c r="AC524">
        <f>SUM($J$524:$J$525)</f>
        <v>275</v>
      </c>
      <c r="AE524" t="s">
        <v>55</v>
      </c>
      <c r="AG524">
        <f>SUM($Q$525:$Q$526)</f>
        <v>234</v>
      </c>
      <c r="AI524" t="s">
        <v>55</v>
      </c>
      <c r="AK524">
        <f>COUNTIF($A$3:$A$511,"&lt;&gt;")</f>
        <v>509</v>
      </c>
      <c r="AL524">
        <f t="shared" ref="AL524:AO524" si="7">COUNTIF($A$3:$A$511,"&lt;&gt;")</f>
        <v>509</v>
      </c>
      <c r="AM524">
        <f t="shared" si="7"/>
        <v>509</v>
      </c>
      <c r="AN524">
        <f t="shared" si="7"/>
        <v>509</v>
      </c>
      <c r="AO524">
        <f t="shared" si="7"/>
        <v>509</v>
      </c>
      <c r="AQ524" t="s">
        <v>55</v>
      </c>
      <c r="AS524">
        <f>SUM($J$524:$J$525)</f>
        <v>275</v>
      </c>
      <c r="AT524">
        <f t="shared" ref="AT524:AW524" si="8">SUM($J$524:$J$525)</f>
        <v>275</v>
      </c>
      <c r="AU524">
        <f t="shared" si="8"/>
        <v>275</v>
      </c>
      <c r="AV524">
        <f t="shared" si="8"/>
        <v>275</v>
      </c>
      <c r="AW524">
        <f t="shared" si="8"/>
        <v>275</v>
      </c>
      <c r="AY524" t="s">
        <v>55</v>
      </c>
      <c r="BA524">
        <f>SUM($Q$525:$Q$526)</f>
        <v>234</v>
      </c>
      <c r="BB524">
        <f t="shared" ref="BB524:BE524" si="9">SUM($Q$525:$Q$526)</f>
        <v>234</v>
      </c>
      <c r="BC524">
        <f t="shared" si="9"/>
        <v>234</v>
      </c>
      <c r="BD524">
        <f t="shared" si="9"/>
        <v>234</v>
      </c>
      <c r="BE524">
        <f t="shared" si="9"/>
        <v>234</v>
      </c>
    </row>
    <row r="525" spans="1:57" x14ac:dyDescent="0.25">
      <c r="F525" t="s">
        <v>56</v>
      </c>
      <c r="H525" t="s">
        <v>135</v>
      </c>
      <c r="J525">
        <f>COUNTIF($B$419:$B$511,"&lt;&gt;")</f>
        <v>93</v>
      </c>
      <c r="M525" t="s">
        <v>57</v>
      </c>
      <c r="O525" t="s">
        <v>137</v>
      </c>
      <c r="Q525">
        <f>COUNTIF($B$3:$B$53,"&lt;&gt;")</f>
        <v>51</v>
      </c>
      <c r="S525" t="s">
        <v>58</v>
      </c>
      <c r="U525">
        <f>U524*U523</f>
        <v>16288</v>
      </c>
      <c r="V525" t="s">
        <v>59</v>
      </c>
      <c r="AA525" t="s">
        <v>58</v>
      </c>
      <c r="AC525">
        <f>AC524*AC523</f>
        <v>8800</v>
      </c>
      <c r="AE525" t="s">
        <v>58</v>
      </c>
      <c r="AG525">
        <f>AG523*AG524</f>
        <v>7488</v>
      </c>
      <c r="AI525" t="s">
        <v>58</v>
      </c>
      <c r="AK525">
        <f>AK524*AK523</f>
        <v>16288</v>
      </c>
      <c r="AL525">
        <f t="shared" ref="AL525:AO525" si="10">AL524*AL523</f>
        <v>4072</v>
      </c>
      <c r="AM525">
        <f t="shared" si="10"/>
        <v>4581</v>
      </c>
      <c r="AN525">
        <f t="shared" si="10"/>
        <v>3054</v>
      </c>
      <c r="AO525">
        <f t="shared" si="10"/>
        <v>4581</v>
      </c>
      <c r="AQ525" t="s">
        <v>58</v>
      </c>
      <c r="AS525">
        <f>AS524*AS523</f>
        <v>8800</v>
      </c>
      <c r="AT525">
        <f t="shared" ref="AT525:AW525" si="11">AT524*AT523</f>
        <v>2200</v>
      </c>
      <c r="AU525">
        <f t="shared" si="11"/>
        <v>2475</v>
      </c>
      <c r="AV525">
        <f t="shared" si="11"/>
        <v>1650</v>
      </c>
      <c r="AW525">
        <f t="shared" si="11"/>
        <v>2475</v>
      </c>
      <c r="AY525" t="s">
        <v>58</v>
      </c>
      <c r="BA525">
        <f>BA524*BA523</f>
        <v>7488</v>
      </c>
      <c r="BB525">
        <f t="shared" ref="BB525:BE525" si="12">BB524*BB523</f>
        <v>1872</v>
      </c>
      <c r="BC525">
        <f t="shared" si="12"/>
        <v>2106</v>
      </c>
      <c r="BD525">
        <f t="shared" si="12"/>
        <v>1404</v>
      </c>
      <c r="BE525">
        <f t="shared" si="12"/>
        <v>2106</v>
      </c>
    </row>
    <row r="526" spans="1:57" x14ac:dyDescent="0.25">
      <c r="F526" t="s">
        <v>60</v>
      </c>
      <c r="H526" t="s">
        <v>136</v>
      </c>
      <c r="J526">
        <f>COUNTIF($A$737:$A$798,"&lt;&gt;")</f>
        <v>0</v>
      </c>
      <c r="M526" t="s">
        <v>61</v>
      </c>
      <c r="O526" t="s">
        <v>138</v>
      </c>
      <c r="Q526">
        <f>COUNTIF($B$236:$B$418,"&lt;&gt;")</f>
        <v>183</v>
      </c>
      <c r="S526" t="s">
        <v>75</v>
      </c>
      <c r="U526">
        <f>SUM(B512:AG512)</f>
        <v>6788</v>
      </c>
      <c r="V526" t="s">
        <v>63</v>
      </c>
      <c r="AA526" t="s">
        <v>75</v>
      </c>
      <c r="AC526">
        <f>SUM($B$517:$AG$517)</f>
        <v>811</v>
      </c>
      <c r="AE526" t="s">
        <v>75</v>
      </c>
      <c r="AG526">
        <f>SUM($B$518:$AG$518)</f>
        <v>5977</v>
      </c>
      <c r="AI526" t="s">
        <v>75</v>
      </c>
      <c r="AK526">
        <f>SUM(B512:AG512)</f>
        <v>6788</v>
      </c>
      <c r="AL526">
        <f>SUM(B512:I512)</f>
        <v>1536</v>
      </c>
      <c r="AM526">
        <f>SUM(J512:R512)</f>
        <v>1994</v>
      </c>
      <c r="AN526">
        <f>SUM(S512:X512)</f>
        <v>1230</v>
      </c>
      <c r="AO526">
        <f>SUM(Y512:AG512)</f>
        <v>2028</v>
      </c>
      <c r="AQ526" t="s">
        <v>75</v>
      </c>
      <c r="AS526">
        <f>SUM(B517:AG517)</f>
        <v>811</v>
      </c>
      <c r="AT526">
        <f>SUM(B517:I517)</f>
        <v>191</v>
      </c>
      <c r="AU526">
        <f>SUM(J517:R517)</f>
        <v>274</v>
      </c>
      <c r="AV526">
        <f>SUM(S517:X517)</f>
        <v>87</v>
      </c>
      <c r="AW526">
        <f>SUM(Y517:AG517)</f>
        <v>259</v>
      </c>
      <c r="AY526" t="s">
        <v>75</v>
      </c>
      <c r="BA526">
        <f>SUM($B518:$AG518)</f>
        <v>5977</v>
      </c>
      <c r="BB526">
        <f>SUM(B518:I518)</f>
        <v>1345</v>
      </c>
      <c r="BC526">
        <f>SUM(J518:R518)</f>
        <v>1720</v>
      </c>
      <c r="BD526">
        <f>SUM(S518:X518)</f>
        <v>1143</v>
      </c>
      <c r="BE526">
        <f>SUM(Y518:AG518)</f>
        <v>1769</v>
      </c>
    </row>
    <row r="527" spans="1:57" x14ac:dyDescent="0.25">
      <c r="S527" t="s">
        <v>64</v>
      </c>
      <c r="U527">
        <f>$U526/$U525</f>
        <v>0.41674852652259331</v>
      </c>
      <c r="AA527" t="s">
        <v>65</v>
      </c>
      <c r="AC527">
        <f>AC526/AC525</f>
        <v>9.2159090909090913E-2</v>
      </c>
      <c r="AE527" t="s">
        <v>66</v>
      </c>
      <c r="AG527">
        <f>AG526/AG525</f>
        <v>0.79821047008547008</v>
      </c>
      <c r="AI527" t="s">
        <v>64</v>
      </c>
      <c r="AK527">
        <f>AK526/AK525</f>
        <v>0.41674852652259331</v>
      </c>
      <c r="AL527">
        <f t="shared" ref="AL527:AO527" si="13">AL526/AL525</f>
        <v>0.37721021611001965</v>
      </c>
      <c r="AM527">
        <f t="shared" si="13"/>
        <v>0.43527614058065922</v>
      </c>
      <c r="AN527">
        <f t="shared" si="13"/>
        <v>0.40275049115913558</v>
      </c>
      <c r="AO527">
        <f t="shared" si="13"/>
        <v>0.44269810085134248</v>
      </c>
      <c r="AQ527" t="s">
        <v>65</v>
      </c>
      <c r="AS527">
        <f>AS526/AS525</f>
        <v>9.2159090909090913E-2</v>
      </c>
      <c r="AT527">
        <f t="shared" ref="AT527:AW527" si="14">AT526/AT525</f>
        <v>8.6818181818181822E-2</v>
      </c>
      <c r="AU527">
        <f t="shared" si="14"/>
        <v>0.11070707070707071</v>
      </c>
      <c r="AV527">
        <f t="shared" si="14"/>
        <v>5.2727272727272727E-2</v>
      </c>
      <c r="AW527">
        <f t="shared" si="14"/>
        <v>0.10464646464646464</v>
      </c>
      <c r="AY527" t="s">
        <v>66</v>
      </c>
      <c r="BA527">
        <f>BA526/BA525</f>
        <v>0.79821047008547008</v>
      </c>
      <c r="BB527">
        <f t="shared" ref="BB527:BE527" si="15">BB526/BB525</f>
        <v>0.71848290598290598</v>
      </c>
      <c r="BC527">
        <f t="shared" si="15"/>
        <v>0.81671415004748338</v>
      </c>
      <c r="BD527">
        <f t="shared" si="15"/>
        <v>0.8141025641025641</v>
      </c>
      <c r="BE527">
        <f t="shared" si="15"/>
        <v>0.83998100664767328</v>
      </c>
    </row>
    <row r="529" spans="1:57" x14ac:dyDescent="0.25">
      <c r="A529" t="s">
        <v>37</v>
      </c>
      <c r="B529">
        <f>COUNTIF(B$3:B$511,"&gt;=20")</f>
        <v>153</v>
      </c>
      <c r="C529">
        <f t="shared" ref="C529:AG529" si="16">COUNTIF(C$3:C$511,"&gt;=20")</f>
        <v>172</v>
      </c>
      <c r="D529">
        <f t="shared" si="16"/>
        <v>152</v>
      </c>
      <c r="E529">
        <f t="shared" si="16"/>
        <v>142</v>
      </c>
      <c r="F529">
        <f t="shared" si="16"/>
        <v>159</v>
      </c>
      <c r="G529">
        <f t="shared" si="16"/>
        <v>163</v>
      </c>
      <c r="H529">
        <f t="shared" si="16"/>
        <v>127</v>
      </c>
      <c r="I529">
        <f t="shared" si="16"/>
        <v>104</v>
      </c>
      <c r="J529">
        <f t="shared" si="16"/>
        <v>187</v>
      </c>
      <c r="K529">
        <f t="shared" si="16"/>
        <v>201</v>
      </c>
      <c r="L529">
        <f t="shared" si="16"/>
        <v>211</v>
      </c>
      <c r="M529">
        <f t="shared" si="16"/>
        <v>166</v>
      </c>
      <c r="N529">
        <f t="shared" si="16"/>
        <v>175</v>
      </c>
      <c r="O529">
        <f t="shared" si="16"/>
        <v>203</v>
      </c>
      <c r="P529">
        <f t="shared" si="16"/>
        <v>196</v>
      </c>
      <c r="Q529">
        <f t="shared" si="16"/>
        <v>167</v>
      </c>
      <c r="R529">
        <f t="shared" si="16"/>
        <v>206</v>
      </c>
      <c r="S529">
        <f t="shared" si="16"/>
        <v>104</v>
      </c>
      <c r="T529">
        <f t="shared" si="16"/>
        <v>177</v>
      </c>
      <c r="U529">
        <f t="shared" si="16"/>
        <v>187</v>
      </c>
      <c r="V529">
        <f t="shared" si="16"/>
        <v>189</v>
      </c>
      <c r="W529">
        <f t="shared" si="16"/>
        <v>184</v>
      </c>
      <c r="X529">
        <f t="shared" si="16"/>
        <v>194</v>
      </c>
      <c r="Y529">
        <f t="shared" si="16"/>
        <v>207</v>
      </c>
      <c r="Z529">
        <f t="shared" si="16"/>
        <v>200</v>
      </c>
      <c r="AA529">
        <f t="shared" si="16"/>
        <v>227</v>
      </c>
      <c r="AB529">
        <f t="shared" si="16"/>
        <v>212</v>
      </c>
      <c r="AC529">
        <f t="shared" si="16"/>
        <v>176</v>
      </c>
      <c r="AD529">
        <f t="shared" si="16"/>
        <v>215</v>
      </c>
      <c r="AE529">
        <f t="shared" si="16"/>
        <v>138</v>
      </c>
      <c r="AF529">
        <f t="shared" si="16"/>
        <v>228</v>
      </c>
      <c r="AG529">
        <f t="shared" si="16"/>
        <v>222</v>
      </c>
    </row>
    <row r="530" spans="1:57" x14ac:dyDescent="0.25">
      <c r="A530" t="s">
        <v>38</v>
      </c>
      <c r="B530">
        <f>COUNTIF(B$54:B$235,"&gt;=20")</f>
        <v>8</v>
      </c>
      <c r="C530">
        <f t="shared" ref="C530:AG530" si="17">COUNTIF(C$54:C$235,"&gt;=20")</f>
        <v>9</v>
      </c>
      <c r="D530">
        <f t="shared" si="17"/>
        <v>9</v>
      </c>
      <c r="E530">
        <f t="shared" si="17"/>
        <v>7</v>
      </c>
      <c r="F530">
        <f t="shared" si="17"/>
        <v>7</v>
      </c>
      <c r="G530">
        <f t="shared" si="17"/>
        <v>8</v>
      </c>
      <c r="H530">
        <f t="shared" si="17"/>
        <v>5</v>
      </c>
      <c r="I530">
        <f t="shared" si="17"/>
        <v>3</v>
      </c>
      <c r="J530">
        <f t="shared" si="17"/>
        <v>7</v>
      </c>
      <c r="K530">
        <f t="shared" si="17"/>
        <v>17</v>
      </c>
      <c r="L530">
        <f t="shared" si="17"/>
        <v>20</v>
      </c>
      <c r="M530">
        <f t="shared" si="17"/>
        <v>8</v>
      </c>
      <c r="N530">
        <f t="shared" si="17"/>
        <v>10</v>
      </c>
      <c r="O530">
        <f t="shared" si="17"/>
        <v>13</v>
      </c>
      <c r="P530">
        <f t="shared" si="17"/>
        <v>19</v>
      </c>
      <c r="Q530">
        <f t="shared" si="17"/>
        <v>8</v>
      </c>
      <c r="R530">
        <f t="shared" si="17"/>
        <v>19</v>
      </c>
      <c r="S530">
        <f t="shared" si="17"/>
        <v>3</v>
      </c>
      <c r="T530">
        <f t="shared" si="17"/>
        <v>8</v>
      </c>
      <c r="U530">
        <f t="shared" si="17"/>
        <v>4</v>
      </c>
      <c r="V530">
        <f t="shared" si="17"/>
        <v>7</v>
      </c>
      <c r="W530">
        <f t="shared" si="17"/>
        <v>3</v>
      </c>
      <c r="X530">
        <f t="shared" si="17"/>
        <v>7</v>
      </c>
      <c r="Y530">
        <f t="shared" si="17"/>
        <v>19</v>
      </c>
      <c r="Z530">
        <f t="shared" si="17"/>
        <v>8</v>
      </c>
      <c r="AA530">
        <f t="shared" si="17"/>
        <v>22</v>
      </c>
      <c r="AB530">
        <f t="shared" si="17"/>
        <v>21</v>
      </c>
      <c r="AC530">
        <f t="shared" si="17"/>
        <v>7</v>
      </c>
      <c r="AD530">
        <f t="shared" si="17"/>
        <v>20</v>
      </c>
      <c r="AE530">
        <f t="shared" si="17"/>
        <v>10</v>
      </c>
      <c r="AF530">
        <f t="shared" si="17"/>
        <v>19</v>
      </c>
      <c r="AG530">
        <f t="shared" si="17"/>
        <v>22</v>
      </c>
      <c r="AH530" t="s">
        <v>139</v>
      </c>
    </row>
    <row r="531" spans="1:57" x14ac:dyDescent="0.25">
      <c r="A531" t="s">
        <v>39</v>
      </c>
      <c r="B531">
        <f>COUNTIF(B$419:B$511,"&gt;=20")</f>
        <v>0</v>
      </c>
      <c r="C531">
        <f t="shared" ref="C531:AG531" si="18">COUNTIF(C$419:C$511,"&gt;=20")</f>
        <v>0</v>
      </c>
      <c r="D531">
        <f t="shared" si="18"/>
        <v>0</v>
      </c>
      <c r="E531">
        <f t="shared" si="18"/>
        <v>0</v>
      </c>
      <c r="F531">
        <f t="shared" si="18"/>
        <v>0</v>
      </c>
      <c r="G531">
        <f t="shared" si="18"/>
        <v>0</v>
      </c>
      <c r="H531">
        <f t="shared" si="18"/>
        <v>0</v>
      </c>
      <c r="I531">
        <f t="shared" si="18"/>
        <v>0</v>
      </c>
      <c r="J531">
        <f t="shared" si="18"/>
        <v>1</v>
      </c>
      <c r="K531">
        <f t="shared" si="18"/>
        <v>6</v>
      </c>
      <c r="L531">
        <f t="shared" si="18"/>
        <v>5</v>
      </c>
      <c r="M531">
        <f t="shared" si="18"/>
        <v>0</v>
      </c>
      <c r="N531">
        <f t="shared" si="18"/>
        <v>0</v>
      </c>
      <c r="O531">
        <f t="shared" si="18"/>
        <v>4</v>
      </c>
      <c r="P531">
        <f t="shared" si="18"/>
        <v>2</v>
      </c>
      <c r="Q531">
        <f t="shared" si="18"/>
        <v>0</v>
      </c>
      <c r="R531">
        <f t="shared" si="18"/>
        <v>4</v>
      </c>
      <c r="S531">
        <f t="shared" si="18"/>
        <v>0</v>
      </c>
      <c r="T531">
        <f t="shared" si="18"/>
        <v>0</v>
      </c>
      <c r="U531">
        <f t="shared" si="18"/>
        <v>0</v>
      </c>
      <c r="V531">
        <f t="shared" si="18"/>
        <v>0</v>
      </c>
      <c r="W531">
        <f t="shared" si="18"/>
        <v>0</v>
      </c>
      <c r="X531">
        <f t="shared" si="18"/>
        <v>0</v>
      </c>
      <c r="Y531">
        <f t="shared" si="18"/>
        <v>5</v>
      </c>
      <c r="Z531">
        <f t="shared" si="18"/>
        <v>4</v>
      </c>
      <c r="AA531">
        <f t="shared" si="18"/>
        <v>7</v>
      </c>
      <c r="AB531">
        <f t="shared" si="18"/>
        <v>6</v>
      </c>
      <c r="AC531">
        <f t="shared" si="18"/>
        <v>0</v>
      </c>
      <c r="AD531">
        <f t="shared" si="18"/>
        <v>5</v>
      </c>
      <c r="AE531">
        <f t="shared" si="18"/>
        <v>0</v>
      </c>
      <c r="AF531">
        <f t="shared" si="18"/>
        <v>9</v>
      </c>
      <c r="AG531">
        <f t="shared" si="18"/>
        <v>6</v>
      </c>
      <c r="AH531" t="s">
        <v>140</v>
      </c>
    </row>
    <row r="532" spans="1:57" x14ac:dyDescent="0.25">
      <c r="A532" t="s">
        <v>40</v>
      </c>
      <c r="B532">
        <f>COUNTIF(B$3:B$53,"&gt;=20")</f>
        <v>51</v>
      </c>
      <c r="C532">
        <f t="shared" ref="C532:AG532" si="19">COUNTIF(C$3:C$53,"&gt;=20")</f>
        <v>51</v>
      </c>
      <c r="D532">
        <f t="shared" si="19"/>
        <v>51</v>
      </c>
      <c r="E532">
        <f t="shared" si="19"/>
        <v>51</v>
      </c>
      <c r="F532">
        <f t="shared" si="19"/>
        <v>51</v>
      </c>
      <c r="G532">
        <f t="shared" si="19"/>
        <v>51</v>
      </c>
      <c r="H532">
        <f t="shared" si="19"/>
        <v>46</v>
      </c>
      <c r="I532">
        <f t="shared" si="19"/>
        <v>24</v>
      </c>
      <c r="J532">
        <f t="shared" si="19"/>
        <v>51</v>
      </c>
      <c r="K532">
        <f t="shared" si="19"/>
        <v>51</v>
      </c>
      <c r="L532">
        <f t="shared" si="19"/>
        <v>51</v>
      </c>
      <c r="M532">
        <f t="shared" si="19"/>
        <v>51</v>
      </c>
      <c r="N532">
        <f t="shared" si="19"/>
        <v>51</v>
      </c>
      <c r="O532">
        <f t="shared" si="19"/>
        <v>51</v>
      </c>
      <c r="P532">
        <f t="shared" si="19"/>
        <v>51</v>
      </c>
      <c r="Q532">
        <f t="shared" si="19"/>
        <v>51</v>
      </c>
      <c r="R532">
        <f t="shared" si="19"/>
        <v>51</v>
      </c>
      <c r="S532">
        <f t="shared" si="19"/>
        <v>29</v>
      </c>
      <c r="T532">
        <f t="shared" si="19"/>
        <v>51</v>
      </c>
      <c r="U532">
        <f t="shared" si="19"/>
        <v>43</v>
      </c>
      <c r="V532">
        <f t="shared" si="19"/>
        <v>51</v>
      </c>
      <c r="W532">
        <f t="shared" si="19"/>
        <v>39</v>
      </c>
      <c r="X532">
        <f t="shared" si="19"/>
        <v>51</v>
      </c>
      <c r="Y532">
        <f t="shared" si="19"/>
        <v>51</v>
      </c>
      <c r="Z532">
        <f t="shared" si="19"/>
        <v>51</v>
      </c>
      <c r="AA532">
        <f t="shared" si="19"/>
        <v>51</v>
      </c>
      <c r="AB532">
        <f t="shared" si="19"/>
        <v>51</v>
      </c>
      <c r="AC532">
        <f t="shared" si="19"/>
        <v>51</v>
      </c>
      <c r="AD532">
        <f t="shared" si="19"/>
        <v>51</v>
      </c>
      <c r="AE532">
        <f t="shared" si="19"/>
        <v>51</v>
      </c>
      <c r="AF532">
        <f t="shared" si="19"/>
        <v>51</v>
      </c>
      <c r="AG532">
        <f t="shared" si="19"/>
        <v>51</v>
      </c>
      <c r="AH532" t="s">
        <v>141</v>
      </c>
    </row>
    <row r="533" spans="1:57" x14ac:dyDescent="0.25">
      <c r="A533" t="s">
        <v>41</v>
      </c>
      <c r="B533">
        <f>COUNTIF(B$236:B$418,"&gt;=20")</f>
        <v>94</v>
      </c>
      <c r="C533">
        <f t="shared" ref="C533:AG533" si="20">COUNTIF(C$236:C$418,"&gt;=20")</f>
        <v>112</v>
      </c>
      <c r="D533">
        <f t="shared" si="20"/>
        <v>92</v>
      </c>
      <c r="E533">
        <f t="shared" si="20"/>
        <v>84</v>
      </c>
      <c r="F533">
        <f t="shared" si="20"/>
        <v>101</v>
      </c>
      <c r="G533">
        <f t="shared" si="20"/>
        <v>104</v>
      </c>
      <c r="H533">
        <f t="shared" si="20"/>
        <v>76</v>
      </c>
      <c r="I533">
        <f t="shared" si="20"/>
        <v>77</v>
      </c>
      <c r="J533">
        <f t="shared" si="20"/>
        <v>128</v>
      </c>
      <c r="K533">
        <f t="shared" si="20"/>
        <v>127</v>
      </c>
      <c r="L533">
        <f t="shared" si="20"/>
        <v>135</v>
      </c>
      <c r="M533">
        <f t="shared" si="20"/>
        <v>107</v>
      </c>
      <c r="N533">
        <f t="shared" si="20"/>
        <v>114</v>
      </c>
      <c r="O533">
        <f t="shared" si="20"/>
        <v>135</v>
      </c>
      <c r="P533">
        <f t="shared" si="20"/>
        <v>124</v>
      </c>
      <c r="Q533">
        <f t="shared" si="20"/>
        <v>108</v>
      </c>
      <c r="R533">
        <f t="shared" si="20"/>
        <v>132</v>
      </c>
      <c r="S533">
        <f t="shared" si="20"/>
        <v>72</v>
      </c>
      <c r="T533">
        <f t="shared" si="20"/>
        <v>118</v>
      </c>
      <c r="U533">
        <f t="shared" si="20"/>
        <v>140</v>
      </c>
      <c r="V533">
        <f t="shared" si="20"/>
        <v>131</v>
      </c>
      <c r="W533">
        <f t="shared" si="20"/>
        <v>142</v>
      </c>
      <c r="X533">
        <f t="shared" si="20"/>
        <v>136</v>
      </c>
      <c r="Y533">
        <f t="shared" si="20"/>
        <v>132</v>
      </c>
      <c r="Z533">
        <f t="shared" si="20"/>
        <v>137</v>
      </c>
      <c r="AA533">
        <f t="shared" si="20"/>
        <v>147</v>
      </c>
      <c r="AB533">
        <f t="shared" si="20"/>
        <v>134</v>
      </c>
      <c r="AC533">
        <f t="shared" si="20"/>
        <v>118</v>
      </c>
      <c r="AD533">
        <f t="shared" si="20"/>
        <v>139</v>
      </c>
      <c r="AE533">
        <f t="shared" si="20"/>
        <v>77</v>
      </c>
      <c r="AF533">
        <f t="shared" si="20"/>
        <v>149</v>
      </c>
      <c r="AG533">
        <f t="shared" si="20"/>
        <v>143</v>
      </c>
      <c r="AH533" t="s">
        <v>142</v>
      </c>
    </row>
    <row r="534" spans="1:57" x14ac:dyDescent="0.25">
      <c r="A534" t="s">
        <v>42</v>
      </c>
      <c r="B534">
        <f>SUM(B530,B531)</f>
        <v>8</v>
      </c>
      <c r="C534">
        <f t="shared" ref="C534:AG534" si="21">SUM(C530,C531)</f>
        <v>9</v>
      </c>
      <c r="D534">
        <f t="shared" si="21"/>
        <v>9</v>
      </c>
      <c r="E534">
        <f t="shared" si="21"/>
        <v>7</v>
      </c>
      <c r="F534">
        <f t="shared" si="21"/>
        <v>7</v>
      </c>
      <c r="G534">
        <f t="shared" si="21"/>
        <v>8</v>
      </c>
      <c r="H534">
        <f t="shared" si="21"/>
        <v>5</v>
      </c>
      <c r="I534">
        <f t="shared" si="21"/>
        <v>3</v>
      </c>
      <c r="J534">
        <f t="shared" si="21"/>
        <v>8</v>
      </c>
      <c r="K534">
        <f t="shared" si="21"/>
        <v>23</v>
      </c>
      <c r="L534">
        <f t="shared" si="21"/>
        <v>25</v>
      </c>
      <c r="M534">
        <f t="shared" si="21"/>
        <v>8</v>
      </c>
      <c r="N534">
        <f t="shared" si="21"/>
        <v>10</v>
      </c>
      <c r="O534">
        <f t="shared" si="21"/>
        <v>17</v>
      </c>
      <c r="P534">
        <f t="shared" si="21"/>
        <v>21</v>
      </c>
      <c r="Q534">
        <f t="shared" si="21"/>
        <v>8</v>
      </c>
      <c r="R534">
        <f t="shared" si="21"/>
        <v>23</v>
      </c>
      <c r="S534">
        <f t="shared" si="21"/>
        <v>3</v>
      </c>
      <c r="T534">
        <f t="shared" si="21"/>
        <v>8</v>
      </c>
      <c r="U534">
        <f t="shared" si="21"/>
        <v>4</v>
      </c>
      <c r="V534">
        <f t="shared" si="21"/>
        <v>7</v>
      </c>
      <c r="W534">
        <f t="shared" si="21"/>
        <v>3</v>
      </c>
      <c r="X534">
        <f t="shared" si="21"/>
        <v>7</v>
      </c>
      <c r="Y534">
        <f t="shared" si="21"/>
        <v>24</v>
      </c>
      <c r="Z534">
        <f t="shared" si="21"/>
        <v>12</v>
      </c>
      <c r="AA534">
        <f t="shared" si="21"/>
        <v>29</v>
      </c>
      <c r="AB534">
        <f t="shared" si="21"/>
        <v>27</v>
      </c>
      <c r="AC534">
        <f t="shared" si="21"/>
        <v>7</v>
      </c>
      <c r="AD534">
        <f t="shared" si="21"/>
        <v>25</v>
      </c>
      <c r="AE534">
        <f t="shared" si="21"/>
        <v>10</v>
      </c>
      <c r="AF534">
        <f t="shared" si="21"/>
        <v>28</v>
      </c>
      <c r="AG534">
        <f t="shared" si="21"/>
        <v>28</v>
      </c>
    </row>
    <row r="535" spans="1:57" x14ac:dyDescent="0.25">
      <c r="A535" t="s">
        <v>43</v>
      </c>
      <c r="B535">
        <f>SUM(B532,B533)</f>
        <v>145</v>
      </c>
      <c r="C535">
        <f t="shared" ref="C535:AG535" si="22">SUM(C532,C533)</f>
        <v>163</v>
      </c>
      <c r="D535">
        <f t="shared" si="22"/>
        <v>143</v>
      </c>
      <c r="E535">
        <f t="shared" si="22"/>
        <v>135</v>
      </c>
      <c r="F535">
        <f t="shared" si="22"/>
        <v>152</v>
      </c>
      <c r="G535">
        <f t="shared" si="22"/>
        <v>155</v>
      </c>
      <c r="H535">
        <f t="shared" si="22"/>
        <v>122</v>
      </c>
      <c r="I535">
        <f t="shared" si="22"/>
        <v>101</v>
      </c>
      <c r="J535">
        <f t="shared" si="22"/>
        <v>179</v>
      </c>
      <c r="K535">
        <f t="shared" si="22"/>
        <v>178</v>
      </c>
      <c r="L535">
        <f t="shared" si="22"/>
        <v>186</v>
      </c>
      <c r="M535">
        <f t="shared" si="22"/>
        <v>158</v>
      </c>
      <c r="N535">
        <f t="shared" si="22"/>
        <v>165</v>
      </c>
      <c r="O535">
        <f t="shared" si="22"/>
        <v>186</v>
      </c>
      <c r="P535">
        <f t="shared" si="22"/>
        <v>175</v>
      </c>
      <c r="Q535">
        <f t="shared" si="22"/>
        <v>159</v>
      </c>
      <c r="R535">
        <f t="shared" si="22"/>
        <v>183</v>
      </c>
      <c r="S535">
        <f t="shared" si="22"/>
        <v>101</v>
      </c>
      <c r="T535">
        <f t="shared" si="22"/>
        <v>169</v>
      </c>
      <c r="U535">
        <f t="shared" si="22"/>
        <v>183</v>
      </c>
      <c r="V535">
        <f t="shared" si="22"/>
        <v>182</v>
      </c>
      <c r="W535">
        <f t="shared" si="22"/>
        <v>181</v>
      </c>
      <c r="X535">
        <f t="shared" si="22"/>
        <v>187</v>
      </c>
      <c r="Y535">
        <f t="shared" si="22"/>
        <v>183</v>
      </c>
      <c r="Z535">
        <f t="shared" si="22"/>
        <v>188</v>
      </c>
      <c r="AA535">
        <f t="shared" si="22"/>
        <v>198</v>
      </c>
      <c r="AB535">
        <f t="shared" si="22"/>
        <v>185</v>
      </c>
      <c r="AC535">
        <f t="shared" si="22"/>
        <v>169</v>
      </c>
      <c r="AD535">
        <f t="shared" si="22"/>
        <v>190</v>
      </c>
      <c r="AE535">
        <f t="shared" si="22"/>
        <v>128</v>
      </c>
      <c r="AF535">
        <f t="shared" si="22"/>
        <v>200</v>
      </c>
      <c r="AG535">
        <f t="shared" si="22"/>
        <v>194</v>
      </c>
    </row>
    <row r="538" spans="1:57" x14ac:dyDescent="0.25">
      <c r="D538" t="s">
        <v>71</v>
      </c>
      <c r="F538" t="s">
        <v>77</v>
      </c>
      <c r="S538" t="s">
        <v>67</v>
      </c>
      <c r="AA538" t="s">
        <v>67</v>
      </c>
      <c r="AE538" t="s">
        <v>67</v>
      </c>
      <c r="AI538" t="s">
        <v>67</v>
      </c>
      <c r="AQ538" t="s">
        <v>67</v>
      </c>
      <c r="AY538" t="s">
        <v>67</v>
      </c>
    </row>
    <row r="539" spans="1:57" x14ac:dyDescent="0.25">
      <c r="F539" t="s">
        <v>45</v>
      </c>
      <c r="S539" t="s">
        <v>46</v>
      </c>
      <c r="AA539" t="s">
        <v>47</v>
      </c>
      <c r="AE539" t="s">
        <v>48</v>
      </c>
      <c r="AI539" t="s">
        <v>46</v>
      </c>
      <c r="AK539" t="s">
        <v>49</v>
      </c>
      <c r="AL539" t="s">
        <v>33</v>
      </c>
      <c r="AM539" t="s">
        <v>34</v>
      </c>
      <c r="AN539" t="s">
        <v>35</v>
      </c>
      <c r="AO539" t="s">
        <v>36</v>
      </c>
      <c r="AQ539" t="s">
        <v>47</v>
      </c>
      <c r="AS539" t="s">
        <v>49</v>
      </c>
      <c r="AT539" t="s">
        <v>33</v>
      </c>
      <c r="AU539" t="s">
        <v>34</v>
      </c>
      <c r="AV539" t="s">
        <v>35</v>
      </c>
      <c r="AW539" t="s">
        <v>36</v>
      </c>
      <c r="AY539" t="s">
        <v>48</v>
      </c>
      <c r="BA539" t="s">
        <v>49</v>
      </c>
      <c r="BB539" t="s">
        <v>33</v>
      </c>
      <c r="BC539" t="s">
        <v>34</v>
      </c>
      <c r="BD539" t="s">
        <v>35</v>
      </c>
      <c r="BE539" t="s">
        <v>36</v>
      </c>
    </row>
    <row r="540" spans="1:57" x14ac:dyDescent="0.25">
      <c r="F540" t="s">
        <v>50</v>
      </c>
      <c r="M540" t="s">
        <v>51</v>
      </c>
      <c r="S540" t="s">
        <v>52</v>
      </c>
      <c r="U540">
        <f>COUNTIF(B18:AG18,"&lt;&gt;")</f>
        <v>32</v>
      </c>
      <c r="AA540" t="s">
        <v>52</v>
      </c>
      <c r="AC540">
        <f>COUNTIF(B18:AG18,"&lt;&gt;")</f>
        <v>32</v>
      </c>
      <c r="AE540" t="s">
        <v>52</v>
      </c>
      <c r="AG540">
        <f>COUNTIF(B18:AG18,"&lt;&gt;")</f>
        <v>32</v>
      </c>
      <c r="AI540" t="s">
        <v>52</v>
      </c>
      <c r="AK540">
        <f>COUNTIF($B$2:$AG$2,"&lt;&gt;")</f>
        <v>32</v>
      </c>
      <c r="AL540">
        <f>COUNTIF($B$2:$I$2,"&lt;&gt;")</f>
        <v>8</v>
      </c>
      <c r="AM540">
        <f>COUNTIF($J$2:$R$2,"&lt;&gt;")</f>
        <v>9</v>
      </c>
      <c r="AN540">
        <f>COUNTIF($S$2:$X$2,"&lt;&gt;")</f>
        <v>6</v>
      </c>
      <c r="AO540">
        <f>COUNTIF($Y$2:$AG$2,"&lt;&gt;")</f>
        <v>9</v>
      </c>
      <c r="AQ540" t="s">
        <v>52</v>
      </c>
      <c r="AS540">
        <f>COUNTIF($B$2:$AG$2,"&lt;&gt;")</f>
        <v>32</v>
      </c>
      <c r="AT540">
        <f>COUNTIF($B$2:$I$2,"&lt;&gt;")</f>
        <v>8</v>
      </c>
      <c r="AU540">
        <f>COUNTIF($J$2:$R$2,"&lt;&gt;")</f>
        <v>9</v>
      </c>
      <c r="AV540">
        <f>COUNTIF($S$2:$X$2,"&lt;&gt;")</f>
        <v>6</v>
      </c>
      <c r="AW540">
        <f>COUNTIF($Y$2:$AG$2,"&lt;&gt;")</f>
        <v>9</v>
      </c>
      <c r="AY540" t="s">
        <v>52</v>
      </c>
      <c r="BA540">
        <f>COUNTIF($B$2:$AG$2,"&lt;&gt;")</f>
        <v>32</v>
      </c>
      <c r="BB540">
        <f>COUNTIF($B$2:$I$2,"&lt;&gt;")</f>
        <v>8</v>
      </c>
      <c r="BC540">
        <f>COUNTIF($J$2:$R$2,"&lt;&gt;")</f>
        <v>9</v>
      </c>
      <c r="BD540">
        <f>COUNTIF($S$2:$X$2,"&lt;&gt;")</f>
        <v>6</v>
      </c>
      <c r="BE540">
        <f>COUNTIF($Y$2:$AG$2,"&lt;&gt;")</f>
        <v>9</v>
      </c>
    </row>
    <row r="541" spans="1:57" x14ac:dyDescent="0.25">
      <c r="F541" t="s">
        <v>53</v>
      </c>
      <c r="H541" t="s">
        <v>134</v>
      </c>
      <c r="J541">
        <f>COUNTIF($B$54:$B$235,"&lt;&gt;")</f>
        <v>182</v>
      </c>
      <c r="M541" t="s">
        <v>54</v>
      </c>
      <c r="S541" t="s">
        <v>55</v>
      </c>
      <c r="U541">
        <f>COUNTIF($A$3:$A$511,"&lt;&gt;")</f>
        <v>509</v>
      </c>
      <c r="AA541" t="s">
        <v>55</v>
      </c>
      <c r="AC541">
        <f>SUM($J$524:$J$525)</f>
        <v>275</v>
      </c>
      <c r="AE541" t="s">
        <v>55</v>
      </c>
      <c r="AG541">
        <f>SUM($Q$525:$Q$526)</f>
        <v>234</v>
      </c>
      <c r="AI541" t="s">
        <v>55</v>
      </c>
      <c r="AK541">
        <f>COUNTIF($A$3:$A$511,"&lt;&gt;")</f>
        <v>509</v>
      </c>
      <c r="AL541">
        <f t="shared" ref="AL541:AO541" si="23">COUNTIF($A$3:$A$511,"&lt;&gt;")</f>
        <v>509</v>
      </c>
      <c r="AM541">
        <f t="shared" si="23"/>
        <v>509</v>
      </c>
      <c r="AN541">
        <f t="shared" si="23"/>
        <v>509</v>
      </c>
      <c r="AO541">
        <f t="shared" si="23"/>
        <v>509</v>
      </c>
      <c r="AQ541" t="s">
        <v>55</v>
      </c>
      <c r="AS541">
        <f>SUM($J$524:$J$525)</f>
        <v>275</v>
      </c>
      <c r="AT541">
        <f t="shared" ref="AT541:AW541" si="24">SUM($J$524:$J$525)</f>
        <v>275</v>
      </c>
      <c r="AU541">
        <f t="shared" si="24"/>
        <v>275</v>
      </c>
      <c r="AV541">
        <f t="shared" si="24"/>
        <v>275</v>
      </c>
      <c r="AW541">
        <f t="shared" si="24"/>
        <v>275</v>
      </c>
      <c r="AY541" t="s">
        <v>55</v>
      </c>
      <c r="BA541">
        <f>SUM($Q$525:$Q$526)</f>
        <v>234</v>
      </c>
      <c r="BB541">
        <f t="shared" ref="BB541:BE541" si="25">SUM($Q$525:$Q$526)</f>
        <v>234</v>
      </c>
      <c r="BC541">
        <f t="shared" si="25"/>
        <v>234</v>
      </c>
      <c r="BD541">
        <f t="shared" si="25"/>
        <v>234</v>
      </c>
      <c r="BE541">
        <f t="shared" si="25"/>
        <v>234</v>
      </c>
    </row>
    <row r="542" spans="1:57" x14ac:dyDescent="0.25">
      <c r="F542" t="s">
        <v>56</v>
      </c>
      <c r="H542" t="s">
        <v>135</v>
      </c>
      <c r="J542">
        <f>COUNTIF($B$419:$B$511,"&lt;&gt;")</f>
        <v>93</v>
      </c>
      <c r="M542" t="s">
        <v>57</v>
      </c>
      <c r="O542" t="s">
        <v>137</v>
      </c>
      <c r="Q542">
        <f>COUNTIF($B$3:$B$53,"&lt;&gt;")</f>
        <v>51</v>
      </c>
      <c r="S542" t="s">
        <v>58</v>
      </c>
      <c r="U542">
        <f>U541*U540</f>
        <v>16288</v>
      </c>
      <c r="V542" t="s">
        <v>59</v>
      </c>
      <c r="AA542" t="s">
        <v>58</v>
      </c>
      <c r="AC542">
        <f>AC541*AC540</f>
        <v>8800</v>
      </c>
      <c r="AE542" t="s">
        <v>58</v>
      </c>
      <c r="AG542">
        <f>AG540*AG541</f>
        <v>7488</v>
      </c>
      <c r="AI542" t="s">
        <v>58</v>
      </c>
      <c r="AK542">
        <f>AK541*AK540</f>
        <v>16288</v>
      </c>
      <c r="AL542">
        <f t="shared" ref="AL542:AO542" si="26">AL541*AL540</f>
        <v>4072</v>
      </c>
      <c r="AM542">
        <f t="shared" si="26"/>
        <v>4581</v>
      </c>
      <c r="AN542">
        <f t="shared" si="26"/>
        <v>3054</v>
      </c>
      <c r="AO542">
        <f t="shared" si="26"/>
        <v>4581</v>
      </c>
      <c r="AQ542" t="s">
        <v>58</v>
      </c>
      <c r="AS542">
        <f>AS541*AS540</f>
        <v>8800</v>
      </c>
      <c r="AT542">
        <f t="shared" ref="AT542:AW542" si="27">AT541*AT540</f>
        <v>2200</v>
      </c>
      <c r="AU542">
        <f t="shared" si="27"/>
        <v>2475</v>
      </c>
      <c r="AV542">
        <f t="shared" si="27"/>
        <v>1650</v>
      </c>
      <c r="AW542">
        <f t="shared" si="27"/>
        <v>2475</v>
      </c>
      <c r="AY542" t="s">
        <v>58</v>
      </c>
      <c r="BA542">
        <f>BA541*BA540</f>
        <v>7488</v>
      </c>
      <c r="BB542">
        <f t="shared" ref="BB542:BE542" si="28">BB541*BB540</f>
        <v>1872</v>
      </c>
      <c r="BC542">
        <f t="shared" si="28"/>
        <v>2106</v>
      </c>
      <c r="BD542">
        <f t="shared" si="28"/>
        <v>1404</v>
      </c>
      <c r="BE542">
        <f t="shared" si="28"/>
        <v>2106</v>
      </c>
    </row>
    <row r="543" spans="1:57" x14ac:dyDescent="0.25">
      <c r="F543" t="s">
        <v>60</v>
      </c>
      <c r="H543" t="s">
        <v>136</v>
      </c>
      <c r="J543">
        <f>COUNTIF($A$737:$A$798,"&lt;&gt;")</f>
        <v>0</v>
      </c>
      <c r="M543" t="s">
        <v>61</v>
      </c>
      <c r="O543" t="s">
        <v>138</v>
      </c>
      <c r="Q543">
        <f>COUNTIF($B$236:$B$418,"&lt;&gt;")</f>
        <v>183</v>
      </c>
      <c r="S543" t="s">
        <v>76</v>
      </c>
      <c r="U543">
        <f>SUM(B529:AG529)</f>
        <v>5744</v>
      </c>
      <c r="V543" t="s">
        <v>63</v>
      </c>
      <c r="AA543" t="s">
        <v>76</v>
      </c>
      <c r="AC543">
        <f>SUM(B534:AG534)</f>
        <v>421</v>
      </c>
      <c r="AE543" t="s">
        <v>76</v>
      </c>
      <c r="AG543">
        <f>SUM(B535:AG535)</f>
        <v>5323</v>
      </c>
      <c r="AI543" t="s">
        <v>76</v>
      </c>
      <c r="AK543">
        <f>SUM(B529:AG529)</f>
        <v>5744</v>
      </c>
      <c r="AL543">
        <f>SUM(B529:I529)</f>
        <v>1172</v>
      </c>
      <c r="AM543">
        <f>SUM(J529:R529)</f>
        <v>1712</v>
      </c>
      <c r="AN543">
        <f>SUM(S529:X529)</f>
        <v>1035</v>
      </c>
      <c r="AO543">
        <f>SUM(Y529:AG529)</f>
        <v>1825</v>
      </c>
      <c r="AQ543" t="s">
        <v>76</v>
      </c>
      <c r="AS543">
        <f>SUM(B534:AG534)</f>
        <v>421</v>
      </c>
      <c r="AT543">
        <f>SUM(B534:I534)</f>
        <v>56</v>
      </c>
      <c r="AU543">
        <f>SUM(J534:R534)</f>
        <v>143</v>
      </c>
      <c r="AV543">
        <f>SUM(S534:X534)</f>
        <v>32</v>
      </c>
      <c r="AW543">
        <f>SUM(Y534:AG534)</f>
        <v>190</v>
      </c>
      <c r="AY543" t="s">
        <v>76</v>
      </c>
      <c r="BA543">
        <f>SUM($B535:$AG535)</f>
        <v>5323</v>
      </c>
      <c r="BB543">
        <f>SUM(B535:I535)</f>
        <v>1116</v>
      </c>
      <c r="BC543">
        <f>SUM(J535:R535)</f>
        <v>1569</v>
      </c>
      <c r="BD543">
        <f>SUM(S535:X535)</f>
        <v>1003</v>
      </c>
      <c r="BE543">
        <f>SUM(Y535:AG535)</f>
        <v>1635</v>
      </c>
    </row>
    <row r="544" spans="1:57" x14ac:dyDescent="0.25">
      <c r="S544" t="s">
        <v>64</v>
      </c>
      <c r="U544">
        <f>$U543/$U542</f>
        <v>0.3526522593320236</v>
      </c>
      <c r="AA544" t="s">
        <v>65</v>
      </c>
      <c r="AC544">
        <f>AC543/AC542</f>
        <v>4.7840909090909094E-2</v>
      </c>
      <c r="AE544" t="s">
        <v>66</v>
      </c>
      <c r="AG544">
        <f>AG543/AG542</f>
        <v>0.71087072649572647</v>
      </c>
      <c r="AI544" t="s">
        <v>64</v>
      </c>
      <c r="AK544">
        <f>AK543/AK542</f>
        <v>0.3526522593320236</v>
      </c>
      <c r="AL544">
        <f t="shared" ref="AL544:AO544" si="29">AL543/AL542</f>
        <v>0.28781925343811393</v>
      </c>
      <c r="AM544">
        <f t="shared" si="29"/>
        <v>0.37371752892381577</v>
      </c>
      <c r="AN544">
        <f t="shared" si="29"/>
        <v>0.3388998035363458</v>
      </c>
      <c r="AO544">
        <f t="shared" si="29"/>
        <v>0.3983846321763807</v>
      </c>
      <c r="AQ544" t="s">
        <v>65</v>
      </c>
      <c r="AS544">
        <f>AS543/AS542</f>
        <v>4.7840909090909094E-2</v>
      </c>
      <c r="AT544">
        <f t="shared" ref="AT544:AW544" si="30">AT543/AT542</f>
        <v>2.5454545454545455E-2</v>
      </c>
      <c r="AU544">
        <f t="shared" si="30"/>
        <v>5.7777777777777775E-2</v>
      </c>
      <c r="AV544">
        <f t="shared" si="30"/>
        <v>1.9393939393939394E-2</v>
      </c>
      <c r="AW544">
        <f t="shared" si="30"/>
        <v>7.6767676767676762E-2</v>
      </c>
      <c r="AY544" t="s">
        <v>66</v>
      </c>
      <c r="BA544">
        <f>BA543/BA542</f>
        <v>0.71087072649572647</v>
      </c>
      <c r="BB544">
        <f t="shared" ref="BB544:BE544" si="31">BB543/BB542</f>
        <v>0.59615384615384615</v>
      </c>
      <c r="BC544">
        <f t="shared" si="31"/>
        <v>0.74501424501424507</v>
      </c>
      <c r="BD544">
        <f t="shared" si="31"/>
        <v>0.71438746438746437</v>
      </c>
      <c r="BE544">
        <f t="shared" si="31"/>
        <v>0.77635327635327633</v>
      </c>
    </row>
    <row r="546" spans="1:57" x14ac:dyDescent="0.25">
      <c r="A546" t="s">
        <v>37</v>
      </c>
      <c r="B546">
        <f>COUNTIF(B$3:B$511,"&gt;=23")</f>
        <v>15</v>
      </c>
      <c r="C546">
        <f t="shared" ref="C546:AG546" si="32">COUNTIF(C$3:C$511,"&gt;=23")</f>
        <v>16</v>
      </c>
      <c r="D546">
        <f t="shared" si="32"/>
        <v>12</v>
      </c>
      <c r="E546">
        <f t="shared" si="32"/>
        <v>11</v>
      </c>
      <c r="F546">
        <f t="shared" si="32"/>
        <v>3</v>
      </c>
      <c r="G546">
        <f t="shared" si="32"/>
        <v>4</v>
      </c>
      <c r="H546">
        <f t="shared" si="32"/>
        <v>0</v>
      </c>
      <c r="I546">
        <f t="shared" si="32"/>
        <v>0</v>
      </c>
      <c r="J546">
        <f t="shared" si="32"/>
        <v>95</v>
      </c>
      <c r="K546">
        <f t="shared" si="32"/>
        <v>76</v>
      </c>
      <c r="L546">
        <f t="shared" si="32"/>
        <v>108</v>
      </c>
      <c r="M546">
        <f t="shared" si="32"/>
        <v>7</v>
      </c>
      <c r="N546">
        <f t="shared" si="32"/>
        <v>13</v>
      </c>
      <c r="O546">
        <f t="shared" si="32"/>
        <v>88</v>
      </c>
      <c r="P546">
        <f t="shared" si="32"/>
        <v>56</v>
      </c>
      <c r="Q546">
        <f t="shared" si="32"/>
        <v>8</v>
      </c>
      <c r="R546">
        <f t="shared" si="32"/>
        <v>86</v>
      </c>
      <c r="S546">
        <f t="shared" si="32"/>
        <v>7</v>
      </c>
      <c r="T546">
        <f t="shared" si="32"/>
        <v>33</v>
      </c>
      <c r="U546">
        <f t="shared" si="32"/>
        <v>88</v>
      </c>
      <c r="V546">
        <f t="shared" si="32"/>
        <v>54</v>
      </c>
      <c r="W546">
        <f t="shared" si="32"/>
        <v>82</v>
      </c>
      <c r="X546">
        <f t="shared" si="32"/>
        <v>70</v>
      </c>
      <c r="Y546">
        <f t="shared" si="32"/>
        <v>144</v>
      </c>
      <c r="Z546">
        <f t="shared" si="32"/>
        <v>113</v>
      </c>
      <c r="AA546">
        <f t="shared" si="32"/>
        <v>163</v>
      </c>
      <c r="AB546">
        <f t="shared" si="32"/>
        <v>144</v>
      </c>
      <c r="AC546">
        <f t="shared" si="32"/>
        <v>97</v>
      </c>
      <c r="AD546">
        <f t="shared" si="32"/>
        <v>121</v>
      </c>
      <c r="AE546">
        <f t="shared" si="32"/>
        <v>42</v>
      </c>
      <c r="AF546">
        <f t="shared" si="32"/>
        <v>166</v>
      </c>
      <c r="AG546">
        <f t="shared" si="32"/>
        <v>150</v>
      </c>
    </row>
    <row r="547" spans="1:57" x14ac:dyDescent="0.25">
      <c r="A547" t="s">
        <v>38</v>
      </c>
      <c r="B547">
        <f>COUNTIF(B$54:B$235,"&gt;=23")</f>
        <v>0</v>
      </c>
      <c r="C547">
        <f t="shared" ref="C547:AG547" si="33">COUNTIF(C$54:C$235,"&gt;=23")</f>
        <v>0</v>
      </c>
      <c r="D547">
        <f t="shared" si="33"/>
        <v>0</v>
      </c>
      <c r="E547">
        <f t="shared" si="33"/>
        <v>0</v>
      </c>
      <c r="F547">
        <f t="shared" si="33"/>
        <v>0</v>
      </c>
      <c r="G547">
        <f t="shared" si="33"/>
        <v>0</v>
      </c>
      <c r="H547">
        <f t="shared" si="33"/>
        <v>0</v>
      </c>
      <c r="I547">
        <f t="shared" si="33"/>
        <v>0</v>
      </c>
      <c r="J547">
        <f t="shared" si="33"/>
        <v>0</v>
      </c>
      <c r="K547">
        <f t="shared" si="33"/>
        <v>0</v>
      </c>
      <c r="L547">
        <f t="shared" si="33"/>
        <v>0</v>
      </c>
      <c r="M547">
        <f t="shared" si="33"/>
        <v>0</v>
      </c>
      <c r="N547">
        <f t="shared" si="33"/>
        <v>0</v>
      </c>
      <c r="O547">
        <f t="shared" si="33"/>
        <v>0</v>
      </c>
      <c r="P547">
        <f t="shared" si="33"/>
        <v>0</v>
      </c>
      <c r="Q547">
        <f t="shared" si="33"/>
        <v>0</v>
      </c>
      <c r="R547">
        <f t="shared" si="33"/>
        <v>0</v>
      </c>
      <c r="S547">
        <f t="shared" si="33"/>
        <v>0</v>
      </c>
      <c r="T547">
        <f t="shared" si="33"/>
        <v>0</v>
      </c>
      <c r="U547">
        <f t="shared" si="33"/>
        <v>0</v>
      </c>
      <c r="V547">
        <f t="shared" si="33"/>
        <v>0</v>
      </c>
      <c r="W547">
        <f t="shared" si="33"/>
        <v>0</v>
      </c>
      <c r="X547">
        <f t="shared" si="33"/>
        <v>0</v>
      </c>
      <c r="Y547">
        <f t="shared" si="33"/>
        <v>3</v>
      </c>
      <c r="Z547">
        <f t="shared" si="33"/>
        <v>0</v>
      </c>
      <c r="AA547">
        <f t="shared" si="33"/>
        <v>3</v>
      </c>
      <c r="AB547">
        <f t="shared" si="33"/>
        <v>2</v>
      </c>
      <c r="AC547">
        <f t="shared" si="33"/>
        <v>0</v>
      </c>
      <c r="AD547">
        <f t="shared" si="33"/>
        <v>0</v>
      </c>
      <c r="AE547">
        <f t="shared" si="33"/>
        <v>0</v>
      </c>
      <c r="AF547">
        <f t="shared" si="33"/>
        <v>8</v>
      </c>
      <c r="AG547">
        <f t="shared" si="33"/>
        <v>2</v>
      </c>
      <c r="AH547" t="s">
        <v>139</v>
      </c>
    </row>
    <row r="548" spans="1:57" x14ac:dyDescent="0.25">
      <c r="A548" t="s">
        <v>39</v>
      </c>
      <c r="B548">
        <f>COUNTIF(B$419:B$511,"&gt;=23")</f>
        <v>0</v>
      </c>
      <c r="C548">
        <f t="shared" ref="C548:AG548" si="34">COUNTIF(C$419:C$511,"&gt;=23")</f>
        <v>0</v>
      </c>
      <c r="D548">
        <f t="shared" si="34"/>
        <v>0</v>
      </c>
      <c r="E548">
        <f t="shared" si="34"/>
        <v>0</v>
      </c>
      <c r="F548">
        <f t="shared" si="34"/>
        <v>0</v>
      </c>
      <c r="G548">
        <f t="shared" si="34"/>
        <v>0</v>
      </c>
      <c r="H548">
        <f t="shared" si="34"/>
        <v>0</v>
      </c>
      <c r="I548">
        <f t="shared" si="34"/>
        <v>0</v>
      </c>
      <c r="J548">
        <f t="shared" si="34"/>
        <v>0</v>
      </c>
      <c r="K548">
        <f t="shared" si="34"/>
        <v>0</v>
      </c>
      <c r="L548">
        <f t="shared" si="34"/>
        <v>0</v>
      </c>
      <c r="M548">
        <f t="shared" si="34"/>
        <v>0</v>
      </c>
      <c r="N548">
        <f t="shared" si="34"/>
        <v>0</v>
      </c>
      <c r="O548">
        <f t="shared" si="34"/>
        <v>0</v>
      </c>
      <c r="P548">
        <f t="shared" si="34"/>
        <v>0</v>
      </c>
      <c r="Q548">
        <f t="shared" si="34"/>
        <v>0</v>
      </c>
      <c r="R548">
        <f t="shared" si="34"/>
        <v>0</v>
      </c>
      <c r="S548">
        <f t="shared" si="34"/>
        <v>0</v>
      </c>
      <c r="T548">
        <f t="shared" si="34"/>
        <v>0</v>
      </c>
      <c r="U548">
        <f t="shared" si="34"/>
        <v>0</v>
      </c>
      <c r="V548">
        <f t="shared" si="34"/>
        <v>0</v>
      </c>
      <c r="W548">
        <f t="shared" si="34"/>
        <v>0</v>
      </c>
      <c r="X548">
        <f t="shared" si="34"/>
        <v>0</v>
      </c>
      <c r="Y548">
        <f t="shared" si="34"/>
        <v>0</v>
      </c>
      <c r="Z548">
        <f t="shared" si="34"/>
        <v>0</v>
      </c>
      <c r="AA548">
        <f t="shared" si="34"/>
        <v>0</v>
      </c>
      <c r="AB548">
        <f t="shared" si="34"/>
        <v>0</v>
      </c>
      <c r="AC548">
        <f t="shared" si="34"/>
        <v>0</v>
      </c>
      <c r="AD548">
        <f t="shared" si="34"/>
        <v>0</v>
      </c>
      <c r="AE548">
        <f t="shared" si="34"/>
        <v>0</v>
      </c>
      <c r="AF548">
        <f t="shared" si="34"/>
        <v>0</v>
      </c>
      <c r="AG548">
        <f t="shared" si="34"/>
        <v>0</v>
      </c>
      <c r="AH548" t="s">
        <v>140</v>
      </c>
    </row>
    <row r="549" spans="1:57" x14ac:dyDescent="0.25">
      <c r="A549" t="s">
        <v>40</v>
      </c>
      <c r="B549">
        <f>COUNTIF(B$3:B$53,"&gt;=23")</f>
        <v>15</v>
      </c>
      <c r="C549">
        <f t="shared" ref="C549:AG549" si="35">COUNTIF(C$3:C$53,"&gt;=23")</f>
        <v>14</v>
      </c>
      <c r="D549">
        <f t="shared" si="35"/>
        <v>12</v>
      </c>
      <c r="E549">
        <f t="shared" si="35"/>
        <v>11</v>
      </c>
      <c r="F549">
        <f t="shared" si="35"/>
        <v>3</v>
      </c>
      <c r="G549">
        <f t="shared" si="35"/>
        <v>4</v>
      </c>
      <c r="H549">
        <f t="shared" si="35"/>
        <v>0</v>
      </c>
      <c r="I549">
        <f t="shared" si="35"/>
        <v>0</v>
      </c>
      <c r="J549">
        <f t="shared" si="35"/>
        <v>26</v>
      </c>
      <c r="K549">
        <f t="shared" si="35"/>
        <v>19</v>
      </c>
      <c r="L549">
        <f t="shared" si="35"/>
        <v>30</v>
      </c>
      <c r="M549">
        <f t="shared" si="35"/>
        <v>7</v>
      </c>
      <c r="N549">
        <f t="shared" si="35"/>
        <v>13</v>
      </c>
      <c r="O549">
        <f t="shared" si="35"/>
        <v>24</v>
      </c>
      <c r="P549">
        <f t="shared" si="35"/>
        <v>16</v>
      </c>
      <c r="Q549">
        <f t="shared" si="35"/>
        <v>8</v>
      </c>
      <c r="R549">
        <f t="shared" si="35"/>
        <v>26</v>
      </c>
      <c r="S549">
        <f t="shared" si="35"/>
        <v>6</v>
      </c>
      <c r="T549">
        <f t="shared" si="35"/>
        <v>15</v>
      </c>
      <c r="U549">
        <f t="shared" si="35"/>
        <v>10</v>
      </c>
      <c r="V549">
        <f t="shared" si="35"/>
        <v>14</v>
      </c>
      <c r="W549">
        <f t="shared" si="35"/>
        <v>8</v>
      </c>
      <c r="X549">
        <f t="shared" si="35"/>
        <v>13</v>
      </c>
      <c r="Y549">
        <f t="shared" si="35"/>
        <v>42</v>
      </c>
      <c r="Z549">
        <f t="shared" si="35"/>
        <v>21</v>
      </c>
      <c r="AA549">
        <f t="shared" si="35"/>
        <v>47</v>
      </c>
      <c r="AB549">
        <f t="shared" si="35"/>
        <v>43</v>
      </c>
      <c r="AC549">
        <f t="shared" si="35"/>
        <v>35</v>
      </c>
      <c r="AD549">
        <f t="shared" si="35"/>
        <v>34</v>
      </c>
      <c r="AE549">
        <f t="shared" si="35"/>
        <v>34</v>
      </c>
      <c r="AF549">
        <f t="shared" si="35"/>
        <v>51</v>
      </c>
      <c r="AG549">
        <f t="shared" si="35"/>
        <v>45</v>
      </c>
      <c r="AH549" t="s">
        <v>141</v>
      </c>
    </row>
    <row r="550" spans="1:57" x14ac:dyDescent="0.25">
      <c r="A550" t="s">
        <v>41</v>
      </c>
      <c r="B550">
        <f>COUNTIF(B$236:B$418,"&gt;=23")</f>
        <v>0</v>
      </c>
      <c r="C550">
        <f t="shared" ref="C550:AG550" si="36">COUNTIF(C$236:C$418,"&gt;=23")</f>
        <v>2</v>
      </c>
      <c r="D550">
        <f t="shared" si="36"/>
        <v>0</v>
      </c>
      <c r="E550">
        <f t="shared" si="36"/>
        <v>0</v>
      </c>
      <c r="F550">
        <f t="shared" si="36"/>
        <v>0</v>
      </c>
      <c r="G550">
        <f t="shared" si="36"/>
        <v>0</v>
      </c>
      <c r="H550">
        <f t="shared" si="36"/>
        <v>0</v>
      </c>
      <c r="I550">
        <f t="shared" si="36"/>
        <v>0</v>
      </c>
      <c r="J550">
        <f t="shared" si="36"/>
        <v>69</v>
      </c>
      <c r="K550">
        <f t="shared" si="36"/>
        <v>57</v>
      </c>
      <c r="L550">
        <f t="shared" si="36"/>
        <v>78</v>
      </c>
      <c r="M550">
        <f t="shared" si="36"/>
        <v>0</v>
      </c>
      <c r="N550">
        <f t="shared" si="36"/>
        <v>0</v>
      </c>
      <c r="O550">
        <f t="shared" si="36"/>
        <v>64</v>
      </c>
      <c r="P550">
        <f t="shared" si="36"/>
        <v>40</v>
      </c>
      <c r="Q550">
        <f t="shared" si="36"/>
        <v>0</v>
      </c>
      <c r="R550">
        <f t="shared" si="36"/>
        <v>60</v>
      </c>
      <c r="S550">
        <f t="shared" si="36"/>
        <v>1</v>
      </c>
      <c r="T550">
        <f t="shared" si="36"/>
        <v>18</v>
      </c>
      <c r="U550">
        <f t="shared" si="36"/>
        <v>78</v>
      </c>
      <c r="V550">
        <f t="shared" si="36"/>
        <v>40</v>
      </c>
      <c r="W550">
        <f t="shared" si="36"/>
        <v>74</v>
      </c>
      <c r="X550">
        <f t="shared" si="36"/>
        <v>57</v>
      </c>
      <c r="Y550">
        <f t="shared" si="36"/>
        <v>99</v>
      </c>
      <c r="Z550">
        <f t="shared" si="36"/>
        <v>92</v>
      </c>
      <c r="AA550">
        <f t="shared" si="36"/>
        <v>113</v>
      </c>
      <c r="AB550">
        <f t="shared" si="36"/>
        <v>99</v>
      </c>
      <c r="AC550">
        <f t="shared" si="36"/>
        <v>62</v>
      </c>
      <c r="AD550">
        <f t="shared" si="36"/>
        <v>87</v>
      </c>
      <c r="AE550">
        <f t="shared" si="36"/>
        <v>8</v>
      </c>
      <c r="AF550">
        <f t="shared" si="36"/>
        <v>107</v>
      </c>
      <c r="AG550">
        <f t="shared" si="36"/>
        <v>103</v>
      </c>
      <c r="AH550" t="s">
        <v>142</v>
      </c>
    </row>
    <row r="551" spans="1:57" x14ac:dyDescent="0.25">
      <c r="A551" t="s">
        <v>42</v>
      </c>
      <c r="B551">
        <f>SUM(B547,B548)</f>
        <v>0</v>
      </c>
      <c r="C551">
        <f t="shared" ref="C551:AG551" si="37">SUM(C547,C548)</f>
        <v>0</v>
      </c>
      <c r="D551">
        <f t="shared" si="37"/>
        <v>0</v>
      </c>
      <c r="E551">
        <f t="shared" si="37"/>
        <v>0</v>
      </c>
      <c r="F551">
        <f t="shared" si="37"/>
        <v>0</v>
      </c>
      <c r="G551">
        <f t="shared" si="37"/>
        <v>0</v>
      </c>
      <c r="H551">
        <f t="shared" si="37"/>
        <v>0</v>
      </c>
      <c r="I551">
        <f t="shared" si="37"/>
        <v>0</v>
      </c>
      <c r="J551">
        <f t="shared" si="37"/>
        <v>0</v>
      </c>
      <c r="K551">
        <f t="shared" si="37"/>
        <v>0</v>
      </c>
      <c r="L551">
        <f t="shared" si="37"/>
        <v>0</v>
      </c>
      <c r="M551">
        <f t="shared" si="37"/>
        <v>0</v>
      </c>
      <c r="N551">
        <f t="shared" si="37"/>
        <v>0</v>
      </c>
      <c r="O551">
        <f t="shared" si="37"/>
        <v>0</v>
      </c>
      <c r="P551">
        <f t="shared" si="37"/>
        <v>0</v>
      </c>
      <c r="Q551">
        <f t="shared" si="37"/>
        <v>0</v>
      </c>
      <c r="R551">
        <f t="shared" si="37"/>
        <v>0</v>
      </c>
      <c r="S551">
        <f t="shared" si="37"/>
        <v>0</v>
      </c>
      <c r="T551">
        <f t="shared" si="37"/>
        <v>0</v>
      </c>
      <c r="U551">
        <f t="shared" si="37"/>
        <v>0</v>
      </c>
      <c r="V551">
        <f t="shared" si="37"/>
        <v>0</v>
      </c>
      <c r="W551">
        <f t="shared" si="37"/>
        <v>0</v>
      </c>
      <c r="X551">
        <f t="shared" si="37"/>
        <v>0</v>
      </c>
      <c r="Y551">
        <f t="shared" si="37"/>
        <v>3</v>
      </c>
      <c r="Z551">
        <f t="shared" si="37"/>
        <v>0</v>
      </c>
      <c r="AA551">
        <f t="shared" si="37"/>
        <v>3</v>
      </c>
      <c r="AB551">
        <f t="shared" si="37"/>
        <v>2</v>
      </c>
      <c r="AC551">
        <f t="shared" si="37"/>
        <v>0</v>
      </c>
      <c r="AD551">
        <f t="shared" si="37"/>
        <v>0</v>
      </c>
      <c r="AE551">
        <f t="shared" si="37"/>
        <v>0</v>
      </c>
      <c r="AF551">
        <f t="shared" si="37"/>
        <v>8</v>
      </c>
      <c r="AG551">
        <f t="shared" si="37"/>
        <v>2</v>
      </c>
    </row>
    <row r="552" spans="1:57" x14ac:dyDescent="0.25">
      <c r="A552" t="s">
        <v>43</v>
      </c>
      <c r="B552">
        <f>SUM(B549,B550)</f>
        <v>15</v>
      </c>
      <c r="C552">
        <f t="shared" ref="C552:AG552" si="38">SUM(C549,C550)</f>
        <v>16</v>
      </c>
      <c r="D552">
        <f t="shared" si="38"/>
        <v>12</v>
      </c>
      <c r="E552">
        <f t="shared" si="38"/>
        <v>11</v>
      </c>
      <c r="F552">
        <f t="shared" si="38"/>
        <v>3</v>
      </c>
      <c r="G552">
        <f t="shared" si="38"/>
        <v>4</v>
      </c>
      <c r="H552">
        <f t="shared" si="38"/>
        <v>0</v>
      </c>
      <c r="I552">
        <f t="shared" si="38"/>
        <v>0</v>
      </c>
      <c r="J552">
        <f t="shared" si="38"/>
        <v>95</v>
      </c>
      <c r="K552">
        <f t="shared" si="38"/>
        <v>76</v>
      </c>
      <c r="L552">
        <f t="shared" si="38"/>
        <v>108</v>
      </c>
      <c r="M552">
        <f t="shared" si="38"/>
        <v>7</v>
      </c>
      <c r="N552">
        <f t="shared" si="38"/>
        <v>13</v>
      </c>
      <c r="O552">
        <f t="shared" si="38"/>
        <v>88</v>
      </c>
      <c r="P552">
        <f t="shared" si="38"/>
        <v>56</v>
      </c>
      <c r="Q552">
        <f t="shared" si="38"/>
        <v>8</v>
      </c>
      <c r="R552">
        <f t="shared" si="38"/>
        <v>86</v>
      </c>
      <c r="S552">
        <f t="shared" si="38"/>
        <v>7</v>
      </c>
      <c r="T552">
        <f t="shared" si="38"/>
        <v>33</v>
      </c>
      <c r="U552">
        <f t="shared" si="38"/>
        <v>88</v>
      </c>
      <c r="V552">
        <f t="shared" si="38"/>
        <v>54</v>
      </c>
      <c r="W552">
        <f t="shared" si="38"/>
        <v>82</v>
      </c>
      <c r="X552">
        <f t="shared" si="38"/>
        <v>70</v>
      </c>
      <c r="Y552">
        <f t="shared" si="38"/>
        <v>141</v>
      </c>
      <c r="Z552">
        <f t="shared" si="38"/>
        <v>113</v>
      </c>
      <c r="AA552">
        <f t="shared" si="38"/>
        <v>160</v>
      </c>
      <c r="AB552">
        <f t="shared" si="38"/>
        <v>142</v>
      </c>
      <c r="AC552">
        <f t="shared" si="38"/>
        <v>97</v>
      </c>
      <c r="AD552">
        <f t="shared" si="38"/>
        <v>121</v>
      </c>
      <c r="AE552">
        <f t="shared" si="38"/>
        <v>42</v>
      </c>
      <c r="AF552">
        <f t="shared" si="38"/>
        <v>158</v>
      </c>
      <c r="AG552">
        <f t="shared" si="38"/>
        <v>148</v>
      </c>
    </row>
    <row r="555" spans="1:57" x14ac:dyDescent="0.25">
      <c r="D555" t="s">
        <v>72</v>
      </c>
      <c r="F555" t="s">
        <v>79</v>
      </c>
      <c r="S555" t="s">
        <v>95</v>
      </c>
      <c r="AA555" t="s">
        <v>95</v>
      </c>
      <c r="AE555" t="s">
        <v>95</v>
      </c>
      <c r="AI555" t="s">
        <v>95</v>
      </c>
      <c r="AQ555" t="s">
        <v>95</v>
      </c>
      <c r="AY555" t="s">
        <v>95</v>
      </c>
    </row>
    <row r="556" spans="1:57" x14ac:dyDescent="0.25">
      <c r="F556" t="s">
        <v>45</v>
      </c>
      <c r="S556" t="s">
        <v>46</v>
      </c>
      <c r="AA556" t="s">
        <v>47</v>
      </c>
      <c r="AE556" t="s">
        <v>48</v>
      </c>
      <c r="AI556" t="s">
        <v>46</v>
      </c>
      <c r="AK556" t="s">
        <v>49</v>
      </c>
      <c r="AL556" t="s">
        <v>33</v>
      </c>
      <c r="AM556" t="s">
        <v>34</v>
      </c>
      <c r="AN556" t="s">
        <v>35</v>
      </c>
      <c r="AO556" t="s">
        <v>36</v>
      </c>
      <c r="AQ556" t="s">
        <v>47</v>
      </c>
      <c r="AS556" t="s">
        <v>49</v>
      </c>
      <c r="AT556" t="s">
        <v>33</v>
      </c>
      <c r="AU556" t="s">
        <v>34</v>
      </c>
      <c r="AV556" t="s">
        <v>35</v>
      </c>
      <c r="AW556" t="s">
        <v>36</v>
      </c>
      <c r="AY556" t="s">
        <v>48</v>
      </c>
      <c r="BA556" t="s">
        <v>49</v>
      </c>
      <c r="BB556" t="s">
        <v>33</v>
      </c>
      <c r="BC556" t="s">
        <v>34</v>
      </c>
      <c r="BD556" t="s">
        <v>35</v>
      </c>
      <c r="BE556" t="s">
        <v>36</v>
      </c>
    </row>
    <row r="557" spans="1:57" x14ac:dyDescent="0.25">
      <c r="F557" t="s">
        <v>50</v>
      </c>
      <c r="M557" t="s">
        <v>51</v>
      </c>
      <c r="S557" t="s">
        <v>52</v>
      </c>
      <c r="U557">
        <f>COUNTIF(B35:AG35,"&lt;&gt;")</f>
        <v>32</v>
      </c>
      <c r="AA557" t="s">
        <v>52</v>
      </c>
      <c r="AC557">
        <f>COUNTIF(B35:AG35,"&lt;&gt;")</f>
        <v>32</v>
      </c>
      <c r="AE557" t="s">
        <v>52</v>
      </c>
      <c r="AG557">
        <f>COUNTIF(B35:AG35,"&lt;&gt;")</f>
        <v>32</v>
      </c>
      <c r="AI557" t="s">
        <v>52</v>
      </c>
      <c r="AK557">
        <f>COUNTIF($B$2:$AG$2,"&lt;&gt;")</f>
        <v>32</v>
      </c>
      <c r="AL557">
        <f>COUNTIF($B$2:$I$2,"&lt;&gt;")</f>
        <v>8</v>
      </c>
      <c r="AM557">
        <f>COUNTIF($J$2:$R$2,"&lt;&gt;")</f>
        <v>9</v>
      </c>
      <c r="AN557">
        <f>COUNTIF($S$2:$X$2,"&lt;&gt;")</f>
        <v>6</v>
      </c>
      <c r="AO557">
        <f>COUNTIF($Y$2:$AG$2,"&lt;&gt;")</f>
        <v>9</v>
      </c>
      <c r="AQ557" t="s">
        <v>52</v>
      </c>
      <c r="AS557">
        <f>COUNTIF($B$2:$AG$2,"&lt;&gt;")</f>
        <v>32</v>
      </c>
      <c r="AT557">
        <f>COUNTIF($B$2:$I$2,"&lt;&gt;")</f>
        <v>8</v>
      </c>
      <c r="AU557">
        <f>COUNTIF($J$2:$R$2,"&lt;&gt;")</f>
        <v>9</v>
      </c>
      <c r="AV557">
        <f>COUNTIF($S$2:$X$2,"&lt;&gt;")</f>
        <v>6</v>
      </c>
      <c r="AW557">
        <f>COUNTIF($Y$2:$AG$2,"&lt;&gt;")</f>
        <v>9</v>
      </c>
      <c r="AY557" t="s">
        <v>52</v>
      </c>
      <c r="BA557">
        <f>COUNTIF($B$2:$AG$2,"&lt;&gt;")</f>
        <v>32</v>
      </c>
      <c r="BB557">
        <f>COUNTIF($B$2:$I$2,"&lt;&gt;")</f>
        <v>8</v>
      </c>
      <c r="BC557">
        <f>COUNTIF($J$2:$R$2,"&lt;&gt;")</f>
        <v>9</v>
      </c>
      <c r="BD557">
        <f>COUNTIF($S$2:$X$2,"&lt;&gt;")</f>
        <v>6</v>
      </c>
      <c r="BE557">
        <f>COUNTIF($Y$2:$AG$2,"&lt;&gt;")</f>
        <v>9</v>
      </c>
    </row>
    <row r="558" spans="1:57" x14ac:dyDescent="0.25">
      <c r="F558" t="s">
        <v>53</v>
      </c>
      <c r="H558" t="s">
        <v>134</v>
      </c>
      <c r="J558">
        <f>COUNTIF($B$54:$B$235,"&lt;&gt;")</f>
        <v>182</v>
      </c>
      <c r="M558" t="s">
        <v>54</v>
      </c>
      <c r="S558" t="s">
        <v>55</v>
      </c>
      <c r="U558">
        <f>COUNTIF($A$3:$A$511,"&lt;&gt;")</f>
        <v>509</v>
      </c>
      <c r="AA558" t="s">
        <v>55</v>
      </c>
      <c r="AC558">
        <f>SUM($J$524:$J$525)</f>
        <v>275</v>
      </c>
      <c r="AE558" t="s">
        <v>55</v>
      </c>
      <c r="AG558">
        <f>SUM($Q$525:$Q$526)</f>
        <v>234</v>
      </c>
      <c r="AI558" t="s">
        <v>55</v>
      </c>
      <c r="AK558">
        <f>COUNTIF($A$3:$A$511,"&lt;&gt;")</f>
        <v>509</v>
      </c>
      <c r="AL558">
        <f t="shared" ref="AL558:AO558" si="39">COUNTIF($A$3:$A$511,"&lt;&gt;")</f>
        <v>509</v>
      </c>
      <c r="AM558">
        <f t="shared" si="39"/>
        <v>509</v>
      </c>
      <c r="AN558">
        <f t="shared" si="39"/>
        <v>509</v>
      </c>
      <c r="AO558">
        <f t="shared" si="39"/>
        <v>509</v>
      </c>
      <c r="AQ558" t="s">
        <v>55</v>
      </c>
      <c r="AS558">
        <f>SUM($J$524:$J$525)</f>
        <v>275</v>
      </c>
      <c r="AT558">
        <f t="shared" ref="AT558:AW558" si="40">SUM($J$524:$J$525)</f>
        <v>275</v>
      </c>
      <c r="AU558">
        <f t="shared" si="40"/>
        <v>275</v>
      </c>
      <c r="AV558">
        <f t="shared" si="40"/>
        <v>275</v>
      </c>
      <c r="AW558">
        <f t="shared" si="40"/>
        <v>275</v>
      </c>
      <c r="AY558" t="s">
        <v>55</v>
      </c>
      <c r="BA558">
        <f>SUM($Q$525:$Q$526)</f>
        <v>234</v>
      </c>
      <c r="BB558">
        <f t="shared" ref="BB558:BE558" si="41">SUM($Q$525:$Q$526)</f>
        <v>234</v>
      </c>
      <c r="BC558">
        <f t="shared" si="41"/>
        <v>234</v>
      </c>
      <c r="BD558">
        <f t="shared" si="41"/>
        <v>234</v>
      </c>
      <c r="BE558">
        <f t="shared" si="41"/>
        <v>234</v>
      </c>
    </row>
    <row r="559" spans="1:57" x14ac:dyDescent="0.25">
      <c r="F559" t="s">
        <v>56</v>
      </c>
      <c r="H559" t="s">
        <v>135</v>
      </c>
      <c r="J559">
        <f>COUNTIF($B$419:$B$511,"&lt;&gt;")</f>
        <v>93</v>
      </c>
      <c r="M559" t="s">
        <v>57</v>
      </c>
      <c r="O559" t="s">
        <v>137</v>
      </c>
      <c r="Q559">
        <f>COUNTIF($B$3:$B$53,"&lt;&gt;")</f>
        <v>51</v>
      </c>
      <c r="S559" t="s">
        <v>58</v>
      </c>
      <c r="U559">
        <f>U558*U557</f>
        <v>16288</v>
      </c>
      <c r="V559" t="s">
        <v>59</v>
      </c>
      <c r="AA559" t="s">
        <v>58</v>
      </c>
      <c r="AC559">
        <f>AC558*AC557</f>
        <v>8800</v>
      </c>
      <c r="AE559" t="s">
        <v>58</v>
      </c>
      <c r="AG559">
        <f>AG557*AG558</f>
        <v>7488</v>
      </c>
      <c r="AI559" t="s">
        <v>58</v>
      </c>
      <c r="AK559">
        <f>AK558*AK557</f>
        <v>16288</v>
      </c>
      <c r="AL559">
        <f t="shared" ref="AL559:AO559" si="42">AL558*AL557</f>
        <v>4072</v>
      </c>
      <c r="AM559">
        <f t="shared" si="42"/>
        <v>4581</v>
      </c>
      <c r="AN559">
        <f t="shared" si="42"/>
        <v>3054</v>
      </c>
      <c r="AO559">
        <f t="shared" si="42"/>
        <v>4581</v>
      </c>
      <c r="AQ559" t="s">
        <v>58</v>
      </c>
      <c r="AS559">
        <f>AS558*AS557</f>
        <v>8800</v>
      </c>
      <c r="AT559">
        <f t="shared" ref="AT559:AW559" si="43">AT558*AT557</f>
        <v>2200</v>
      </c>
      <c r="AU559">
        <f t="shared" si="43"/>
        <v>2475</v>
      </c>
      <c r="AV559">
        <f t="shared" si="43"/>
        <v>1650</v>
      </c>
      <c r="AW559">
        <f t="shared" si="43"/>
        <v>2475</v>
      </c>
      <c r="AY559" t="s">
        <v>58</v>
      </c>
      <c r="BA559">
        <f>BA558*BA557</f>
        <v>7488</v>
      </c>
      <c r="BB559">
        <f t="shared" ref="BB559:BE559" si="44">BB558*BB557</f>
        <v>1872</v>
      </c>
      <c r="BC559">
        <f t="shared" si="44"/>
        <v>2106</v>
      </c>
      <c r="BD559">
        <f t="shared" si="44"/>
        <v>1404</v>
      </c>
      <c r="BE559">
        <f t="shared" si="44"/>
        <v>2106</v>
      </c>
    </row>
    <row r="560" spans="1:57" x14ac:dyDescent="0.25">
      <c r="F560" t="s">
        <v>60</v>
      </c>
      <c r="H560" t="s">
        <v>136</v>
      </c>
      <c r="J560">
        <f>COUNTIF($A$737:$A$798,"&lt;&gt;")</f>
        <v>0</v>
      </c>
      <c r="M560" t="s">
        <v>61</v>
      </c>
      <c r="O560" t="s">
        <v>138</v>
      </c>
      <c r="Q560">
        <f>COUNTIF($B$236:$B$418,"&lt;&gt;")</f>
        <v>183</v>
      </c>
      <c r="S560" t="s">
        <v>80</v>
      </c>
      <c r="U560">
        <f>SUM(B546:AG546)</f>
        <v>2072</v>
      </c>
      <c r="V560" t="s">
        <v>63</v>
      </c>
      <c r="AA560" t="s">
        <v>80</v>
      </c>
      <c r="AC560">
        <f>SUM(B551:AG551)</f>
        <v>18</v>
      </c>
      <c r="AE560" t="s">
        <v>80</v>
      </c>
      <c r="AG560">
        <f>SUM(B552:AG552)</f>
        <v>2054</v>
      </c>
      <c r="AI560" t="s">
        <v>80</v>
      </c>
      <c r="AK560">
        <f>SUM(B546:AG546)</f>
        <v>2072</v>
      </c>
      <c r="AL560">
        <f>SUM(B546:I546)</f>
        <v>61</v>
      </c>
      <c r="AM560">
        <f>SUM(J546:R546)</f>
        <v>537</v>
      </c>
      <c r="AN560">
        <f>SUM(S546:X546)</f>
        <v>334</v>
      </c>
      <c r="AO560">
        <f>SUM(Y546:AG546)</f>
        <v>1140</v>
      </c>
      <c r="AQ560" t="s">
        <v>80</v>
      </c>
      <c r="AS560">
        <f>SUM(B551:AG551)</f>
        <v>18</v>
      </c>
      <c r="AT560">
        <f>SUM(B551:I551)</f>
        <v>0</v>
      </c>
      <c r="AU560">
        <f>SUM(J551:R551)</f>
        <v>0</v>
      </c>
      <c r="AV560">
        <f>SUM(S551:X551)</f>
        <v>0</v>
      </c>
      <c r="AW560">
        <f>SUM(Y551:AG551)</f>
        <v>18</v>
      </c>
      <c r="AY560" t="s">
        <v>80</v>
      </c>
      <c r="BA560">
        <f>SUM($B552:$AG552)</f>
        <v>2054</v>
      </c>
      <c r="BB560">
        <f>SUM(B552:I552)</f>
        <v>61</v>
      </c>
      <c r="BC560">
        <f>SUM(J552:R552)</f>
        <v>537</v>
      </c>
      <c r="BD560">
        <f>SUM(S552:X552)</f>
        <v>334</v>
      </c>
      <c r="BE560">
        <f>SUM(Y552:AG552)</f>
        <v>1122</v>
      </c>
    </row>
    <row r="561" spans="1:57" x14ac:dyDescent="0.25">
      <c r="S561" t="s">
        <v>64</v>
      </c>
      <c r="U561">
        <f>$U560/$U559</f>
        <v>0.12721021611001965</v>
      </c>
      <c r="AA561" t="s">
        <v>65</v>
      </c>
      <c r="AC561">
        <f>AC560/AC559</f>
        <v>2.0454545454545456E-3</v>
      </c>
      <c r="AE561" t="s">
        <v>66</v>
      </c>
      <c r="AG561">
        <f>AG560/AG559</f>
        <v>0.27430555555555558</v>
      </c>
      <c r="AI561" t="s">
        <v>64</v>
      </c>
      <c r="AK561">
        <f>AK560/AK559</f>
        <v>0.12721021611001965</v>
      </c>
      <c r="AL561">
        <f t="shared" ref="AL561:AO561" si="45">AL560/AL559</f>
        <v>1.4980353634577602E-2</v>
      </c>
      <c r="AM561">
        <f t="shared" si="45"/>
        <v>0.11722331368696791</v>
      </c>
      <c r="AN561">
        <f t="shared" si="45"/>
        <v>0.10936476751800916</v>
      </c>
      <c r="AO561">
        <f t="shared" si="45"/>
        <v>0.24885396201702684</v>
      </c>
      <c r="AQ561" t="s">
        <v>65</v>
      </c>
      <c r="AS561">
        <f>AS560/AS559</f>
        <v>2.0454545454545456E-3</v>
      </c>
      <c r="AT561">
        <f t="shared" ref="AT561:AW561" si="46">AT560/AT559</f>
        <v>0</v>
      </c>
      <c r="AU561">
        <f t="shared" si="46"/>
        <v>0</v>
      </c>
      <c r="AV561">
        <f t="shared" si="46"/>
        <v>0</v>
      </c>
      <c r="AW561">
        <f t="shared" si="46"/>
        <v>7.2727272727272727E-3</v>
      </c>
      <c r="AY561" t="s">
        <v>66</v>
      </c>
      <c r="BA561">
        <f>BA560/BA559</f>
        <v>0.27430555555555558</v>
      </c>
      <c r="BB561">
        <f t="shared" ref="BB561:BE561" si="47">BB560/BB559</f>
        <v>3.2585470085470088E-2</v>
      </c>
      <c r="BC561">
        <f t="shared" si="47"/>
        <v>0.25498575498575499</v>
      </c>
      <c r="BD561">
        <f t="shared" si="47"/>
        <v>0.2378917378917379</v>
      </c>
      <c r="BE561">
        <f t="shared" si="47"/>
        <v>0.53276353276353272</v>
      </c>
    </row>
    <row r="563" spans="1:57" x14ac:dyDescent="0.25">
      <c r="A563" t="s">
        <v>37</v>
      </c>
      <c r="B563">
        <f>COUNTIF(B$3:B$511,"&gt;=18.42")</f>
        <v>214</v>
      </c>
      <c r="C563">
        <f t="shared" ref="C563:AG563" si="48">COUNTIF(C$3:C$511,"&gt;=18.42")</f>
        <v>221</v>
      </c>
      <c r="D563">
        <f t="shared" si="48"/>
        <v>211</v>
      </c>
      <c r="E563">
        <f t="shared" si="48"/>
        <v>211</v>
      </c>
      <c r="F563">
        <f t="shared" si="48"/>
        <v>215</v>
      </c>
      <c r="G563">
        <f t="shared" si="48"/>
        <v>217</v>
      </c>
      <c r="H563">
        <f t="shared" si="48"/>
        <v>202</v>
      </c>
      <c r="I563">
        <f t="shared" si="48"/>
        <v>189</v>
      </c>
      <c r="J563">
        <f t="shared" si="48"/>
        <v>229</v>
      </c>
      <c r="K563">
        <f t="shared" si="48"/>
        <v>237</v>
      </c>
      <c r="L563">
        <f t="shared" si="48"/>
        <v>240</v>
      </c>
      <c r="M563">
        <f t="shared" si="48"/>
        <v>218</v>
      </c>
      <c r="N563">
        <f t="shared" si="48"/>
        <v>227</v>
      </c>
      <c r="O563">
        <f t="shared" si="48"/>
        <v>237</v>
      </c>
      <c r="P563">
        <f t="shared" si="48"/>
        <v>236</v>
      </c>
      <c r="Q563">
        <f t="shared" si="48"/>
        <v>218</v>
      </c>
      <c r="R563">
        <f t="shared" si="48"/>
        <v>237</v>
      </c>
      <c r="S563">
        <f t="shared" si="48"/>
        <v>169</v>
      </c>
      <c r="T563">
        <f t="shared" si="48"/>
        <v>230</v>
      </c>
      <c r="U563">
        <f t="shared" si="48"/>
        <v>235</v>
      </c>
      <c r="V563">
        <f t="shared" si="48"/>
        <v>230</v>
      </c>
      <c r="W563">
        <f t="shared" si="48"/>
        <v>224</v>
      </c>
      <c r="X563">
        <f t="shared" si="48"/>
        <v>232</v>
      </c>
      <c r="Y563">
        <f t="shared" si="48"/>
        <v>231</v>
      </c>
      <c r="Z563">
        <f t="shared" si="48"/>
        <v>242</v>
      </c>
      <c r="AA563">
        <f t="shared" si="48"/>
        <v>250</v>
      </c>
      <c r="AB563">
        <f t="shared" si="48"/>
        <v>235</v>
      </c>
      <c r="AC563">
        <f t="shared" si="48"/>
        <v>207</v>
      </c>
      <c r="AD563">
        <f t="shared" si="48"/>
        <v>243</v>
      </c>
      <c r="AE563">
        <f t="shared" si="48"/>
        <v>230</v>
      </c>
      <c r="AF563">
        <f t="shared" si="48"/>
        <v>241</v>
      </c>
      <c r="AG563">
        <f t="shared" si="48"/>
        <v>245</v>
      </c>
    </row>
    <row r="564" spans="1:57" x14ac:dyDescent="0.25">
      <c r="A564" t="s">
        <v>38</v>
      </c>
      <c r="B564">
        <f>COUNTIF(B$54:B$235,"&gt;=18.42")</f>
        <v>23</v>
      </c>
      <c r="C564">
        <f t="shared" ref="C564:AG564" si="49">COUNTIF(C$54:C$235,"&gt;=18.42")</f>
        <v>24</v>
      </c>
      <c r="D564">
        <f t="shared" si="49"/>
        <v>24</v>
      </c>
      <c r="E564">
        <f t="shared" si="49"/>
        <v>23</v>
      </c>
      <c r="F564">
        <f t="shared" si="49"/>
        <v>24</v>
      </c>
      <c r="G564">
        <f t="shared" si="49"/>
        <v>24</v>
      </c>
      <c r="H564">
        <f t="shared" si="49"/>
        <v>23</v>
      </c>
      <c r="I564">
        <f t="shared" si="49"/>
        <v>12</v>
      </c>
      <c r="J564">
        <f t="shared" si="49"/>
        <v>23</v>
      </c>
      <c r="K564">
        <f t="shared" si="49"/>
        <v>25</v>
      </c>
      <c r="L564">
        <f t="shared" si="49"/>
        <v>25</v>
      </c>
      <c r="M564">
        <f t="shared" si="49"/>
        <v>24</v>
      </c>
      <c r="N564">
        <f t="shared" si="49"/>
        <v>24</v>
      </c>
      <c r="O564">
        <f t="shared" si="49"/>
        <v>25</v>
      </c>
      <c r="P564">
        <f t="shared" si="49"/>
        <v>25</v>
      </c>
      <c r="Q564">
        <f t="shared" si="49"/>
        <v>25</v>
      </c>
      <c r="R564">
        <f t="shared" si="49"/>
        <v>25</v>
      </c>
      <c r="S564">
        <f t="shared" si="49"/>
        <v>6</v>
      </c>
      <c r="T564">
        <f t="shared" si="49"/>
        <v>23</v>
      </c>
      <c r="U564">
        <f t="shared" si="49"/>
        <v>17</v>
      </c>
      <c r="V564">
        <f t="shared" si="49"/>
        <v>22</v>
      </c>
      <c r="W564">
        <f t="shared" si="49"/>
        <v>12</v>
      </c>
      <c r="X564">
        <f t="shared" si="49"/>
        <v>22</v>
      </c>
      <c r="Y564">
        <f t="shared" si="49"/>
        <v>25</v>
      </c>
      <c r="Z564">
        <f t="shared" si="49"/>
        <v>23</v>
      </c>
      <c r="AA564">
        <f t="shared" si="49"/>
        <v>25</v>
      </c>
      <c r="AB564">
        <f t="shared" si="49"/>
        <v>25</v>
      </c>
      <c r="AC564">
        <f t="shared" si="49"/>
        <v>14</v>
      </c>
      <c r="AD564">
        <f t="shared" si="49"/>
        <v>25</v>
      </c>
      <c r="AE564">
        <f t="shared" si="49"/>
        <v>18</v>
      </c>
      <c r="AF564">
        <f t="shared" si="49"/>
        <v>25</v>
      </c>
      <c r="AG564">
        <f t="shared" si="49"/>
        <v>25</v>
      </c>
      <c r="AH564" t="s">
        <v>139</v>
      </c>
    </row>
    <row r="565" spans="1:57" x14ac:dyDescent="0.25">
      <c r="A565" t="s">
        <v>39</v>
      </c>
      <c r="B565">
        <f>COUNTIF(B$419:B$511,"&gt;=18.42")</f>
        <v>6</v>
      </c>
      <c r="C565">
        <f t="shared" ref="C565:AG565" si="50">COUNTIF(C$419:C$511,"&gt;=18.42")</f>
        <v>7</v>
      </c>
      <c r="D565">
        <f t="shared" si="50"/>
        <v>6</v>
      </c>
      <c r="E565">
        <f t="shared" si="50"/>
        <v>6</v>
      </c>
      <c r="F565">
        <f t="shared" si="50"/>
        <v>6</v>
      </c>
      <c r="G565">
        <f t="shared" si="50"/>
        <v>7</v>
      </c>
      <c r="H565">
        <f t="shared" si="50"/>
        <v>6</v>
      </c>
      <c r="I565">
        <f t="shared" si="50"/>
        <v>5</v>
      </c>
      <c r="J565">
        <f t="shared" si="50"/>
        <v>7</v>
      </c>
      <c r="K565">
        <f t="shared" si="50"/>
        <v>11</v>
      </c>
      <c r="L565">
        <f t="shared" si="50"/>
        <v>10</v>
      </c>
      <c r="M565">
        <f t="shared" si="50"/>
        <v>7</v>
      </c>
      <c r="N565">
        <f t="shared" si="50"/>
        <v>7</v>
      </c>
      <c r="O565">
        <f t="shared" si="50"/>
        <v>10</v>
      </c>
      <c r="P565">
        <f t="shared" si="50"/>
        <v>10</v>
      </c>
      <c r="Q565">
        <f t="shared" si="50"/>
        <v>7</v>
      </c>
      <c r="R565">
        <f t="shared" si="50"/>
        <v>10</v>
      </c>
      <c r="S565">
        <f t="shared" si="50"/>
        <v>0</v>
      </c>
      <c r="T565">
        <f t="shared" si="50"/>
        <v>6</v>
      </c>
      <c r="U565">
        <f t="shared" si="50"/>
        <v>7</v>
      </c>
      <c r="V565">
        <f t="shared" si="50"/>
        <v>7</v>
      </c>
      <c r="W565">
        <f t="shared" si="50"/>
        <v>7</v>
      </c>
      <c r="X565">
        <f t="shared" si="50"/>
        <v>7</v>
      </c>
      <c r="Y565">
        <f t="shared" si="50"/>
        <v>8</v>
      </c>
      <c r="Z565">
        <f t="shared" si="50"/>
        <v>9</v>
      </c>
      <c r="AA565">
        <f t="shared" si="50"/>
        <v>11</v>
      </c>
      <c r="AB565">
        <f t="shared" si="50"/>
        <v>10</v>
      </c>
      <c r="AC565">
        <f t="shared" si="50"/>
        <v>0</v>
      </c>
      <c r="AD565">
        <f t="shared" si="50"/>
        <v>10</v>
      </c>
      <c r="AE565">
        <f t="shared" si="50"/>
        <v>6</v>
      </c>
      <c r="AF565">
        <f t="shared" si="50"/>
        <v>11</v>
      </c>
      <c r="AG565">
        <f t="shared" si="50"/>
        <v>10</v>
      </c>
      <c r="AH565" t="s">
        <v>140</v>
      </c>
    </row>
    <row r="566" spans="1:57" x14ac:dyDescent="0.25">
      <c r="A566" t="s">
        <v>40</v>
      </c>
      <c r="B566">
        <f>COUNTIF(B$3:B$53,"&gt;=18.42")</f>
        <v>51</v>
      </c>
      <c r="C566">
        <f t="shared" ref="C566:AG566" si="51">COUNTIF(C$3:C$53,"&gt;=18.42")</f>
        <v>51</v>
      </c>
      <c r="D566">
        <f t="shared" si="51"/>
        <v>51</v>
      </c>
      <c r="E566">
        <f t="shared" si="51"/>
        <v>51</v>
      </c>
      <c r="F566">
        <f t="shared" si="51"/>
        <v>51</v>
      </c>
      <c r="G566">
        <f t="shared" si="51"/>
        <v>51</v>
      </c>
      <c r="H566">
        <f t="shared" si="51"/>
        <v>51</v>
      </c>
      <c r="I566">
        <f t="shared" si="51"/>
        <v>51</v>
      </c>
      <c r="J566">
        <f t="shared" si="51"/>
        <v>51</v>
      </c>
      <c r="K566">
        <f t="shared" si="51"/>
        <v>51</v>
      </c>
      <c r="L566">
        <f t="shared" si="51"/>
        <v>51</v>
      </c>
      <c r="M566">
        <f t="shared" si="51"/>
        <v>51</v>
      </c>
      <c r="N566">
        <f t="shared" si="51"/>
        <v>51</v>
      </c>
      <c r="O566">
        <f t="shared" si="51"/>
        <v>51</v>
      </c>
      <c r="P566">
        <f t="shared" si="51"/>
        <v>51</v>
      </c>
      <c r="Q566">
        <f t="shared" si="51"/>
        <v>51</v>
      </c>
      <c r="R566">
        <f t="shared" si="51"/>
        <v>51</v>
      </c>
      <c r="S566">
        <f t="shared" si="51"/>
        <v>51</v>
      </c>
      <c r="T566">
        <f t="shared" si="51"/>
        <v>51</v>
      </c>
      <c r="U566">
        <f t="shared" si="51"/>
        <v>51</v>
      </c>
      <c r="V566">
        <f t="shared" si="51"/>
        <v>51</v>
      </c>
      <c r="W566">
        <f t="shared" si="51"/>
        <v>51</v>
      </c>
      <c r="X566">
        <f t="shared" si="51"/>
        <v>51</v>
      </c>
      <c r="Y566">
        <f t="shared" si="51"/>
        <v>51</v>
      </c>
      <c r="Z566">
        <f t="shared" si="51"/>
        <v>51</v>
      </c>
      <c r="AA566">
        <f t="shared" si="51"/>
        <v>51</v>
      </c>
      <c r="AB566">
        <f t="shared" si="51"/>
        <v>51</v>
      </c>
      <c r="AC566">
        <f t="shared" si="51"/>
        <v>51</v>
      </c>
      <c r="AD566">
        <f t="shared" si="51"/>
        <v>51</v>
      </c>
      <c r="AE566">
        <f t="shared" si="51"/>
        <v>51</v>
      </c>
      <c r="AF566">
        <f t="shared" si="51"/>
        <v>51</v>
      </c>
      <c r="AG566">
        <f t="shared" si="51"/>
        <v>51</v>
      </c>
      <c r="AH566" t="s">
        <v>141</v>
      </c>
    </row>
    <row r="567" spans="1:57" x14ac:dyDescent="0.25">
      <c r="A567" t="s">
        <v>41</v>
      </c>
      <c r="B567">
        <f>COUNTIF(B$236:B$418,"&gt;=18.42")</f>
        <v>134</v>
      </c>
      <c r="C567">
        <f t="shared" ref="C567:AG567" si="52">COUNTIF(C$236:C$418,"&gt;=18.42")</f>
        <v>139</v>
      </c>
      <c r="D567">
        <f t="shared" si="52"/>
        <v>130</v>
      </c>
      <c r="E567">
        <f t="shared" si="52"/>
        <v>131</v>
      </c>
      <c r="F567">
        <f t="shared" si="52"/>
        <v>134</v>
      </c>
      <c r="G567">
        <f t="shared" si="52"/>
        <v>135</v>
      </c>
      <c r="H567">
        <f t="shared" si="52"/>
        <v>122</v>
      </c>
      <c r="I567">
        <f t="shared" si="52"/>
        <v>121</v>
      </c>
      <c r="J567">
        <f t="shared" si="52"/>
        <v>148</v>
      </c>
      <c r="K567">
        <f t="shared" si="52"/>
        <v>150</v>
      </c>
      <c r="L567">
        <f t="shared" si="52"/>
        <v>154</v>
      </c>
      <c r="M567">
        <f t="shared" si="52"/>
        <v>136</v>
      </c>
      <c r="N567">
        <f t="shared" si="52"/>
        <v>145</v>
      </c>
      <c r="O567">
        <f t="shared" si="52"/>
        <v>151</v>
      </c>
      <c r="P567">
        <f t="shared" si="52"/>
        <v>150</v>
      </c>
      <c r="Q567">
        <f t="shared" si="52"/>
        <v>135</v>
      </c>
      <c r="R567">
        <f t="shared" si="52"/>
        <v>151</v>
      </c>
      <c r="S567">
        <f t="shared" si="52"/>
        <v>112</v>
      </c>
      <c r="T567">
        <f t="shared" si="52"/>
        <v>150</v>
      </c>
      <c r="U567">
        <f t="shared" si="52"/>
        <v>160</v>
      </c>
      <c r="V567">
        <f t="shared" si="52"/>
        <v>150</v>
      </c>
      <c r="W567">
        <f t="shared" si="52"/>
        <v>154</v>
      </c>
      <c r="X567">
        <f t="shared" si="52"/>
        <v>152</v>
      </c>
      <c r="Y567">
        <f t="shared" si="52"/>
        <v>147</v>
      </c>
      <c r="Z567">
        <f t="shared" si="52"/>
        <v>159</v>
      </c>
      <c r="AA567">
        <f t="shared" si="52"/>
        <v>163</v>
      </c>
      <c r="AB567">
        <f t="shared" si="52"/>
        <v>149</v>
      </c>
      <c r="AC567">
        <f t="shared" si="52"/>
        <v>142</v>
      </c>
      <c r="AD567">
        <f t="shared" si="52"/>
        <v>157</v>
      </c>
      <c r="AE567">
        <f t="shared" si="52"/>
        <v>155</v>
      </c>
      <c r="AF567">
        <f t="shared" si="52"/>
        <v>154</v>
      </c>
      <c r="AG567">
        <f t="shared" si="52"/>
        <v>159</v>
      </c>
      <c r="AH567" t="s">
        <v>142</v>
      </c>
    </row>
    <row r="568" spans="1:57" x14ac:dyDescent="0.25">
      <c r="A568" t="s">
        <v>42</v>
      </c>
      <c r="B568">
        <f>SUM(B564,B565)</f>
        <v>29</v>
      </c>
      <c r="C568">
        <f t="shared" ref="C568:AG568" si="53">SUM(C564,C565)</f>
        <v>31</v>
      </c>
      <c r="D568">
        <f t="shared" si="53"/>
        <v>30</v>
      </c>
      <c r="E568">
        <f t="shared" si="53"/>
        <v>29</v>
      </c>
      <c r="F568">
        <f t="shared" si="53"/>
        <v>30</v>
      </c>
      <c r="G568">
        <f t="shared" si="53"/>
        <v>31</v>
      </c>
      <c r="H568">
        <f t="shared" si="53"/>
        <v>29</v>
      </c>
      <c r="I568">
        <f t="shared" si="53"/>
        <v>17</v>
      </c>
      <c r="J568">
        <f t="shared" si="53"/>
        <v>30</v>
      </c>
      <c r="K568">
        <f t="shared" si="53"/>
        <v>36</v>
      </c>
      <c r="L568">
        <f t="shared" si="53"/>
        <v>35</v>
      </c>
      <c r="M568">
        <f t="shared" si="53"/>
        <v>31</v>
      </c>
      <c r="N568">
        <f t="shared" si="53"/>
        <v>31</v>
      </c>
      <c r="O568">
        <f t="shared" si="53"/>
        <v>35</v>
      </c>
      <c r="P568">
        <f t="shared" si="53"/>
        <v>35</v>
      </c>
      <c r="Q568">
        <f t="shared" si="53"/>
        <v>32</v>
      </c>
      <c r="R568">
        <f t="shared" si="53"/>
        <v>35</v>
      </c>
      <c r="S568">
        <f t="shared" si="53"/>
        <v>6</v>
      </c>
      <c r="T568">
        <f t="shared" si="53"/>
        <v>29</v>
      </c>
      <c r="U568">
        <f t="shared" si="53"/>
        <v>24</v>
      </c>
      <c r="V568">
        <f t="shared" si="53"/>
        <v>29</v>
      </c>
      <c r="W568">
        <f t="shared" si="53"/>
        <v>19</v>
      </c>
      <c r="X568">
        <f t="shared" si="53"/>
        <v>29</v>
      </c>
      <c r="Y568">
        <f t="shared" si="53"/>
        <v>33</v>
      </c>
      <c r="Z568">
        <f t="shared" si="53"/>
        <v>32</v>
      </c>
      <c r="AA568">
        <f t="shared" si="53"/>
        <v>36</v>
      </c>
      <c r="AB568">
        <f t="shared" si="53"/>
        <v>35</v>
      </c>
      <c r="AC568">
        <f t="shared" si="53"/>
        <v>14</v>
      </c>
      <c r="AD568">
        <f t="shared" si="53"/>
        <v>35</v>
      </c>
      <c r="AE568">
        <f t="shared" si="53"/>
        <v>24</v>
      </c>
      <c r="AF568">
        <f t="shared" si="53"/>
        <v>36</v>
      </c>
      <c r="AG568">
        <f t="shared" si="53"/>
        <v>35</v>
      </c>
    </row>
    <row r="569" spans="1:57" x14ac:dyDescent="0.25">
      <c r="A569" t="s">
        <v>43</v>
      </c>
      <c r="B569">
        <f>SUM(B566,B567)</f>
        <v>185</v>
      </c>
      <c r="C569">
        <f t="shared" ref="C569:AG569" si="54">SUM(C566,C567)</f>
        <v>190</v>
      </c>
      <c r="D569">
        <f t="shared" si="54"/>
        <v>181</v>
      </c>
      <c r="E569">
        <f t="shared" si="54"/>
        <v>182</v>
      </c>
      <c r="F569">
        <f t="shared" si="54"/>
        <v>185</v>
      </c>
      <c r="G569">
        <f t="shared" si="54"/>
        <v>186</v>
      </c>
      <c r="H569">
        <f t="shared" si="54"/>
        <v>173</v>
      </c>
      <c r="I569">
        <f t="shared" si="54"/>
        <v>172</v>
      </c>
      <c r="J569">
        <f t="shared" si="54"/>
        <v>199</v>
      </c>
      <c r="K569">
        <f t="shared" si="54"/>
        <v>201</v>
      </c>
      <c r="L569">
        <f t="shared" si="54"/>
        <v>205</v>
      </c>
      <c r="M569">
        <f t="shared" si="54"/>
        <v>187</v>
      </c>
      <c r="N569">
        <f t="shared" si="54"/>
        <v>196</v>
      </c>
      <c r="O569">
        <f t="shared" si="54"/>
        <v>202</v>
      </c>
      <c r="P569">
        <f t="shared" si="54"/>
        <v>201</v>
      </c>
      <c r="Q569">
        <f t="shared" si="54"/>
        <v>186</v>
      </c>
      <c r="R569">
        <f t="shared" si="54"/>
        <v>202</v>
      </c>
      <c r="S569">
        <f t="shared" si="54"/>
        <v>163</v>
      </c>
      <c r="T569">
        <f t="shared" si="54"/>
        <v>201</v>
      </c>
      <c r="U569">
        <f t="shared" si="54"/>
        <v>211</v>
      </c>
      <c r="V569">
        <f t="shared" si="54"/>
        <v>201</v>
      </c>
      <c r="W569">
        <f t="shared" si="54"/>
        <v>205</v>
      </c>
      <c r="X569">
        <f t="shared" si="54"/>
        <v>203</v>
      </c>
      <c r="Y569">
        <f t="shared" si="54"/>
        <v>198</v>
      </c>
      <c r="Z569">
        <f t="shared" si="54"/>
        <v>210</v>
      </c>
      <c r="AA569">
        <f t="shared" si="54"/>
        <v>214</v>
      </c>
      <c r="AB569">
        <f t="shared" si="54"/>
        <v>200</v>
      </c>
      <c r="AC569">
        <f t="shared" si="54"/>
        <v>193</v>
      </c>
      <c r="AD569">
        <f t="shared" si="54"/>
        <v>208</v>
      </c>
      <c r="AE569">
        <f t="shared" si="54"/>
        <v>206</v>
      </c>
      <c r="AF569">
        <f t="shared" si="54"/>
        <v>205</v>
      </c>
      <c r="AG569">
        <f t="shared" si="54"/>
        <v>210</v>
      </c>
    </row>
    <row r="572" spans="1:57" x14ac:dyDescent="0.25">
      <c r="D572" t="s">
        <v>73</v>
      </c>
      <c r="F572" t="s">
        <v>81</v>
      </c>
      <c r="S572" t="s">
        <v>68</v>
      </c>
      <c r="AA572" t="s">
        <v>68</v>
      </c>
      <c r="AE572" t="s">
        <v>69</v>
      </c>
      <c r="AI572" t="s">
        <v>68</v>
      </c>
      <c r="AQ572" t="s">
        <v>68</v>
      </c>
      <c r="AY572" t="s">
        <v>68</v>
      </c>
    </row>
    <row r="573" spans="1:57" x14ac:dyDescent="0.25">
      <c r="F573" t="s">
        <v>45</v>
      </c>
      <c r="S573" t="s">
        <v>46</v>
      </c>
      <c r="AA573" t="s">
        <v>47</v>
      </c>
      <c r="AE573" t="s">
        <v>48</v>
      </c>
      <c r="AI573" t="s">
        <v>46</v>
      </c>
      <c r="AK573" t="s">
        <v>49</v>
      </c>
      <c r="AL573" t="s">
        <v>33</v>
      </c>
      <c r="AM573" t="s">
        <v>34</v>
      </c>
      <c r="AN573" t="s">
        <v>35</v>
      </c>
      <c r="AO573" t="s">
        <v>36</v>
      </c>
      <c r="AQ573" t="s">
        <v>47</v>
      </c>
      <c r="AS573" t="s">
        <v>49</v>
      </c>
      <c r="AT573" t="s">
        <v>33</v>
      </c>
      <c r="AU573" t="s">
        <v>34</v>
      </c>
      <c r="AV573" t="s">
        <v>35</v>
      </c>
      <c r="AW573" t="s">
        <v>36</v>
      </c>
      <c r="AY573" t="s">
        <v>48</v>
      </c>
      <c r="BA573" t="s">
        <v>49</v>
      </c>
      <c r="BB573" t="s">
        <v>33</v>
      </c>
      <c r="BC573" t="s">
        <v>34</v>
      </c>
      <c r="BD573" t="s">
        <v>35</v>
      </c>
      <c r="BE573" t="s">
        <v>36</v>
      </c>
    </row>
    <row r="574" spans="1:57" x14ac:dyDescent="0.25">
      <c r="F574" t="s">
        <v>50</v>
      </c>
      <c r="M574" t="s">
        <v>51</v>
      </c>
      <c r="S574" t="s">
        <v>52</v>
      </c>
      <c r="U574">
        <f>COUNTIF(B52:AG52,"&lt;&gt;")</f>
        <v>32</v>
      </c>
      <c r="AA574" t="s">
        <v>52</v>
      </c>
      <c r="AC574">
        <f>COUNTIF(B52:AG52,"&lt;&gt;")</f>
        <v>32</v>
      </c>
      <c r="AE574" t="s">
        <v>52</v>
      </c>
      <c r="AG574">
        <f>COUNTIF(B52:AG52,"&lt;&gt;")</f>
        <v>32</v>
      </c>
      <c r="AI574" t="s">
        <v>52</v>
      </c>
      <c r="AK574">
        <f>COUNTIF($B$2:$AG$2,"&lt;&gt;")</f>
        <v>32</v>
      </c>
      <c r="AL574">
        <f>COUNTIF($B$2:$I$2,"&lt;&gt;")</f>
        <v>8</v>
      </c>
      <c r="AM574">
        <f>COUNTIF($J$2:$R$2,"&lt;&gt;")</f>
        <v>9</v>
      </c>
      <c r="AN574">
        <f>COUNTIF($S$2:$X$2,"&lt;&gt;")</f>
        <v>6</v>
      </c>
      <c r="AO574">
        <f>COUNTIF($Y$2:$AG$2,"&lt;&gt;")</f>
        <v>9</v>
      </c>
      <c r="AQ574" t="s">
        <v>52</v>
      </c>
      <c r="AS574">
        <f>COUNTIF($B$2:$AG$2,"&lt;&gt;")</f>
        <v>32</v>
      </c>
      <c r="AT574">
        <f>COUNTIF($B$2:$I$2,"&lt;&gt;")</f>
        <v>8</v>
      </c>
      <c r="AU574">
        <f>COUNTIF($J$2:$R$2,"&lt;&gt;")</f>
        <v>9</v>
      </c>
      <c r="AV574">
        <f>COUNTIF($S$2:$X$2,"&lt;&gt;")</f>
        <v>6</v>
      </c>
      <c r="AW574">
        <f>COUNTIF($Y$2:$AG$2,"&lt;&gt;")</f>
        <v>9</v>
      </c>
      <c r="AY574" t="s">
        <v>52</v>
      </c>
      <c r="BA574">
        <f>COUNTIF($B$2:$AG$2,"&lt;&gt;")</f>
        <v>32</v>
      </c>
      <c r="BB574">
        <f>COUNTIF($B$2:$I$2,"&lt;&gt;")</f>
        <v>8</v>
      </c>
      <c r="BC574">
        <f>COUNTIF($J$2:$R$2,"&lt;&gt;")</f>
        <v>9</v>
      </c>
      <c r="BD574">
        <f>COUNTIF($S$2:$X$2,"&lt;&gt;")</f>
        <v>6</v>
      </c>
      <c r="BE574">
        <f>COUNTIF($Y$2:$AG$2,"&lt;&gt;")</f>
        <v>9</v>
      </c>
    </row>
    <row r="575" spans="1:57" x14ac:dyDescent="0.25">
      <c r="F575" t="s">
        <v>53</v>
      </c>
      <c r="H575" t="s">
        <v>134</v>
      </c>
      <c r="J575">
        <f>COUNTIF($B$54:$B$235,"&lt;&gt;")</f>
        <v>182</v>
      </c>
      <c r="M575" t="s">
        <v>54</v>
      </c>
      <c r="S575" t="s">
        <v>55</v>
      </c>
      <c r="U575">
        <f>COUNTIF($A$3:$A$511,"&lt;&gt;")</f>
        <v>509</v>
      </c>
      <c r="AA575" t="s">
        <v>55</v>
      </c>
      <c r="AC575">
        <f>SUM($J$524:$J$525)</f>
        <v>275</v>
      </c>
      <c r="AE575" t="s">
        <v>55</v>
      </c>
      <c r="AG575">
        <f>SUM($Q$525:$Q$526)</f>
        <v>234</v>
      </c>
      <c r="AI575" t="s">
        <v>55</v>
      </c>
      <c r="AK575">
        <f>COUNTIF($A$3:$A$511,"&lt;&gt;")</f>
        <v>509</v>
      </c>
      <c r="AL575">
        <f t="shared" ref="AL575:AO575" si="55">COUNTIF($A$3:$A$511,"&lt;&gt;")</f>
        <v>509</v>
      </c>
      <c r="AM575">
        <f t="shared" si="55"/>
        <v>509</v>
      </c>
      <c r="AN575">
        <f t="shared" si="55"/>
        <v>509</v>
      </c>
      <c r="AO575">
        <f t="shared" si="55"/>
        <v>509</v>
      </c>
      <c r="AQ575" t="s">
        <v>55</v>
      </c>
      <c r="AS575">
        <f>SUM($J$524:$J$525)</f>
        <v>275</v>
      </c>
      <c r="AT575">
        <f t="shared" ref="AT575:AW575" si="56">SUM($J$524:$J$525)</f>
        <v>275</v>
      </c>
      <c r="AU575">
        <f t="shared" si="56"/>
        <v>275</v>
      </c>
      <c r="AV575">
        <f t="shared" si="56"/>
        <v>275</v>
      </c>
      <c r="AW575">
        <f t="shared" si="56"/>
        <v>275</v>
      </c>
      <c r="AY575" t="s">
        <v>55</v>
      </c>
      <c r="BA575">
        <f>SUM($Q$525:$Q$526)</f>
        <v>234</v>
      </c>
      <c r="BB575">
        <f t="shared" ref="BB575:BE575" si="57">SUM($Q$525:$Q$526)</f>
        <v>234</v>
      </c>
      <c r="BC575">
        <f t="shared" si="57"/>
        <v>234</v>
      </c>
      <c r="BD575">
        <f t="shared" si="57"/>
        <v>234</v>
      </c>
      <c r="BE575">
        <f t="shared" si="57"/>
        <v>234</v>
      </c>
    </row>
    <row r="576" spans="1:57" x14ac:dyDescent="0.25">
      <c r="F576" t="s">
        <v>56</v>
      </c>
      <c r="H576" t="s">
        <v>135</v>
      </c>
      <c r="J576">
        <f>COUNTIF($B$419:$B$511,"&lt;&gt;")</f>
        <v>93</v>
      </c>
      <c r="M576" t="s">
        <v>57</v>
      </c>
      <c r="O576" t="s">
        <v>137</v>
      </c>
      <c r="Q576">
        <f>COUNTIF($B$3:$B$53,"&lt;&gt;")</f>
        <v>51</v>
      </c>
      <c r="S576" t="s">
        <v>58</v>
      </c>
      <c r="U576">
        <f>U575*U574</f>
        <v>16288</v>
      </c>
      <c r="V576" t="s">
        <v>59</v>
      </c>
      <c r="AA576" t="s">
        <v>58</v>
      </c>
      <c r="AC576">
        <f>AC575*AC574</f>
        <v>8800</v>
      </c>
      <c r="AE576" t="s">
        <v>58</v>
      </c>
      <c r="AG576">
        <f>AG574*AG575</f>
        <v>7488</v>
      </c>
      <c r="AI576" t="s">
        <v>58</v>
      </c>
      <c r="AK576">
        <f>AK575*AK574</f>
        <v>16288</v>
      </c>
      <c r="AL576">
        <f t="shared" ref="AL576:AO576" si="58">AL575*AL574</f>
        <v>4072</v>
      </c>
      <c r="AM576">
        <f t="shared" si="58"/>
        <v>4581</v>
      </c>
      <c r="AN576">
        <f t="shared" si="58"/>
        <v>3054</v>
      </c>
      <c r="AO576">
        <f t="shared" si="58"/>
        <v>4581</v>
      </c>
      <c r="AQ576" t="s">
        <v>58</v>
      </c>
      <c r="AS576">
        <f>AS575*AS574</f>
        <v>8800</v>
      </c>
      <c r="AT576">
        <f t="shared" ref="AT576:AW576" si="59">AT575*AT574</f>
        <v>2200</v>
      </c>
      <c r="AU576">
        <f t="shared" si="59"/>
        <v>2475</v>
      </c>
      <c r="AV576">
        <f t="shared" si="59"/>
        <v>1650</v>
      </c>
      <c r="AW576">
        <f t="shared" si="59"/>
        <v>2475</v>
      </c>
      <c r="AY576" t="s">
        <v>58</v>
      </c>
      <c r="BA576">
        <f>BA575*BA574</f>
        <v>7488</v>
      </c>
      <c r="BB576">
        <f t="shared" ref="BB576:BE576" si="60">BB575*BB574</f>
        <v>1872</v>
      </c>
      <c r="BC576">
        <f t="shared" si="60"/>
        <v>2106</v>
      </c>
      <c r="BD576">
        <f t="shared" si="60"/>
        <v>1404</v>
      </c>
      <c r="BE576">
        <f t="shared" si="60"/>
        <v>2106</v>
      </c>
    </row>
    <row r="577" spans="1:57" x14ac:dyDescent="0.25">
      <c r="F577" t="s">
        <v>60</v>
      </c>
      <c r="H577" t="s">
        <v>136</v>
      </c>
      <c r="J577">
        <f>COUNTIF($A$737:$A$798,"&lt;&gt;")</f>
        <v>0</v>
      </c>
      <c r="M577" t="s">
        <v>61</v>
      </c>
      <c r="O577" t="s">
        <v>138</v>
      </c>
      <c r="Q577">
        <f>COUNTIF($B$236:$B$418,"&lt;&gt;")</f>
        <v>183</v>
      </c>
      <c r="S577" t="s">
        <v>82</v>
      </c>
      <c r="U577">
        <f>SUM(B563:AG563)</f>
        <v>7203</v>
      </c>
      <c r="V577" t="s">
        <v>63</v>
      </c>
      <c r="AA577" t="s">
        <v>82</v>
      </c>
      <c r="AC577">
        <f>SUM(B568:AG568)</f>
        <v>942</v>
      </c>
      <c r="AE577" t="s">
        <v>62</v>
      </c>
      <c r="AG577">
        <f>SUM(B569:AG569)</f>
        <v>6261</v>
      </c>
      <c r="AI577" t="s">
        <v>82</v>
      </c>
      <c r="AK577">
        <f>SUM(B563:AG563)</f>
        <v>7203</v>
      </c>
      <c r="AL577">
        <f>SUM(B563:I563)</f>
        <v>1680</v>
      </c>
      <c r="AM577">
        <f>SUM(J563:R563)</f>
        <v>2079</v>
      </c>
      <c r="AN577">
        <f>SUM(S563:X563)</f>
        <v>1320</v>
      </c>
      <c r="AO577">
        <f>SUM(Y563:AG563)</f>
        <v>2124</v>
      </c>
      <c r="AQ577" t="s">
        <v>82</v>
      </c>
      <c r="AS577">
        <f>SUM(B568:AG568)</f>
        <v>942</v>
      </c>
      <c r="AT577">
        <f>SUM(B568:I568)</f>
        <v>226</v>
      </c>
      <c r="AU577">
        <f>SUM(J568:R568)</f>
        <v>300</v>
      </c>
      <c r="AV577">
        <f>SUM(S568:X568)</f>
        <v>136</v>
      </c>
      <c r="AW577">
        <f>SUM(Y568:AG568)</f>
        <v>280</v>
      </c>
      <c r="AY577" t="s">
        <v>82</v>
      </c>
      <c r="BA577">
        <f>SUM($B569:$AG569)</f>
        <v>6261</v>
      </c>
      <c r="BB577">
        <f>SUM(B569:I569)</f>
        <v>1454</v>
      </c>
      <c r="BC577">
        <f>SUM(J569:R569)</f>
        <v>1779</v>
      </c>
      <c r="BD577">
        <f>SUM(S569:X569)</f>
        <v>1184</v>
      </c>
      <c r="BE577">
        <f>SUM(Y569:AG569)</f>
        <v>1844</v>
      </c>
    </row>
    <row r="578" spans="1:57" x14ac:dyDescent="0.25">
      <c r="S578" t="s">
        <v>64</v>
      </c>
      <c r="U578">
        <f>$U577/$U576</f>
        <v>0.44222740667976423</v>
      </c>
      <c r="AA578" t="s">
        <v>65</v>
      </c>
      <c r="AC578">
        <f>AC577/AC576</f>
        <v>0.10704545454545454</v>
      </c>
      <c r="AE578" t="s">
        <v>66</v>
      </c>
      <c r="AG578">
        <f>AG577/AG576</f>
        <v>0.83613782051282048</v>
      </c>
      <c r="AI578" t="s">
        <v>64</v>
      </c>
      <c r="AK578">
        <f>AK577/AK576</f>
        <v>0.44222740667976423</v>
      </c>
      <c r="AL578">
        <f t="shared" ref="AL578:AO578" si="61">AL577/AL576</f>
        <v>0.412573673870334</v>
      </c>
      <c r="AM578">
        <f t="shared" si="61"/>
        <v>0.4538310412573674</v>
      </c>
      <c r="AN578">
        <f t="shared" si="61"/>
        <v>0.43222003929273084</v>
      </c>
      <c r="AO578">
        <f t="shared" si="61"/>
        <v>0.46365422396856582</v>
      </c>
      <c r="AQ578" t="s">
        <v>65</v>
      </c>
      <c r="AS578">
        <f>AS577/AS576</f>
        <v>0.10704545454545454</v>
      </c>
      <c r="AT578">
        <f t="shared" ref="AT578:AW578" si="62">AT577/AT576</f>
        <v>0.10272727272727272</v>
      </c>
      <c r="AU578">
        <f t="shared" si="62"/>
        <v>0.12121212121212122</v>
      </c>
      <c r="AV578">
        <f t="shared" si="62"/>
        <v>8.2424242424242428E-2</v>
      </c>
      <c r="AW578">
        <f t="shared" si="62"/>
        <v>0.11313131313131314</v>
      </c>
      <c r="AY578" t="s">
        <v>66</v>
      </c>
      <c r="BA578">
        <f>BA577/BA576</f>
        <v>0.83613782051282048</v>
      </c>
      <c r="BB578">
        <f t="shared" ref="BB578:BE578" si="63">BB577/BB576</f>
        <v>0.77670940170940173</v>
      </c>
      <c r="BC578">
        <f t="shared" si="63"/>
        <v>0.84472934472934469</v>
      </c>
      <c r="BD578">
        <f t="shared" si="63"/>
        <v>0.84330484330484334</v>
      </c>
      <c r="BE578">
        <f t="shared" si="63"/>
        <v>0.87559354226020891</v>
      </c>
    </row>
    <row r="580" spans="1:57" x14ac:dyDescent="0.25">
      <c r="A580" t="s">
        <v>37</v>
      </c>
      <c r="B580">
        <f>COUNTIF(B$3:B$511,"&lt;=18")</f>
        <v>285</v>
      </c>
      <c r="C580">
        <f t="shared" ref="C580:AG580" si="64">COUNTIF(C$3:C$511,"&lt;=18")</f>
        <v>279</v>
      </c>
      <c r="D580">
        <f t="shared" si="64"/>
        <v>286</v>
      </c>
      <c r="E580">
        <f t="shared" si="64"/>
        <v>291</v>
      </c>
      <c r="F580">
        <f t="shared" si="64"/>
        <v>285</v>
      </c>
      <c r="G580">
        <f t="shared" si="64"/>
        <v>283</v>
      </c>
      <c r="H580">
        <f t="shared" si="64"/>
        <v>294</v>
      </c>
      <c r="I580">
        <f t="shared" si="64"/>
        <v>307</v>
      </c>
      <c r="J580">
        <f t="shared" si="64"/>
        <v>272</v>
      </c>
      <c r="K580">
        <f t="shared" si="64"/>
        <v>269</v>
      </c>
      <c r="L580">
        <f t="shared" si="64"/>
        <v>263</v>
      </c>
      <c r="M580">
        <f t="shared" si="64"/>
        <v>281</v>
      </c>
      <c r="N580">
        <f t="shared" si="64"/>
        <v>275</v>
      </c>
      <c r="O580">
        <f t="shared" si="64"/>
        <v>264</v>
      </c>
      <c r="P580">
        <f t="shared" si="64"/>
        <v>272</v>
      </c>
      <c r="Q580">
        <f t="shared" si="64"/>
        <v>281</v>
      </c>
      <c r="R580">
        <f t="shared" si="64"/>
        <v>265</v>
      </c>
      <c r="S580">
        <f t="shared" si="64"/>
        <v>330</v>
      </c>
      <c r="T580">
        <f t="shared" si="64"/>
        <v>273</v>
      </c>
      <c r="U580">
        <f t="shared" si="64"/>
        <v>264</v>
      </c>
      <c r="V580">
        <f t="shared" si="64"/>
        <v>270</v>
      </c>
      <c r="W580">
        <f t="shared" si="64"/>
        <v>270</v>
      </c>
      <c r="X580">
        <f t="shared" si="64"/>
        <v>268</v>
      </c>
      <c r="Y580">
        <f t="shared" si="64"/>
        <v>272</v>
      </c>
      <c r="Z580">
        <f t="shared" si="64"/>
        <v>263</v>
      </c>
      <c r="AA580">
        <f t="shared" si="64"/>
        <v>254</v>
      </c>
      <c r="AB580">
        <f t="shared" si="64"/>
        <v>270</v>
      </c>
      <c r="AC580">
        <f t="shared" si="64"/>
        <v>285</v>
      </c>
      <c r="AD580">
        <f t="shared" si="64"/>
        <v>262</v>
      </c>
      <c r="AE580">
        <f t="shared" si="64"/>
        <v>263</v>
      </c>
      <c r="AF580">
        <f t="shared" si="64"/>
        <v>263</v>
      </c>
      <c r="AG580">
        <f t="shared" si="64"/>
        <v>261</v>
      </c>
    </row>
    <row r="581" spans="1:57" x14ac:dyDescent="0.25">
      <c r="A581" t="s">
        <v>38</v>
      </c>
      <c r="B581">
        <f>COUNTIF(B$54:B$235,"&lt;=18")</f>
        <v>158</v>
      </c>
      <c r="C581">
        <f t="shared" ref="C581:AG581" si="65">COUNTIF(C$54:C$235,"&lt;=18")</f>
        <v>157</v>
      </c>
      <c r="D581">
        <f t="shared" si="65"/>
        <v>157</v>
      </c>
      <c r="E581">
        <f t="shared" si="65"/>
        <v>158</v>
      </c>
      <c r="F581">
        <f t="shared" si="65"/>
        <v>157</v>
      </c>
      <c r="G581">
        <f t="shared" si="65"/>
        <v>157</v>
      </c>
      <c r="H581">
        <f t="shared" si="65"/>
        <v>158</v>
      </c>
      <c r="I581">
        <f t="shared" si="65"/>
        <v>164</v>
      </c>
      <c r="J581">
        <f t="shared" si="65"/>
        <v>158</v>
      </c>
      <c r="K581">
        <f t="shared" si="65"/>
        <v>157</v>
      </c>
      <c r="L581">
        <f t="shared" si="65"/>
        <v>157</v>
      </c>
      <c r="M581">
        <f t="shared" si="65"/>
        <v>157</v>
      </c>
      <c r="N581">
        <f t="shared" si="65"/>
        <v>157</v>
      </c>
      <c r="O581">
        <f t="shared" si="65"/>
        <v>157</v>
      </c>
      <c r="P581">
        <f t="shared" si="65"/>
        <v>157</v>
      </c>
      <c r="Q581">
        <f t="shared" si="65"/>
        <v>157</v>
      </c>
      <c r="R581">
        <f t="shared" si="65"/>
        <v>157</v>
      </c>
      <c r="S581">
        <f t="shared" si="65"/>
        <v>175</v>
      </c>
      <c r="T581">
        <f t="shared" si="65"/>
        <v>158</v>
      </c>
      <c r="U581">
        <f t="shared" si="65"/>
        <v>159</v>
      </c>
      <c r="V581">
        <f t="shared" si="65"/>
        <v>158</v>
      </c>
      <c r="W581">
        <f t="shared" si="65"/>
        <v>160</v>
      </c>
      <c r="X581">
        <f t="shared" si="65"/>
        <v>159</v>
      </c>
      <c r="Y581">
        <f t="shared" si="65"/>
        <v>157</v>
      </c>
      <c r="Z581">
        <f t="shared" si="65"/>
        <v>158</v>
      </c>
      <c r="AA581">
        <f t="shared" si="65"/>
        <v>156</v>
      </c>
      <c r="AB581">
        <f t="shared" si="65"/>
        <v>157</v>
      </c>
      <c r="AC581">
        <f t="shared" si="65"/>
        <v>165</v>
      </c>
      <c r="AD581">
        <f t="shared" si="65"/>
        <v>157</v>
      </c>
      <c r="AE581">
        <f t="shared" si="65"/>
        <v>160</v>
      </c>
      <c r="AF581">
        <f t="shared" si="65"/>
        <v>157</v>
      </c>
      <c r="AG581">
        <f t="shared" si="65"/>
        <v>157</v>
      </c>
      <c r="AH581" t="s">
        <v>139</v>
      </c>
    </row>
    <row r="582" spans="1:57" x14ac:dyDescent="0.25">
      <c r="A582" t="s">
        <v>39</v>
      </c>
      <c r="B582">
        <f>COUNTIF(B$419:B$511,"&lt;=18")</f>
        <v>86</v>
      </c>
      <c r="C582">
        <f t="shared" ref="C582:AG582" si="66">COUNTIF(C$419:C$511,"&lt;=18")</f>
        <v>85</v>
      </c>
      <c r="D582">
        <f t="shared" si="66"/>
        <v>86</v>
      </c>
      <c r="E582">
        <f t="shared" si="66"/>
        <v>86</v>
      </c>
      <c r="F582">
        <f t="shared" si="66"/>
        <v>86</v>
      </c>
      <c r="G582">
        <f t="shared" si="66"/>
        <v>85</v>
      </c>
      <c r="H582">
        <f t="shared" si="66"/>
        <v>86</v>
      </c>
      <c r="I582">
        <f t="shared" si="66"/>
        <v>88</v>
      </c>
      <c r="J582">
        <f t="shared" si="66"/>
        <v>86</v>
      </c>
      <c r="K582">
        <f t="shared" si="66"/>
        <v>82</v>
      </c>
      <c r="L582">
        <f t="shared" si="66"/>
        <v>82</v>
      </c>
      <c r="M582">
        <f t="shared" si="66"/>
        <v>85</v>
      </c>
      <c r="N582">
        <f t="shared" si="66"/>
        <v>85</v>
      </c>
      <c r="O582">
        <f t="shared" si="66"/>
        <v>82</v>
      </c>
      <c r="P582">
        <f t="shared" si="66"/>
        <v>83</v>
      </c>
      <c r="Q582">
        <f t="shared" si="66"/>
        <v>85</v>
      </c>
      <c r="R582">
        <f t="shared" si="66"/>
        <v>82</v>
      </c>
      <c r="S582">
        <f t="shared" si="66"/>
        <v>93</v>
      </c>
      <c r="T582">
        <f t="shared" si="66"/>
        <v>86</v>
      </c>
      <c r="U582">
        <f t="shared" si="66"/>
        <v>85</v>
      </c>
      <c r="V582">
        <f t="shared" si="66"/>
        <v>85</v>
      </c>
      <c r="W582">
        <f t="shared" si="66"/>
        <v>85</v>
      </c>
      <c r="X582">
        <f t="shared" si="66"/>
        <v>85</v>
      </c>
      <c r="Y582">
        <f t="shared" si="66"/>
        <v>83</v>
      </c>
      <c r="Z582">
        <f t="shared" si="66"/>
        <v>83</v>
      </c>
      <c r="AA582">
        <f t="shared" si="66"/>
        <v>82</v>
      </c>
      <c r="AB582">
        <f t="shared" si="66"/>
        <v>83</v>
      </c>
      <c r="AC582">
        <f t="shared" si="66"/>
        <v>87</v>
      </c>
      <c r="AD582">
        <f t="shared" si="66"/>
        <v>82</v>
      </c>
      <c r="AE582">
        <f t="shared" si="66"/>
        <v>86</v>
      </c>
      <c r="AF582">
        <f t="shared" si="66"/>
        <v>82</v>
      </c>
      <c r="AG582">
        <f t="shared" si="66"/>
        <v>83</v>
      </c>
      <c r="AH582" t="s">
        <v>140</v>
      </c>
    </row>
    <row r="583" spans="1:57" x14ac:dyDescent="0.25">
      <c r="A583" t="s">
        <v>40</v>
      </c>
      <c r="B583">
        <f>COUNTIF(B$3:B$53,"&lt;=18")</f>
        <v>0</v>
      </c>
      <c r="C583">
        <f t="shared" ref="C583:AG583" si="67">COUNTIF(C$3:C$53,"&lt;=18")</f>
        <v>0</v>
      </c>
      <c r="D583">
        <f t="shared" si="67"/>
        <v>0</v>
      </c>
      <c r="E583">
        <f t="shared" si="67"/>
        <v>0</v>
      </c>
      <c r="F583">
        <f t="shared" si="67"/>
        <v>0</v>
      </c>
      <c r="G583">
        <f t="shared" si="67"/>
        <v>0</v>
      </c>
      <c r="H583">
        <f t="shared" si="67"/>
        <v>0</v>
      </c>
      <c r="I583">
        <f t="shared" si="67"/>
        <v>0</v>
      </c>
      <c r="J583">
        <f t="shared" si="67"/>
        <v>0</v>
      </c>
      <c r="K583">
        <f t="shared" si="67"/>
        <v>0</v>
      </c>
      <c r="L583">
        <f t="shared" si="67"/>
        <v>0</v>
      </c>
      <c r="M583">
        <f t="shared" si="67"/>
        <v>0</v>
      </c>
      <c r="N583">
        <f t="shared" si="67"/>
        <v>0</v>
      </c>
      <c r="O583">
        <f t="shared" si="67"/>
        <v>0</v>
      </c>
      <c r="P583">
        <f t="shared" si="67"/>
        <v>0</v>
      </c>
      <c r="Q583">
        <f t="shared" si="67"/>
        <v>0</v>
      </c>
      <c r="R583">
        <f t="shared" si="67"/>
        <v>0</v>
      </c>
      <c r="S583">
        <f t="shared" si="67"/>
        <v>0</v>
      </c>
      <c r="T583">
        <f t="shared" si="67"/>
        <v>0</v>
      </c>
      <c r="U583">
        <f t="shared" si="67"/>
        <v>0</v>
      </c>
      <c r="V583">
        <f t="shared" si="67"/>
        <v>0</v>
      </c>
      <c r="W583">
        <f t="shared" si="67"/>
        <v>0</v>
      </c>
      <c r="X583">
        <f t="shared" si="67"/>
        <v>0</v>
      </c>
      <c r="Y583">
        <f t="shared" si="67"/>
        <v>0</v>
      </c>
      <c r="Z583">
        <f t="shared" si="67"/>
        <v>0</v>
      </c>
      <c r="AA583">
        <f t="shared" si="67"/>
        <v>0</v>
      </c>
      <c r="AB583">
        <f t="shared" si="67"/>
        <v>0</v>
      </c>
      <c r="AC583">
        <f t="shared" si="67"/>
        <v>0</v>
      </c>
      <c r="AD583">
        <f t="shared" si="67"/>
        <v>0</v>
      </c>
      <c r="AE583">
        <f t="shared" si="67"/>
        <v>0</v>
      </c>
      <c r="AF583">
        <f t="shared" si="67"/>
        <v>0</v>
      </c>
      <c r="AG583">
        <f t="shared" si="67"/>
        <v>0</v>
      </c>
      <c r="AH583" t="s">
        <v>141</v>
      </c>
    </row>
    <row r="584" spans="1:57" x14ac:dyDescent="0.25">
      <c r="A584" t="s">
        <v>41</v>
      </c>
      <c r="B584">
        <f>COUNTIF(B$236:B$418,"&lt;=18")</f>
        <v>41</v>
      </c>
      <c r="C584">
        <f t="shared" ref="C584:AG584" si="68">COUNTIF(C$236:C$418,"&lt;=18")</f>
        <v>37</v>
      </c>
      <c r="D584">
        <f t="shared" si="68"/>
        <v>43</v>
      </c>
      <c r="E584">
        <f t="shared" si="68"/>
        <v>47</v>
      </c>
      <c r="F584">
        <f t="shared" si="68"/>
        <v>42</v>
      </c>
      <c r="G584">
        <f t="shared" si="68"/>
        <v>41</v>
      </c>
      <c r="H584">
        <f t="shared" si="68"/>
        <v>50</v>
      </c>
      <c r="I584">
        <f t="shared" si="68"/>
        <v>55</v>
      </c>
      <c r="J584">
        <f t="shared" si="68"/>
        <v>28</v>
      </c>
      <c r="K584">
        <f t="shared" si="68"/>
        <v>30</v>
      </c>
      <c r="L584">
        <f t="shared" si="68"/>
        <v>24</v>
      </c>
      <c r="M584">
        <f t="shared" si="68"/>
        <v>39</v>
      </c>
      <c r="N584">
        <f t="shared" si="68"/>
        <v>33</v>
      </c>
      <c r="O584">
        <f t="shared" si="68"/>
        <v>25</v>
      </c>
      <c r="P584">
        <f t="shared" si="68"/>
        <v>32</v>
      </c>
      <c r="Q584">
        <f t="shared" si="68"/>
        <v>39</v>
      </c>
      <c r="R584">
        <f t="shared" si="68"/>
        <v>26</v>
      </c>
      <c r="S584">
        <f t="shared" si="68"/>
        <v>62</v>
      </c>
      <c r="T584">
        <f t="shared" si="68"/>
        <v>29</v>
      </c>
      <c r="U584">
        <f t="shared" si="68"/>
        <v>20</v>
      </c>
      <c r="V584">
        <f t="shared" si="68"/>
        <v>27</v>
      </c>
      <c r="W584">
        <f t="shared" si="68"/>
        <v>25</v>
      </c>
      <c r="X584">
        <f t="shared" si="68"/>
        <v>24</v>
      </c>
      <c r="Y584">
        <f t="shared" si="68"/>
        <v>32</v>
      </c>
      <c r="Z584">
        <f t="shared" si="68"/>
        <v>22</v>
      </c>
      <c r="AA584">
        <f t="shared" si="68"/>
        <v>16</v>
      </c>
      <c r="AB584">
        <f t="shared" si="68"/>
        <v>30</v>
      </c>
      <c r="AC584">
        <f t="shared" si="68"/>
        <v>33</v>
      </c>
      <c r="AD584">
        <f t="shared" si="68"/>
        <v>23</v>
      </c>
      <c r="AE584">
        <f t="shared" si="68"/>
        <v>17</v>
      </c>
      <c r="AF584">
        <f t="shared" si="68"/>
        <v>24</v>
      </c>
      <c r="AG584">
        <f t="shared" si="68"/>
        <v>21</v>
      </c>
      <c r="AH584" t="s">
        <v>142</v>
      </c>
    </row>
    <row r="585" spans="1:57" x14ac:dyDescent="0.25">
      <c r="A585" t="s">
        <v>42</v>
      </c>
      <c r="B585">
        <f t="shared" ref="B585:AG585" si="69">SUM(B$581,B$582)</f>
        <v>244</v>
      </c>
      <c r="C585">
        <f t="shared" si="69"/>
        <v>242</v>
      </c>
      <c r="D585">
        <f t="shared" si="69"/>
        <v>243</v>
      </c>
      <c r="E585">
        <f t="shared" si="69"/>
        <v>244</v>
      </c>
      <c r="F585">
        <f t="shared" si="69"/>
        <v>243</v>
      </c>
      <c r="G585">
        <f t="shared" si="69"/>
        <v>242</v>
      </c>
      <c r="H585">
        <f t="shared" si="69"/>
        <v>244</v>
      </c>
      <c r="I585">
        <f t="shared" si="69"/>
        <v>252</v>
      </c>
      <c r="J585">
        <f t="shared" si="69"/>
        <v>244</v>
      </c>
      <c r="K585">
        <f t="shared" si="69"/>
        <v>239</v>
      </c>
      <c r="L585">
        <f t="shared" si="69"/>
        <v>239</v>
      </c>
      <c r="M585">
        <f t="shared" si="69"/>
        <v>242</v>
      </c>
      <c r="N585">
        <f t="shared" si="69"/>
        <v>242</v>
      </c>
      <c r="O585">
        <f t="shared" si="69"/>
        <v>239</v>
      </c>
      <c r="P585">
        <f t="shared" si="69"/>
        <v>240</v>
      </c>
      <c r="Q585">
        <f t="shared" si="69"/>
        <v>242</v>
      </c>
      <c r="R585">
        <f t="shared" si="69"/>
        <v>239</v>
      </c>
      <c r="S585">
        <f t="shared" si="69"/>
        <v>268</v>
      </c>
      <c r="T585">
        <f t="shared" si="69"/>
        <v>244</v>
      </c>
      <c r="U585">
        <f t="shared" si="69"/>
        <v>244</v>
      </c>
      <c r="V585">
        <f t="shared" si="69"/>
        <v>243</v>
      </c>
      <c r="W585">
        <f t="shared" si="69"/>
        <v>245</v>
      </c>
      <c r="X585">
        <f t="shared" si="69"/>
        <v>244</v>
      </c>
      <c r="Y585">
        <f t="shared" si="69"/>
        <v>240</v>
      </c>
      <c r="Z585">
        <f t="shared" si="69"/>
        <v>241</v>
      </c>
      <c r="AA585">
        <f t="shared" si="69"/>
        <v>238</v>
      </c>
      <c r="AB585">
        <f t="shared" si="69"/>
        <v>240</v>
      </c>
      <c r="AC585">
        <f t="shared" si="69"/>
        <v>252</v>
      </c>
      <c r="AD585">
        <f t="shared" si="69"/>
        <v>239</v>
      </c>
      <c r="AE585">
        <f t="shared" si="69"/>
        <v>246</v>
      </c>
      <c r="AF585">
        <f t="shared" si="69"/>
        <v>239</v>
      </c>
      <c r="AG585">
        <f t="shared" si="69"/>
        <v>240</v>
      </c>
    </row>
    <row r="586" spans="1:57" x14ac:dyDescent="0.25">
      <c r="A586" t="s">
        <v>43</v>
      </c>
      <c r="B586">
        <f t="shared" ref="B586:AG586" si="70">SUM(B$583,B$584)</f>
        <v>41</v>
      </c>
      <c r="C586">
        <f t="shared" si="70"/>
        <v>37</v>
      </c>
      <c r="D586">
        <f t="shared" si="70"/>
        <v>43</v>
      </c>
      <c r="E586">
        <f t="shared" si="70"/>
        <v>47</v>
      </c>
      <c r="F586">
        <f t="shared" si="70"/>
        <v>42</v>
      </c>
      <c r="G586">
        <f t="shared" si="70"/>
        <v>41</v>
      </c>
      <c r="H586">
        <f t="shared" si="70"/>
        <v>50</v>
      </c>
      <c r="I586">
        <f t="shared" si="70"/>
        <v>55</v>
      </c>
      <c r="J586">
        <f t="shared" si="70"/>
        <v>28</v>
      </c>
      <c r="K586">
        <f t="shared" si="70"/>
        <v>30</v>
      </c>
      <c r="L586">
        <f t="shared" si="70"/>
        <v>24</v>
      </c>
      <c r="M586">
        <f t="shared" si="70"/>
        <v>39</v>
      </c>
      <c r="N586">
        <f t="shared" si="70"/>
        <v>33</v>
      </c>
      <c r="O586">
        <f t="shared" si="70"/>
        <v>25</v>
      </c>
      <c r="P586">
        <f t="shared" si="70"/>
        <v>32</v>
      </c>
      <c r="Q586">
        <f t="shared" si="70"/>
        <v>39</v>
      </c>
      <c r="R586">
        <f t="shared" si="70"/>
        <v>26</v>
      </c>
      <c r="S586">
        <f t="shared" si="70"/>
        <v>62</v>
      </c>
      <c r="T586">
        <f t="shared" si="70"/>
        <v>29</v>
      </c>
      <c r="U586">
        <f t="shared" si="70"/>
        <v>20</v>
      </c>
      <c r="V586">
        <f t="shared" si="70"/>
        <v>27</v>
      </c>
      <c r="W586">
        <f t="shared" si="70"/>
        <v>25</v>
      </c>
      <c r="X586">
        <f t="shared" si="70"/>
        <v>24</v>
      </c>
      <c r="Y586">
        <f t="shared" si="70"/>
        <v>32</v>
      </c>
      <c r="Z586">
        <f t="shared" si="70"/>
        <v>22</v>
      </c>
      <c r="AA586">
        <f t="shared" si="70"/>
        <v>16</v>
      </c>
      <c r="AB586">
        <f t="shared" si="70"/>
        <v>30</v>
      </c>
      <c r="AC586">
        <f t="shared" si="70"/>
        <v>33</v>
      </c>
      <c r="AD586">
        <f t="shared" si="70"/>
        <v>23</v>
      </c>
      <c r="AE586">
        <f t="shared" si="70"/>
        <v>17</v>
      </c>
      <c r="AF586">
        <f t="shared" si="70"/>
        <v>24</v>
      </c>
      <c r="AG586">
        <f t="shared" si="70"/>
        <v>21</v>
      </c>
    </row>
    <row r="589" spans="1:57" x14ac:dyDescent="0.25">
      <c r="D589" t="s">
        <v>74</v>
      </c>
      <c r="F589" t="s">
        <v>83</v>
      </c>
      <c r="S589" t="s">
        <v>96</v>
      </c>
      <c r="AA589" t="s">
        <v>96</v>
      </c>
      <c r="AE589" t="s">
        <v>96</v>
      </c>
      <c r="AI589" t="s">
        <v>96</v>
      </c>
      <c r="AQ589" t="s">
        <v>96</v>
      </c>
      <c r="AY589" t="s">
        <v>96</v>
      </c>
    </row>
    <row r="590" spans="1:57" x14ac:dyDescent="0.25">
      <c r="F590" t="s">
        <v>45</v>
      </c>
      <c r="S590" t="s">
        <v>46</v>
      </c>
      <c r="AA590" t="s">
        <v>47</v>
      </c>
      <c r="AE590" t="s">
        <v>48</v>
      </c>
      <c r="AI590" t="s">
        <v>46</v>
      </c>
      <c r="AK590" t="s">
        <v>49</v>
      </c>
      <c r="AL590" t="s">
        <v>33</v>
      </c>
      <c r="AM590" t="s">
        <v>34</v>
      </c>
      <c r="AN590" t="s">
        <v>35</v>
      </c>
      <c r="AO590" t="s">
        <v>36</v>
      </c>
      <c r="AQ590" t="s">
        <v>47</v>
      </c>
      <c r="AS590" t="s">
        <v>49</v>
      </c>
      <c r="AT590" t="s">
        <v>33</v>
      </c>
      <c r="AU590" t="s">
        <v>34</v>
      </c>
      <c r="AV590" t="s">
        <v>35</v>
      </c>
      <c r="AW590" t="s">
        <v>36</v>
      </c>
      <c r="AY590" t="s">
        <v>48</v>
      </c>
      <c r="BA590" t="s">
        <v>49</v>
      </c>
      <c r="BB590" t="s">
        <v>33</v>
      </c>
      <c r="BC590" t="s">
        <v>34</v>
      </c>
      <c r="BD590" t="s">
        <v>35</v>
      </c>
      <c r="BE590" t="s">
        <v>36</v>
      </c>
    </row>
    <row r="591" spans="1:57" x14ac:dyDescent="0.25">
      <c r="F591" t="s">
        <v>50</v>
      </c>
      <c r="M591" t="s">
        <v>51</v>
      </c>
      <c r="S591" t="s">
        <v>52</v>
      </c>
      <c r="U591">
        <f>COUNTIF(B69:AG69,"&lt;&gt;")</f>
        <v>32</v>
      </c>
      <c r="AA591" t="s">
        <v>52</v>
      </c>
      <c r="AC591">
        <f>COUNTIF(B69:AG69,"&lt;&gt;")</f>
        <v>32</v>
      </c>
      <c r="AE591" t="s">
        <v>52</v>
      </c>
      <c r="AG591">
        <f>COUNTIF(B69:AG69,"&lt;&gt;")</f>
        <v>32</v>
      </c>
      <c r="AI591" t="s">
        <v>52</v>
      </c>
      <c r="AK591">
        <f>COUNTIF($B$2:$AG$2,"&lt;&gt;")</f>
        <v>32</v>
      </c>
      <c r="AL591">
        <f>COUNTIF($B$2:$I$2,"&lt;&gt;")</f>
        <v>8</v>
      </c>
      <c r="AM591">
        <f>COUNTIF($J$2:$R$2,"&lt;&gt;")</f>
        <v>9</v>
      </c>
      <c r="AN591">
        <f>COUNTIF($S$2:$X$2,"&lt;&gt;")</f>
        <v>6</v>
      </c>
      <c r="AO591">
        <f>COUNTIF($Y$2:$AG$2,"&lt;&gt;")</f>
        <v>9</v>
      </c>
      <c r="AQ591" t="s">
        <v>52</v>
      </c>
      <c r="AS591">
        <f>COUNTIF($B$2:$AG$2,"&lt;&gt;")</f>
        <v>32</v>
      </c>
      <c r="AT591">
        <f>COUNTIF($B$2:$I$2,"&lt;&gt;")</f>
        <v>8</v>
      </c>
      <c r="AU591">
        <f>COUNTIF($J$2:$R$2,"&lt;&gt;")</f>
        <v>9</v>
      </c>
      <c r="AV591">
        <f>COUNTIF($S$2:$X$2,"&lt;&gt;")</f>
        <v>6</v>
      </c>
      <c r="AW591">
        <f>COUNTIF($Y$2:$AG$2,"&lt;&gt;")</f>
        <v>9</v>
      </c>
      <c r="AY591" t="s">
        <v>52</v>
      </c>
      <c r="BA591">
        <f>COUNTIF($B$2:$AG$2,"&lt;&gt;")</f>
        <v>32</v>
      </c>
      <c r="BB591">
        <f>COUNTIF($B$2:$I$2,"&lt;&gt;")</f>
        <v>8</v>
      </c>
      <c r="BC591">
        <f>COUNTIF($J$2:$R$2,"&lt;&gt;")</f>
        <v>9</v>
      </c>
      <c r="BD591">
        <f>COUNTIF($S$2:$X$2,"&lt;&gt;")</f>
        <v>6</v>
      </c>
      <c r="BE591">
        <f>COUNTIF($Y$2:$AG$2,"&lt;&gt;")</f>
        <v>9</v>
      </c>
    </row>
    <row r="592" spans="1:57" x14ac:dyDescent="0.25">
      <c r="F592" t="s">
        <v>53</v>
      </c>
      <c r="H592" t="s">
        <v>134</v>
      </c>
      <c r="J592">
        <f>COUNTIF($B$54:$B$235,"&lt;&gt;")</f>
        <v>182</v>
      </c>
      <c r="M592" t="s">
        <v>54</v>
      </c>
      <c r="S592" t="s">
        <v>55</v>
      </c>
      <c r="U592">
        <f>COUNTIF($A$3:$A$511,"&lt;&gt;")</f>
        <v>509</v>
      </c>
      <c r="AA592" t="s">
        <v>55</v>
      </c>
      <c r="AC592">
        <f>SUM($J$524:$J$525)</f>
        <v>275</v>
      </c>
      <c r="AE592" t="s">
        <v>55</v>
      </c>
      <c r="AG592">
        <f>SUM($Q$525:$Q$526)</f>
        <v>234</v>
      </c>
      <c r="AI592" t="s">
        <v>55</v>
      </c>
      <c r="AK592">
        <f>COUNTIF($A$3:$A$511,"&lt;&gt;")</f>
        <v>509</v>
      </c>
      <c r="AL592">
        <f t="shared" ref="AL592:AO592" si="71">COUNTIF($A$3:$A$511,"&lt;&gt;")</f>
        <v>509</v>
      </c>
      <c r="AM592">
        <f t="shared" si="71"/>
        <v>509</v>
      </c>
      <c r="AN592">
        <f t="shared" si="71"/>
        <v>509</v>
      </c>
      <c r="AO592">
        <f t="shared" si="71"/>
        <v>509</v>
      </c>
      <c r="AQ592" t="s">
        <v>55</v>
      </c>
      <c r="AS592">
        <f>SUM($J$524:$J$525)</f>
        <v>275</v>
      </c>
      <c r="AT592">
        <f t="shared" ref="AT592:AW592" si="72">SUM($J$524:$J$525)</f>
        <v>275</v>
      </c>
      <c r="AU592">
        <f t="shared" si="72"/>
        <v>275</v>
      </c>
      <c r="AV592">
        <f t="shared" si="72"/>
        <v>275</v>
      </c>
      <c r="AW592">
        <f t="shared" si="72"/>
        <v>275</v>
      </c>
      <c r="AY592" t="s">
        <v>55</v>
      </c>
      <c r="BA592">
        <f>SUM($Q$525:$Q$526)</f>
        <v>234</v>
      </c>
      <c r="BB592">
        <f t="shared" ref="BB592:BE592" si="73">SUM($Q$525:$Q$526)</f>
        <v>234</v>
      </c>
      <c r="BC592">
        <f t="shared" si="73"/>
        <v>234</v>
      </c>
      <c r="BD592">
        <f t="shared" si="73"/>
        <v>234</v>
      </c>
      <c r="BE592">
        <f t="shared" si="73"/>
        <v>234</v>
      </c>
    </row>
    <row r="593" spans="6:57" x14ac:dyDescent="0.25">
      <c r="F593" t="s">
        <v>56</v>
      </c>
      <c r="H593" t="s">
        <v>135</v>
      </c>
      <c r="J593">
        <f>COUNTIF($B$419:$B$511,"&lt;&gt;")</f>
        <v>93</v>
      </c>
      <c r="M593" t="s">
        <v>57</v>
      </c>
      <c r="O593" t="s">
        <v>137</v>
      </c>
      <c r="Q593">
        <f>COUNTIF($B$3:$B$53,"&lt;&gt;")</f>
        <v>51</v>
      </c>
      <c r="S593" t="s">
        <v>58</v>
      </c>
      <c r="U593">
        <f>U592*U591</f>
        <v>16288</v>
      </c>
      <c r="V593" t="s">
        <v>59</v>
      </c>
      <c r="AA593" t="s">
        <v>58</v>
      </c>
      <c r="AC593">
        <f>AC592*AC591</f>
        <v>8800</v>
      </c>
      <c r="AE593" t="s">
        <v>58</v>
      </c>
      <c r="AG593">
        <f>AG591*AG592</f>
        <v>7488</v>
      </c>
      <c r="AI593" t="s">
        <v>58</v>
      </c>
      <c r="AK593">
        <f>AK592*AK591</f>
        <v>16288</v>
      </c>
      <c r="AL593">
        <f t="shared" ref="AL593:AO593" si="74">AL592*AL591</f>
        <v>4072</v>
      </c>
      <c r="AM593">
        <f t="shared" si="74"/>
        <v>4581</v>
      </c>
      <c r="AN593">
        <f t="shared" si="74"/>
        <v>3054</v>
      </c>
      <c r="AO593">
        <f t="shared" si="74"/>
        <v>4581</v>
      </c>
      <c r="AQ593" t="s">
        <v>58</v>
      </c>
      <c r="AS593">
        <f>AS592*AS591</f>
        <v>8800</v>
      </c>
      <c r="AT593">
        <f t="shared" ref="AT593:AW593" si="75">AT592*AT591</f>
        <v>2200</v>
      </c>
      <c r="AU593">
        <f t="shared" si="75"/>
        <v>2475</v>
      </c>
      <c r="AV593">
        <f t="shared" si="75"/>
        <v>1650</v>
      </c>
      <c r="AW593">
        <f t="shared" si="75"/>
        <v>2475</v>
      </c>
      <c r="AY593" t="s">
        <v>58</v>
      </c>
      <c r="BA593">
        <f>BA592*BA591</f>
        <v>7488</v>
      </c>
      <c r="BB593">
        <f t="shared" ref="BB593:BE593" si="76">BB592*BB591</f>
        <v>1872</v>
      </c>
      <c r="BC593">
        <f t="shared" si="76"/>
        <v>2106</v>
      </c>
      <c r="BD593">
        <f t="shared" si="76"/>
        <v>1404</v>
      </c>
      <c r="BE593">
        <f t="shared" si="76"/>
        <v>2106</v>
      </c>
    </row>
    <row r="594" spans="6:57" x14ac:dyDescent="0.25">
      <c r="F594" t="s">
        <v>60</v>
      </c>
      <c r="H594" t="s">
        <v>136</v>
      </c>
      <c r="J594">
        <f>COUNTIF($A$737:$A$798,"&lt;&gt;")</f>
        <v>0</v>
      </c>
      <c r="M594" t="s">
        <v>61</v>
      </c>
      <c r="O594" t="s">
        <v>138</v>
      </c>
      <c r="Q594">
        <f>COUNTIF($B$236:$B$418,"&lt;&gt;")</f>
        <v>183</v>
      </c>
      <c r="S594" t="s">
        <v>84</v>
      </c>
      <c r="U594">
        <f>SUM(B580:AG580)</f>
        <v>8820</v>
      </c>
      <c r="V594" t="s">
        <v>63</v>
      </c>
      <c r="AA594" t="s">
        <v>84</v>
      </c>
      <c r="AC594">
        <f>SUM(B585:AG585)</f>
        <v>7783</v>
      </c>
      <c r="AE594" t="s">
        <v>85</v>
      </c>
      <c r="AG594">
        <f>SUM(B586:AG586)</f>
        <v>1037</v>
      </c>
      <c r="AI594" t="s">
        <v>84</v>
      </c>
      <c r="AK594">
        <f>SUM(B580:AG580)</f>
        <v>8820</v>
      </c>
      <c r="AL594">
        <f>SUM(B580:I580)</f>
        <v>2310</v>
      </c>
      <c r="AM594">
        <f>SUM(J580:R580)</f>
        <v>2442</v>
      </c>
      <c r="AN594">
        <f>SUM(S580:X580)</f>
        <v>1675</v>
      </c>
      <c r="AO594">
        <f>SUM(Y580:AG580)</f>
        <v>2393</v>
      </c>
      <c r="AQ594" t="s">
        <v>84</v>
      </c>
      <c r="AS594">
        <f>SUM(B585:AG585)</f>
        <v>7783</v>
      </c>
      <c r="AT594">
        <f>SUM(B585:I585)</f>
        <v>1954</v>
      </c>
      <c r="AU594">
        <f>SUM(J585:R585)</f>
        <v>2166</v>
      </c>
      <c r="AV594">
        <f>SUM(S585:X585)</f>
        <v>1488</v>
      </c>
      <c r="AW594">
        <f>SUM(Y585:AG585)</f>
        <v>2175</v>
      </c>
      <c r="AY594" t="s">
        <v>84</v>
      </c>
      <c r="BA594">
        <f>SUM($B586:$AG586)</f>
        <v>1037</v>
      </c>
      <c r="BB594">
        <f>SUM(B586:I586)</f>
        <v>356</v>
      </c>
      <c r="BC594">
        <f>SUM(J586:R586)</f>
        <v>276</v>
      </c>
      <c r="BD594">
        <f>SUM(S586:X586)</f>
        <v>187</v>
      </c>
      <c r="BE594">
        <f>SUM(Y586:AG586)</f>
        <v>218</v>
      </c>
    </row>
    <row r="595" spans="6:57" x14ac:dyDescent="0.25">
      <c r="S595" t="s">
        <v>64</v>
      </c>
      <c r="U595">
        <f>$U594/$U593</f>
        <v>0.54150294695481338</v>
      </c>
      <c r="AA595" t="s">
        <v>65</v>
      </c>
      <c r="AC595">
        <f>AC594/AC593</f>
        <v>0.88443181818181815</v>
      </c>
      <c r="AE595" t="s">
        <v>66</v>
      </c>
      <c r="AG595">
        <f>AG594/AG593</f>
        <v>0.13848824786324787</v>
      </c>
      <c r="AI595" t="s">
        <v>64</v>
      </c>
      <c r="AK595">
        <f>AK594/AK593</f>
        <v>0.54150294695481338</v>
      </c>
      <c r="AL595">
        <f t="shared" ref="AL595:AO595" si="77">AL594/AL593</f>
        <v>0.56728880157170924</v>
      </c>
      <c r="AM595">
        <f t="shared" si="77"/>
        <v>0.53307138179436808</v>
      </c>
      <c r="AN595">
        <f t="shared" si="77"/>
        <v>0.54846103470857888</v>
      </c>
      <c r="AO595">
        <f t="shared" si="77"/>
        <v>0.52237502728661867</v>
      </c>
      <c r="AQ595" t="s">
        <v>65</v>
      </c>
      <c r="AS595">
        <f>AS594/AS593</f>
        <v>0.88443181818181815</v>
      </c>
      <c r="AT595">
        <f t="shared" ref="AT595:AW595" si="78">AT594/AT593</f>
        <v>0.88818181818181818</v>
      </c>
      <c r="AU595">
        <f t="shared" si="78"/>
        <v>0.87515151515151512</v>
      </c>
      <c r="AV595">
        <f t="shared" si="78"/>
        <v>0.90181818181818185</v>
      </c>
      <c r="AW595">
        <f t="shared" si="78"/>
        <v>0.87878787878787878</v>
      </c>
      <c r="AY595" t="s">
        <v>66</v>
      </c>
      <c r="BA595">
        <f>BA594/BA593</f>
        <v>0.13848824786324787</v>
      </c>
      <c r="BB595">
        <f t="shared" ref="BB595:BE595" si="79">BB594/BB593</f>
        <v>0.19017094017094016</v>
      </c>
      <c r="BC595">
        <f t="shared" si="79"/>
        <v>0.13105413105413105</v>
      </c>
      <c r="BD595">
        <f t="shared" si="79"/>
        <v>0.13319088319088318</v>
      </c>
      <c r="BE595">
        <f t="shared" si="79"/>
        <v>0.10351377018043685</v>
      </c>
    </row>
  </sheetData>
  <mergeCells count="4">
    <mergeCell ref="B1:I1"/>
    <mergeCell ref="J1:R1"/>
    <mergeCell ref="S1:X1"/>
    <mergeCell ref="Y1:AG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</vt:lpstr>
      <vt:lpstr>Run 15 Temp</vt:lpstr>
      <vt:lpstr>Run 16 Temp</vt:lpstr>
      <vt:lpstr>Run 17 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COSMOCRATOR</dc:creator>
  <cp:lastModifiedBy>Isaac Sanchez Terrazas</cp:lastModifiedBy>
  <dcterms:created xsi:type="dcterms:W3CDTF">2026-10-10T20:41:59Z</dcterms:created>
  <dcterms:modified xsi:type="dcterms:W3CDTF">2026-10-17T04:44:58Z</dcterms:modified>
</cp:coreProperties>
</file>